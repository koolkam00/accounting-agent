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Inputs" sheetId="3" state="visible" r:id="rId3"/>
    <sheet xmlns:r="http://schemas.openxmlformats.org/officeDocument/2006/relationships" name="Scenarios" sheetId="4" state="visible" r:id="rId4"/>
    <sheet xmlns:r="http://schemas.openxmlformats.org/officeDocument/2006/relationships" name="Schedule" sheetId="5" state="visible" r:id="rId5"/>
    <sheet xmlns:r="http://schemas.openxmlformats.org/officeDocument/2006/relationships" name="Calculator" sheetId="6" state="visible" r:id="rId6"/>
    <sheet xmlns:r="http://schemas.openxmlformats.org/officeDocument/2006/relationships" name="Drop_PnL" sheetId="7" state="visible" r:id="rId7"/>
    <sheet xmlns:r="http://schemas.openxmlformats.org/officeDocument/2006/relationships" name="Cash_Flow" sheetId="8" state="visible" r:id="rId8"/>
    <sheet xmlns:r="http://schemas.openxmlformats.org/officeDocument/2006/relationships" name="Steady_State" sheetId="9" state="visible" r:id="rId9"/>
    <sheet xmlns:r="http://schemas.openxmlformats.org/officeDocument/2006/relationships" name="Sensitivity" sheetId="10" state="visible" r:id="rId10"/>
    <sheet xmlns:r="http://schemas.openxmlformats.org/officeDocument/2006/relationships" name="Plan_Check" sheetId="11" state="visible" r:id="rId11"/>
    <sheet xmlns:r="http://schemas.openxmlformats.org/officeDocument/2006/relationships" name="Capital" sheetId="12" state="visible" r:id="rId12"/>
    <sheet xmlns:r="http://schemas.openxmlformats.org/officeDocument/2006/relationships" name="Hours_Log" sheetId="13" state="visible" r:id="rId13"/>
    <sheet xmlns:r="http://schemas.openxmlformats.org/officeDocument/2006/relationships" name="Toggl_Import" sheetId="14" state="visible" r:id="rId14"/>
    <sheet xmlns:r="http://schemas.openxmlformats.org/officeDocument/2006/relationships" name="Pipeline" sheetId="15" state="visible" r:id="rId15"/>
    <sheet xmlns:r="http://schemas.openxmlformats.org/officeDocument/2006/relationships" name="Actuals_Campaigns" sheetId="16" state="visible" r:id="rId16"/>
    <sheet xmlns:r="http://schemas.openxmlformats.org/officeDocument/2006/relationships" name="Actuals_DropCosts" sheetId="17" state="visible" r:id="rId17"/>
    <sheet xmlns:r="http://schemas.openxmlformats.org/officeDocument/2006/relationships" name="Drop_Actuals" sheetId="18" state="visible" r:id="rId18"/>
    <sheet xmlns:r="http://schemas.openxmlformats.org/officeDocument/2006/relationships" name="Cash_Ledger" sheetId="19" state="visible" r:id="rId19"/>
    <sheet xmlns:r="http://schemas.openxmlformats.org/officeDocument/2006/relationships" name="Checks" sheetId="20" state="visible" r:id="rId20"/>
    <sheet xmlns:r="http://schemas.openxmlformats.org/officeDocument/2006/relationships" name="Lists" sheetId="21" state="visible" r:id="rId21"/>
  </sheets>
  <definedNames/>
  <calcPr calcId="124519" fullCalcOnLoad="1"/>
</workbook>
</file>

<file path=xl/styles.xml><?xml version="1.0" encoding="utf-8"?>
<styleSheet xmlns="http://schemas.openxmlformats.org/spreadsheetml/2006/main">
  <numFmts count="11">
    <numFmt numFmtId="164" formatCode="yyyy-mm-dd"/>
    <numFmt numFmtId="165" formatCode="$#,##0;($#,##0);$0"/>
    <numFmt numFmtId="166" formatCode="0.0%"/>
    <numFmt numFmtId="167" formatCode="0.0#"/>
    <numFmt numFmtId="168" formatCode="ddd yyyy-mm-dd"/>
    <numFmt numFmtId="169" formatCode="$#,##0.0;($#,##0.0);$0.0"/>
    <numFmt numFmtId="170" formatCode="0.0"/>
    <numFmt numFmtId="171" formatCode="mmm d"/>
    <numFmt numFmtId="172" formatCode="mmm yy"/>
    <numFmt numFmtId="173" formatCode="$#,##0.00;($#,##0.00);$0.00"/>
    <numFmt numFmtId="174" formatCode="0.000000"/>
  </numFmts>
  <fonts count="10">
    <font>
      <name val="Calibri"/>
      <family val="2"/>
      <color theme="1"/>
      <sz val="11"/>
      <scheme val="minor"/>
    </font>
    <font>
      <b val="1"/>
      <color rgb="001F3A44"/>
      <sz val="15"/>
    </font>
    <font>
      <i val="1"/>
      <color rgb="004A5A60"/>
      <sz val="11"/>
    </font>
    <font>
      <b val="1"/>
      <color rgb="00FFFFFF"/>
    </font>
    <font>
      <color rgb="001A3FB5"/>
    </font>
    <font>
      <b val="1"/>
      <color rgb="007A3A10"/>
    </font>
    <font>
      <b val="1"/>
      <color rgb="001F3A44"/>
      <sz val="12"/>
    </font>
    <font>
      <i val="1"/>
      <color rgb="005A5A5A"/>
      <sz val="9"/>
    </font>
    <font>
      <b val="1"/>
      <color rgb="009C0006"/>
    </font>
    <font>
      <b val="1"/>
    </font>
  </fonts>
  <fills count="9">
    <fill>
      <patternFill/>
    </fill>
    <fill>
      <patternFill patternType="gray125"/>
    </fill>
    <fill>
      <patternFill patternType="solid">
        <fgColor rgb="002E5E6B"/>
      </patternFill>
    </fill>
    <fill>
      <patternFill patternType="solid">
        <fgColor rgb="00FFF4CC"/>
      </patternFill>
    </fill>
    <fill>
      <patternFill patternType="solid">
        <fgColor rgb="00FCE4D6"/>
      </patternFill>
    </fill>
    <fill>
      <patternFill patternType="solid">
        <fgColor rgb="00DCE8EB"/>
      </patternFill>
    </fill>
    <fill>
      <patternFill patternType="solid">
        <fgColor rgb="00F3F3F3"/>
      </patternFill>
    </fill>
    <fill>
      <patternFill patternType="solid">
        <fgColor rgb="00E2F0D9"/>
      </patternFill>
    </fill>
    <fill>
      <patternFill patternType="solid">
        <fgColor rgb="00DDEBF7"/>
      </patternFill>
    </fill>
  </fills>
  <borders count="7">
    <border>
      <left/>
      <right/>
      <top/>
      <bottom/>
      <diagonal/>
    </border>
    <border>
      <left style="thin">
        <color rgb="00B7C4C8"/>
      </left>
      <right style="thin">
        <color rgb="00B7C4C8"/>
      </right>
      <top style="thin">
        <color rgb="00B7C4C8"/>
      </top>
      <bottom style="thin">
        <color rgb="00B7C4C8"/>
      </bottom>
    </border>
    <border>
      <top style="thin">
        <color rgb="00B7C4C8"/>
      </top>
    </border>
    <border>
      <left/>
      <right/>
      <top style="thin">
        <color rgb="00B7C4C8"/>
      </top>
      <bottom/>
      <diagonal/>
    </border>
    <border>
      <left/>
      <right style="thin">
        <color rgb="00B7C4C8"/>
      </right>
      <top style="thin">
        <color rgb="00B7C4C8"/>
      </top>
      <bottom/>
      <diagonal/>
    </border>
    <border>
      <left/>
      <right/>
      <top style="thin">
        <color rgb="00B7C4C8"/>
      </top>
      <bottom style="thin">
        <color rgb="00B7C4C8"/>
      </bottom>
      <diagonal/>
    </border>
    <border>
      <left/>
      <right style="thin">
        <color rgb="00B7C4C8"/>
      </right>
      <top style="thin">
        <color rgb="00B7C4C8"/>
      </top>
      <bottom style="thin">
        <color rgb="00B7C4C8"/>
      </bottom>
      <diagonal/>
    </border>
  </borders>
  <cellStyleXfs count="1">
    <xf numFmtId="0" fontId="0" fillId="0" borderId="0"/>
  </cellStyleXfs>
  <cellXfs count="97">
    <xf numFmtId="0" fontId="0" fillId="0" borderId="0" pivotButton="0" quotePrefix="0" xfId="0"/>
    <xf numFmtId="0" fontId="1" fillId="0" borderId="0" pivotButton="0" quotePrefix="0" xfId="0"/>
    <xf numFmtId="0" fontId="2" fillId="0" borderId="0" pivotButton="0" quotePrefix="0" xfId="0"/>
    <xf numFmtId="0" fontId="6" fillId="5" borderId="0" pivotButton="0" quotePrefix="0" xfId="0"/>
    <xf numFmtId="0" fontId="0" fillId="5" borderId="0" pivotButton="0" quotePrefix="0" xfId="0"/>
    <xf numFmtId="0" fontId="0" fillId="0" borderId="0" applyAlignment="1" pivotButton="0" quotePrefix="0" xfId="0">
      <alignment vertical="top" wrapText="1"/>
    </xf>
    <xf numFmtId="0" fontId="9" fillId="0" borderId="0" applyAlignment="1" pivotButton="0" quotePrefix="0" xfId="0">
      <alignment vertical="top" wrapText="1"/>
    </xf>
    <xf numFmtId="0" fontId="5" fillId="4" borderId="0" applyAlignment="1" pivotButton="0" quotePrefix="0" xfId="0">
      <alignment vertical="center" wrapText="1"/>
    </xf>
    <xf numFmtId="0" fontId="9" fillId="0" borderId="0" pivotButton="0" quotePrefix="0" xfId="0"/>
    <xf numFmtId="168" fontId="9" fillId="0" borderId="0" pivotButton="0" quotePrefix="0" xfId="0"/>
    <xf numFmtId="0" fontId="3" fillId="2" borderId="1" applyAlignment="1" pivotButton="0" quotePrefix="0" xfId="0">
      <alignment horizontal="center" vertical="center" wrapText="1"/>
    </xf>
    <xf numFmtId="0" fontId="9" fillId="7" borderId="0" pivotButton="0" quotePrefix="0" xfId="0"/>
    <xf numFmtId="169" fontId="9" fillId="7" borderId="0" pivotButton="0" quotePrefix="0" xfId="0"/>
    <xf numFmtId="165" fontId="9" fillId="7" borderId="0" pivotButton="0" quotePrefix="0" xfId="0"/>
    <xf numFmtId="1" fontId="9" fillId="7" borderId="0" pivotButton="0" quotePrefix="0" xfId="0"/>
    <xf numFmtId="0" fontId="0" fillId="0" borderId="5" pivotButton="0" quotePrefix="0" xfId="0"/>
    <xf numFmtId="0" fontId="0" fillId="0" borderId="6" pivotButton="0" quotePrefix="0" xfId="0"/>
    <xf numFmtId="164" fontId="0" fillId="0" borderId="0" pivotButton="0" quotePrefix="0" xfId="0"/>
    <xf numFmtId="1" fontId="0" fillId="0" borderId="0" pivotButton="0" quotePrefix="0" xfId="0"/>
    <xf numFmtId="1" fontId="9" fillId="0" borderId="0" pivotButton="0" quotePrefix="0" xfId="0"/>
    <xf numFmtId="0" fontId="9" fillId="0" borderId="0" applyAlignment="1" pivotButton="0" quotePrefix="0" xfId="0">
      <alignment horizontal="center"/>
    </xf>
    <xf numFmtId="0" fontId="7" fillId="0" borderId="0" applyAlignment="1" pivotButton="0" quotePrefix="0" xfId="0">
      <alignment vertical="top" wrapText="1"/>
    </xf>
    <xf numFmtId="3" fontId="0" fillId="0" borderId="0" pivotButton="0" quotePrefix="0" xfId="0"/>
    <xf numFmtId="3" fontId="9" fillId="0" borderId="0" pivotButton="0" quotePrefix="0" xfId="0"/>
    <xf numFmtId="9" fontId="0" fillId="0" borderId="0" pivotButton="0" quotePrefix="0" xfId="0"/>
    <xf numFmtId="9" fontId="9" fillId="0" borderId="0" pivotButton="0" quotePrefix="0" xfId="0"/>
    <xf numFmtId="169" fontId="0" fillId="0" borderId="0" pivotButton="0" quotePrefix="0" xfId="0"/>
    <xf numFmtId="169" fontId="9" fillId="0" borderId="0" pivotButton="0" quotePrefix="0" xfId="0"/>
    <xf numFmtId="0" fontId="7" fillId="0" borderId="0" pivotButton="0" quotePrefix="0" xfId="0"/>
    <xf numFmtId="0" fontId="9" fillId="5" borderId="0" pivotButton="0" quotePrefix="0" xfId="0"/>
    <xf numFmtId="165" fontId="9" fillId="5" borderId="0" pivotButton="0" quotePrefix="0" xfId="0"/>
    <xf numFmtId="165" fontId="0" fillId="0" borderId="0" pivotButton="0" quotePrefix="0" xfId="0"/>
    <xf numFmtId="167" fontId="0" fillId="0" borderId="0" pivotButton="0" quotePrefix="0" xfId="0"/>
    <xf numFmtId="165" fontId="9" fillId="0" borderId="0" pivotButton="0" quotePrefix="0" xfId="0"/>
    <xf numFmtId="167" fontId="9" fillId="0" borderId="0" pivotButton="0" quotePrefix="0" xfId="0"/>
    <xf numFmtId="0" fontId="7" fillId="0" borderId="0" applyAlignment="1" pivotButton="0" quotePrefix="0" xfId="0">
      <alignment vertical="top"/>
    </xf>
    <xf numFmtId="0" fontId="4" fillId="3" borderId="1" applyAlignment="1" pivotButton="0" quotePrefix="0" xfId="0">
      <alignment vertical="top"/>
    </xf>
    <xf numFmtId="0" fontId="0" fillId="0" borderId="0" applyAlignment="1" pivotButton="0" quotePrefix="0" xfId="0">
      <alignment vertical="top"/>
    </xf>
    <xf numFmtId="0" fontId="8" fillId="0" borderId="0" applyAlignment="1" pivotButton="0" quotePrefix="0" xfId="0">
      <alignment vertical="top"/>
    </xf>
    <xf numFmtId="164" fontId="4" fillId="3" borderId="1" applyAlignment="1" pivotButton="0" quotePrefix="0" xfId="0">
      <alignment vertical="top"/>
    </xf>
    <xf numFmtId="164" fontId="7" fillId="0" borderId="0" applyAlignment="1" pivotButton="0" quotePrefix="0" xfId="0">
      <alignment vertical="top"/>
    </xf>
    <xf numFmtId="164" fontId="0" fillId="6" borderId="1" applyAlignment="1" pivotButton="0" quotePrefix="0" xfId="0">
      <alignment vertical="top"/>
    </xf>
    <xf numFmtId="2" fontId="0" fillId="6" borderId="1" applyAlignment="1" pivotButton="0" quotePrefix="0" xfId="0">
      <alignment vertical="top"/>
    </xf>
    <xf numFmtId="165" fontId="4" fillId="3" borderId="1" applyAlignment="1" pivotButton="0" quotePrefix="0" xfId="0">
      <alignment vertical="top"/>
    </xf>
    <xf numFmtId="165" fontId="7" fillId="0" borderId="0" applyAlignment="1" pivotButton="0" quotePrefix="0" xfId="0">
      <alignment vertical="top"/>
    </xf>
    <xf numFmtId="165" fontId="0" fillId="6" borderId="1" applyAlignment="1" pivotButton="0" quotePrefix="0" xfId="0">
      <alignment vertical="top"/>
    </xf>
    <xf numFmtId="165" fontId="0" fillId="0" borderId="0" applyAlignment="1" pivotButton="0" quotePrefix="0" xfId="0">
      <alignment vertical="top"/>
    </xf>
    <xf numFmtId="9" fontId="4" fillId="3" borderId="1" applyAlignment="1" pivotButton="0" quotePrefix="0" xfId="0">
      <alignment vertical="top"/>
    </xf>
    <xf numFmtId="9" fontId="7" fillId="0" borderId="0" applyAlignment="1" pivotButton="0" quotePrefix="0" xfId="0">
      <alignment vertical="top"/>
    </xf>
    <xf numFmtId="166" fontId="4" fillId="3" borderId="1" applyAlignment="1" pivotButton="0" quotePrefix="0" xfId="0">
      <alignment vertical="top"/>
    </xf>
    <xf numFmtId="166" fontId="7" fillId="0" borderId="0" applyAlignment="1" pivotButton="0" quotePrefix="0" xfId="0">
      <alignment vertical="top"/>
    </xf>
    <xf numFmtId="167" fontId="0" fillId="6" borderId="1" applyAlignment="1" pivotButton="0" quotePrefix="0" xfId="0">
      <alignment vertical="top"/>
    </xf>
    <xf numFmtId="165" fontId="0" fillId="6" borderId="1" pivotButton="0" quotePrefix="0" xfId="0"/>
    <xf numFmtId="165" fontId="4" fillId="3" borderId="1" pivotButton="0" quotePrefix="0" xfId="0"/>
    <xf numFmtId="167" fontId="4" fillId="3" borderId="1" pivotButton="0" quotePrefix="0" xfId="0"/>
    <xf numFmtId="165" fontId="7" fillId="0" borderId="0" pivotButton="0" quotePrefix="0" xfId="0"/>
    <xf numFmtId="0" fontId="8" fillId="0" borderId="0" pivotButton="0" quotePrefix="0" xfId="0"/>
    <xf numFmtId="164" fontId="4" fillId="3" borderId="1" pivotButton="0" quotePrefix="0" xfId="0"/>
    <xf numFmtId="0" fontId="4" fillId="3" borderId="1" pivotButton="0" quotePrefix="0" xfId="0"/>
    <xf numFmtId="165" fontId="0" fillId="6" borderId="0" pivotButton="0" quotePrefix="0" xfId="0"/>
    <xf numFmtId="164" fontId="0" fillId="6" borderId="0" pivotButton="0" quotePrefix="0" xfId="0"/>
    <xf numFmtId="164" fontId="7" fillId="0" borderId="0" pivotButton="0" quotePrefix="0" xfId="0"/>
    <xf numFmtId="1" fontId="4" fillId="3" borderId="1" pivotButton="0" quotePrefix="0" xfId="0"/>
    <xf numFmtId="1" fontId="9" fillId="7" borderId="1" pivotButton="0" quotePrefix="0" xfId="0"/>
    <xf numFmtId="1" fontId="7" fillId="0" borderId="0" pivotButton="0" quotePrefix="0" xfId="0"/>
    <xf numFmtId="9" fontId="4" fillId="3" borderId="1" pivotButton="0" quotePrefix="0" xfId="0"/>
    <xf numFmtId="9" fontId="9" fillId="7" borderId="1" pivotButton="0" quotePrefix="0" xfId="0"/>
    <xf numFmtId="9" fontId="7" fillId="0" borderId="0" pivotButton="0" quotePrefix="0" xfId="0"/>
    <xf numFmtId="165" fontId="9" fillId="7" borderId="1" pivotButton="0" quotePrefix="0" xfId="0"/>
    <xf numFmtId="0" fontId="4" fillId="3" borderId="1" applyAlignment="1" pivotButton="0" quotePrefix="0" xfId="0">
      <alignment vertical="top" wrapText="1"/>
    </xf>
    <xf numFmtId="164" fontId="4" fillId="3" borderId="1" applyAlignment="1" pivotButton="0" quotePrefix="0" xfId="0">
      <alignment vertical="top" wrapText="1"/>
    </xf>
    <xf numFmtId="168" fontId="0" fillId="0" borderId="0" applyAlignment="1" pivotButton="0" quotePrefix="0" xfId="0">
      <alignment vertical="top" wrapText="1"/>
    </xf>
    <xf numFmtId="3" fontId="0" fillId="0" borderId="0" applyAlignment="1" pivotButton="0" quotePrefix="0" xfId="0">
      <alignment vertical="top" wrapText="1"/>
    </xf>
    <xf numFmtId="0" fontId="8" fillId="0" borderId="0" applyAlignment="1" pivotButton="0" quotePrefix="0" xfId="0">
      <alignment vertical="top" wrapText="1"/>
    </xf>
    <xf numFmtId="0" fontId="4" fillId="8" borderId="1" applyAlignment="1" pivotButton="0" quotePrefix="0" xfId="0">
      <alignment vertical="top" wrapText="1"/>
    </xf>
    <xf numFmtId="0" fontId="6" fillId="0" borderId="0" pivotButton="0" quotePrefix="0" xfId="0"/>
    <xf numFmtId="0" fontId="9" fillId="5" borderId="0" applyAlignment="1" pivotButton="0" quotePrefix="0" xfId="0">
      <alignment horizontal="center" vertical="center" wrapText="1"/>
    </xf>
    <xf numFmtId="0" fontId="3" fillId="2" borderId="0" applyAlignment="1" pivotButton="0" quotePrefix="0" xfId="0">
      <alignment horizontal="center" vertical="center" wrapText="1"/>
    </xf>
    <xf numFmtId="171" fontId="0" fillId="0" borderId="0" pivotButton="0" quotePrefix="0" xfId="0"/>
    <xf numFmtId="165" fontId="9" fillId="0" borderId="2" pivotButton="0" quotePrefix="0" xfId="0"/>
    <xf numFmtId="171" fontId="9" fillId="0" borderId="0" pivotButton="0" quotePrefix="0" xfId="0"/>
    <xf numFmtId="172" fontId="3" fillId="2" borderId="0" pivotButton="0" quotePrefix="0" xfId="0"/>
    <xf numFmtId="0" fontId="3" fillId="2" borderId="0" pivotButton="0" quotePrefix="0" xfId="0"/>
    <xf numFmtId="173" fontId="9" fillId="0" borderId="0" pivotButton="0" quotePrefix="0" xfId="0"/>
    <xf numFmtId="170" fontId="0" fillId="0" borderId="0" pivotButton="0" quotePrefix="0" xfId="0"/>
    <xf numFmtId="2" fontId="9" fillId="0" borderId="0" pivotButton="0" quotePrefix="0" xfId="0"/>
    <xf numFmtId="166" fontId="0" fillId="0" borderId="0" pivotButton="0" quotePrefix="0" xfId="0"/>
    <xf numFmtId="174" fontId="9" fillId="0" borderId="0" pivotButton="0" quotePrefix="0" xfId="0"/>
    <xf numFmtId="1" fontId="3" fillId="2" borderId="0" pivotButton="0" quotePrefix="0" xfId="0"/>
    <xf numFmtId="173" fontId="0" fillId="0" borderId="0" pivotButton="0" quotePrefix="0" xfId="0"/>
    <xf numFmtId="2" fontId="0" fillId="0" borderId="0" pivotButton="0" quotePrefix="0" xfId="0"/>
    <xf numFmtId="164" fontId="0" fillId="3" borderId="0" pivotButton="0" quotePrefix="0" xfId="0"/>
    <xf numFmtId="0" fontId="0" fillId="3" borderId="0" pivotButton="0" quotePrefix="0" xfId="0"/>
    <xf numFmtId="167" fontId="0" fillId="3" borderId="0" pivotButton="0" quotePrefix="0" xfId="0"/>
    <xf numFmtId="165" fontId="0" fillId="3" borderId="0" pivotButton="0" quotePrefix="0" xfId="0"/>
    <xf numFmtId="2" fontId="4" fillId="3" borderId="1" pivotButton="0" quotePrefix="0" xfId="0"/>
    <xf numFmtId="4" fontId="0" fillId="0" borderId="0" pivotButton="0" quotePrefix="0" xfId="0"/>
  </cellXfs>
  <cellStyles count="1">
    <cellStyle name="Normal" xfId="0" builtinId="0" hidden="0"/>
  </cellStyles>
  <dxfs count="9">
    <dxf>
      <font>
        <color rgb="00006100"/>
      </font>
      <fill>
        <patternFill patternType="solid">
          <fgColor rgb="00C6EFCE"/>
        </patternFill>
      </fill>
    </dxf>
    <dxf>
      <font>
        <b val="1"/>
        <color rgb="00006100"/>
      </font>
      <fill>
        <patternFill patternType="solid">
          <fgColor rgb="00C6EFCE"/>
        </patternFill>
      </fill>
    </dxf>
    <dxf>
      <font>
        <b val="1"/>
        <color rgb="009C0006"/>
      </font>
      <fill>
        <patternFill patternType="solid">
          <fgColor rgb="00FFC7CE"/>
        </patternFill>
      </fill>
    </dxf>
    <dxf>
      <font>
        <color rgb="00555555"/>
      </font>
      <fill>
        <patternFill patternType="solid">
          <fgColor rgb="00EDEDED"/>
        </patternFill>
      </fill>
    </dxf>
    <dxf>
      <fill>
        <patternFill patternType="solid">
          <fgColor rgb="00C6EFCE"/>
        </patternFill>
      </fill>
    </dxf>
    <dxf>
      <fill>
        <patternFill patternType="solid">
          <fgColor rgb="00FCE4D6"/>
        </patternFill>
      </fill>
    </dxf>
    <dxf>
      <font>
        <color rgb="009C0006"/>
      </font>
      <fill>
        <patternFill patternType="solid">
          <fgColor rgb="00FFC7CE"/>
        </patternFill>
      </fill>
    </dxf>
    <dxf>
      <font>
        <b val="1"/>
        <color rgb="009C0006"/>
      </font>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net cash flow by week (before founder cash)</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'Cash_Flow'!$C$4:$AB$4</f>
            </numRef>
          </cat>
          <val>
            <numRef>
              <f>'Cash_Flow'!$C$27:$AB$27</f>
            </numRef>
          </val>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tickLblPos val="low"/>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net cash flow by week, before founder cash</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'Cash_Flow'!$C$4:$AB$4</f>
            </numRef>
          </cat>
          <val>
            <numRef>
              <f>'Cash_Flow'!$C$27:$AB$27</f>
            </numRef>
          </val>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tickLblPos val="low"/>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1</col>
      <colOff>0</colOff>
      <row>85</row>
      <rowOff>0</rowOff>
    </from>
    <ext cx="64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65</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B107"/>
  <sheetViews>
    <sheetView zoomScale="90" workbookViewId="0">
      <selection activeCell="A1" sqref="A1"/>
    </sheetView>
  </sheetViews>
  <sheetFormatPr baseColWidth="8" defaultRowHeight="15"/>
  <cols>
    <col width="30" customWidth="1" min="1" max="1"/>
    <col width="125" customWidth="1" min="2" max="2"/>
  </cols>
  <sheetData>
    <row r="1">
      <c r="A1" s="1">
        <f>Inputs!$C$8&amp;" financial model v1: README"</f>
        <v/>
      </c>
    </row>
    <row r="2">
      <c r="A2" s="2" t="inlineStr">
        <is>
          <t>Version 1, built 2026-10-23. The company name lives in one cell (Inputs, section 1, 'Company name'); rename it there only.</t>
        </is>
      </c>
    </row>
    <row r="5">
      <c r="A5" s="3" t="inlineStr">
        <is>
          <t>What this workbook is</t>
        </is>
      </c>
      <c r="B5" s="4" t="n"/>
    </row>
    <row r="6" ht="45" customHeight="1">
      <c r="A6" s="5" t="inlineStr">
        <is>
          <t>The workbook you open every week for six months to see whether the business is working. It answers three questions: what each drop earns per founder hour, how low cumulative cash goes and when, and which gate or decision scenario the real numbers point to.</t>
        </is>
      </c>
    </row>
    <row r="7" ht="30" customHeight="1">
      <c r="A7" s="5" t="inlineStr">
        <is>
          <t>Every number is a planning estimate from plan.md, never a forecast. Every assumption sits in one labeled cell on Inputs with its unit and source. Every other number is a formula. Change one input and every output moves.</t>
        </is>
      </c>
    </row>
    <row r="9">
      <c r="A9" s="3" t="inlineStr">
        <is>
          <t>Your weekly routine (about ten minutes)</t>
        </is>
      </c>
      <c r="B9" s="4" t="n"/>
    </row>
    <row r="10" ht="30" customHeight="1">
      <c r="A10" s="6" t="inlineStr">
        <is>
          <t>1. Log hours</t>
        </is>
      </c>
      <c r="B10" s="5" t="inlineStr">
        <is>
          <t>Add the week's hours on Hours_Log (one row per entry: date, drop_id or blank, activity key, hours). If you use a paid Toggl plan, paste its export on Toggl_Import instead.</t>
        </is>
      </c>
    </row>
    <row r="11" ht="30" customHeight="1">
      <c r="A11" s="6" t="inlineStr">
        <is>
          <t>2. Log the pipeline</t>
        </is>
      </c>
      <c r="B11" s="5" t="inlineStr">
        <is>
          <t>Paste or type outreach events on Pipeline: conversations, yeses, signed offices with Tuesday headcount, paid brands, budget-probe answers, renewal answers.</t>
        </is>
      </c>
    </row>
    <row r="12" ht="30" customHeight="1">
      <c r="A12" s="6" t="inlineStr">
        <is>
          <t>3. After each drop</t>
        </is>
      </c>
      <c r="B12" s="5" t="inlineStr">
        <is>
          <t>Paste the campaign actuals and drop costs from the operations exports into Actuals_Campaigns and Actuals_DropCosts, then set 'Actuals in' to Y for that drop on Schedule.</t>
        </is>
      </c>
    </row>
    <row r="13" ht="30" customHeight="1">
      <c r="A13" s="6" t="inlineStr">
        <is>
          <t>4. Read the Dashboard</t>
        </is>
      </c>
      <c r="B13" s="5" t="inlineStr">
        <is>
          <t>Gates show pass, miss or not yet against real numbers only. The headline shows the next drop's contribution per hour, the lowest point of cash and the gap to the plan's $6,510.</t>
        </is>
      </c>
    </row>
    <row r="14" ht="30" customHeight="1">
      <c r="A14" s="6" t="inlineStr">
        <is>
          <t>5. Keep the plan current</t>
        </is>
      </c>
      <c r="B14" s="5" t="inlineStr">
        <is>
          <t>Edit Schedule when a date, delivery model or brand count changes. Edit Inputs when a quote comes in. The 'Changed?' column records every edit against the plan default.</t>
        </is>
      </c>
    </row>
    <row r="16">
      <c r="A16" s="3" t="inlineStr">
        <is>
          <t>Change the price and read the result in under a minute</t>
        </is>
      </c>
      <c r="B16" s="4" t="n"/>
    </row>
    <row r="17" ht="30" customHeight="1">
      <c r="A17" s="6" t="inlineStr">
        <is>
          <t>Whole model</t>
        </is>
      </c>
      <c r="B17" s="5" t="inlineStr">
        <is>
          <t>Inputs, section 3, 'Standard price per office' (now $150). Type a new number. Read Dashboard: 'Its contribution per founder hour' and the drop table at the bottom.</t>
        </is>
      </c>
    </row>
    <row r="18" ht="30" customHeight="1">
      <c r="A18" s="6" t="inlineStr">
        <is>
          <t>One drop only</t>
        </is>
      </c>
      <c r="B18" s="5" t="inlineStr">
        <is>
          <t>Calculator: type a price in 'Standard price per office'. The result column shows revenue, costs, hours and contribution per founder hour. Nothing else changes.</t>
        </is>
      </c>
    </row>
    <row r="19" ht="30" customHeight="1">
      <c r="A19" s="6" t="inlineStr">
        <is>
          <t>Many prices at once</t>
        </is>
      </c>
      <c r="B19" s="5" t="inlineStr">
        <is>
          <t>Sensitivity, Table 1: contribution per founder hour for eight prices and one to five brands. Green cells clear the $50 Gate 3 target.</t>
        </is>
      </c>
    </row>
    <row r="21">
      <c r="A21" s="3" t="inlineStr">
        <is>
          <t>Tabs, in the order you use them</t>
        </is>
      </c>
      <c r="B21" s="4" t="n"/>
    </row>
    <row r="22" ht="45" customHeight="1">
      <c r="A22" s="6" t="inlineStr">
        <is>
          <t>Dashboard</t>
        </is>
      </c>
      <c r="B22" s="5" t="inlineStr">
        <is>
          <t>Headline numbers, every gate threshold beside its live value with pass, miss or not yet, the decision rule, the scenario the numbers point to, six-month goals, and contribution per hour on each drop.</t>
        </is>
      </c>
    </row>
    <row r="23" ht="45" customHeight="1">
      <c r="A23" s="6" t="inlineStr">
        <is>
          <t>Inputs</t>
        </is>
      </c>
      <c r="B23" s="5" t="inlineStr">
        <is>
          <t>Every assumption: prices, payment terms and lags, the processing toggle, units, every hard-cost line, monthly overhead, hours by activity, the delivery-model table, renewal, gates, startup outlays with timing, the start date. Yellow cells are inputs.</t>
        </is>
      </c>
    </row>
    <row r="24" ht="30" customHeight="1">
      <c r="A24" s="6" t="inlineStr">
        <is>
          <t>Scenarios</t>
        </is>
      </c>
      <c r="B24" s="5" t="inlineStr">
        <is>
          <t>The plan's decision situations A to D as assumption sets, beside the plan base. Pick one on Inputs. It drives the two decision-window drops and the steady state.</t>
        </is>
      </c>
    </row>
    <row r="25" ht="30" customHeight="1">
      <c r="A25" s="6" t="inlineStr">
        <is>
          <t>Schedule</t>
        </is>
      </c>
      <c r="B25" s="5" t="inlineStr">
        <is>
          <t>The editable drop schedule: date, delivery model, tier, offices, new offices, brands, renewals, and the switch to actuals. Checks Tuesday or Wednesday and every blackout.</t>
        </is>
      </c>
    </row>
    <row r="26" ht="30" customHeight="1">
      <c r="A26" s="6" t="inlineStr">
        <is>
          <t>Calculator</t>
        </is>
      </c>
      <c r="B26" s="5" t="inlineStr">
        <is>
          <t>A single drop of any tier, brand count, office count and delivery model, run through the same engine.</t>
        </is>
      </c>
    </row>
    <row r="27" ht="30" customHeight="1">
      <c r="A27" s="6" t="inlineStr">
        <is>
          <t>Drop_PnL</t>
        </is>
      </c>
      <c r="B27" s="5" t="inlineStr">
        <is>
          <t>Per-drop P&amp;L on the plan basis for every scheduled drop, with hours by activity, contribution per founder hour, cash timing on the plan's terms, and live values (actual where in).</t>
        </is>
      </c>
    </row>
    <row r="28" ht="30" customHeight="1">
      <c r="A28" s="6" t="inlineStr">
        <is>
          <t>Cash_Flow</t>
        </is>
      </c>
      <c r="B28" s="5" t="inlineStr">
        <is>
          <t>Weekly cash flow for 26 weeks with a monthly cross-check: brand receipts, direct costs, overhead paid once, startup outlays at their timing, cumulative cash and its lowest point.</t>
        </is>
      </c>
    </row>
    <row r="29" ht="45" customHeight="1">
      <c r="A29" s="6" t="inlineStr">
        <is>
          <t>Steady_State</t>
        </is>
      </c>
      <c r="B29" s="5" t="inlineStr">
        <is>
          <t>The plan's monthly picture reproduced, the scenario in force at steady state, and break-even: campaigns to recover startup cash, campaigns a month to cover overhead, the brand count and price where contribution per hour crosses $50.</t>
        </is>
      </c>
    </row>
    <row r="30" ht="30" customHeight="1">
      <c r="A30" s="6" t="inlineStr">
        <is>
          <t>Sensitivity</t>
        </is>
      </c>
      <c r="B30" s="5" t="inlineStr">
        <is>
          <t>Four plain-formula tables: price x brands, renewal x brands, renewal against the monthly steady state, price against the monthly steady state. Direction checks at the bottom.</t>
        </is>
      </c>
    </row>
    <row r="31" ht="30" customHeight="1">
      <c r="A31" s="6" t="inlineStr">
        <is>
          <t>Plan_Check</t>
        </is>
      </c>
      <c r="B31" s="5" t="inlineStr">
        <is>
          <t>The plan's five scenario rows, the $1,000 reading, edge cases, the founder-hour table cell by cell, and a reconciliation of every plan figure: plan, model, difference, reason.</t>
        </is>
      </c>
    </row>
    <row r="32" ht="30" customHeight="1">
      <c r="A32" s="6" t="inlineStr">
        <is>
          <t>Capital</t>
        </is>
      </c>
      <c r="B32" s="5" t="inlineStr">
        <is>
          <t>The plan's capital table line by line, where the model pays each line, and the cash the plan's table leaves out.</t>
        </is>
      </c>
    </row>
    <row r="33" ht="15" customHeight="1">
      <c r="A33" s="6" t="inlineStr">
        <is>
          <t>Hours_Log</t>
        </is>
      </c>
      <c r="B33" s="5" t="inlineStr">
        <is>
          <t>The hand-filled hours log by the seven activity keys, with totals per drop and per week.</t>
        </is>
      </c>
    </row>
    <row r="34" ht="30" customHeight="1">
      <c r="A34" s="6" t="inlineStr">
        <is>
          <t>Toggl_Import</t>
        </is>
      </c>
      <c r="B34" s="5" t="inlineStr">
        <is>
          <t>Optional paste area for a Toggl export. Toggl says CSV export is a paid-plan feature; do not upgrade without a written yes.</t>
        </is>
      </c>
    </row>
    <row r="35" ht="30" customHeight="1">
      <c r="A35" s="6" t="inlineStr">
        <is>
          <t>Pipeline</t>
        </is>
      </c>
      <c r="B35" s="5" t="inlineStr">
        <is>
          <t>The event log from outreach, with distinct counts for every gate. Layout matches desk-drop-outreach/exports/pipeline_log.csv.</t>
        </is>
      </c>
    </row>
    <row r="36" ht="30" customHeight="1">
      <c r="A36" s="6" t="inlineStr">
        <is>
          <t>Actuals_Campaigns, Actuals_DropCosts</t>
        </is>
      </c>
      <c r="B36" s="5" t="inlineStr">
        <is>
          <t>Paste areas for campaign-ops/exports/campaign_actuals.csv and drop_costs.csv. Helper columns on the right; do not paste over them.</t>
        </is>
      </c>
    </row>
    <row r="37" ht="30" customHeight="1">
      <c r="A37" s="6" t="inlineStr">
        <is>
          <t>Drop_Actuals</t>
        </is>
      </c>
      <c r="B37" s="5" t="inlineStr">
        <is>
          <t>Actuals rolled up per drop: revenue, costs, hours, and the measurement ladder in separate columns. Read-only.</t>
        </is>
      </c>
    </row>
    <row r="38" ht="15" customHeight="1">
      <c r="A38" s="6" t="inlineStr">
        <is>
          <t>Cash_Ledger</t>
        </is>
      </c>
      <c r="B38" s="5" t="inlineStr">
        <is>
          <t>The monthly overhead payment schedule the cash flow reads. Read-only.</t>
        </is>
      </c>
    </row>
    <row r="39" ht="30" customHeight="1">
      <c r="A39" s="6" t="inlineStr">
        <is>
          <t>Checks</t>
        </is>
      </c>
      <c r="B39" s="5" t="inlineStr">
        <is>
          <t>Integrity, schedule, data and plan-reproduction checks. The Dashboard shows the integrity count.</t>
        </is>
      </c>
    </row>
    <row r="40" ht="30" customHeight="1">
      <c r="A40" s="6" t="inlineStr">
        <is>
          <t>Lists</t>
        </is>
      </c>
      <c r="B40" s="5" t="inlineStr">
        <is>
          <t>Fixed keys (delivery model, tier, activities, events), federal holidays and blackouts. Add holidays or blackouts in the blank yellow rows.</t>
        </is>
      </c>
    </row>
    <row r="42">
      <c r="A42" s="3" t="inlineStr">
        <is>
          <t>Colours and conventions</t>
        </is>
      </c>
      <c r="B42" s="4" t="n"/>
    </row>
    <row r="43" ht="15" customHeight="1">
      <c r="A43" s="6" t="inlineStr">
        <is>
          <t>Yellow cell, blue text</t>
        </is>
      </c>
      <c r="B43" s="5" t="inlineStr">
        <is>
          <t>An input. Type here.</t>
        </is>
      </c>
    </row>
    <row r="44" ht="15" customHeight="1">
      <c r="A44" s="6" t="inlineStr">
        <is>
          <t>Grey cell</t>
        </is>
      </c>
      <c r="B44" s="5" t="inlineStr">
        <is>
          <t>Calculated on the Inputs tab. Do not type over it.</t>
        </is>
      </c>
    </row>
    <row r="45" ht="15" customHeight="1">
      <c r="A45" s="6" t="inlineStr">
        <is>
          <t>Green cell</t>
        </is>
      </c>
      <c r="B45" s="5" t="inlineStr">
        <is>
          <t>A key output.</t>
        </is>
      </c>
    </row>
    <row r="46" ht="30" customHeight="1">
      <c r="A46" s="6" t="inlineStr">
        <is>
          <t>Formulas</t>
        </is>
      </c>
      <c r="B46" s="5" t="inlineStr">
        <is>
          <t>No numeric literal other than 0 or 1 appears in any formula; conversions such as days per week sit in input cells. _work/audit_formulas.py checks this.</t>
        </is>
      </c>
    </row>
    <row r="47" ht="15" customHeight="1">
      <c r="A47" s="6" t="inlineStr">
        <is>
          <t>Signs</t>
        </is>
      </c>
      <c r="B47" s="5" t="inlineStr">
        <is>
          <t>Cash outflows are negative on Cash_Flow. Costs are positive on the P&amp;L tabs.</t>
        </is>
      </c>
    </row>
    <row r="48" ht="15" customHeight="1">
      <c r="A48" s="6" t="inlineStr">
        <is>
          <t>Dates</t>
        </is>
      </c>
      <c r="B48" s="5" t="inlineStr">
        <is>
          <t>YYYY-MM-DD. Week 1 starts Monday 2026-10-26 (CONTRACTS section 3).</t>
        </is>
      </c>
    </row>
    <row r="50">
      <c r="A50" s="3" t="inlineStr">
        <is>
          <t>Plan readings (each verified by Plan_Check; none is a fudge)</t>
        </is>
      </c>
      <c r="B50" s="4" t="n"/>
    </row>
    <row r="51" ht="30" customHeight="1">
      <c r="A51" s="6" t="inlineStr">
        <is>
          <t>(a) Display kit</t>
        </is>
      </c>
      <c r="B51" s="5" t="inlineStr">
        <is>
          <t>$8 per office per drop, not per brand. Only this reproduces the scenario hard costs: a three-brand courier drop is $80 + $300 + $75 + $30 + $50 + $135 = $670. Per brand it would be $830.</t>
        </is>
      </c>
    </row>
    <row r="52" ht="45" customHeight="1">
      <c r="A52" s="6" t="inlineStr">
        <is>
          <t>(b) Campaign zero</t>
        </is>
      </c>
      <c r="B52" s="5" t="inlineStr">
        <is>
          <t>Reproduces with storage at $0 (sealed cases at home), transport $120 and processing at 3%: $40 + $120 + $0 + $30 + $50 + $36 = $276, which the plan rounds to $280. Contribution is $924 against the plan's $920, and $16.2 per hour.</t>
        </is>
      </c>
    </row>
    <row r="53" ht="15" customHeight="1">
      <c r="A53" s="6" t="inlineStr">
        <is>
          <t>(c) Direct-ship row</t>
        </is>
      </c>
      <c r="B53" s="5" t="inlineStr">
        <is>
          <t>The three-brand direct-ship row ($370) keeps the $75 storage allocation and $0 transport.</t>
        </is>
      </c>
    </row>
    <row r="54" ht="30" customHeight="1">
      <c r="A54" s="6" t="inlineStr">
        <is>
          <t>(d) The $1,000 price</t>
        </is>
      </c>
      <c r="B54" s="5" t="inlineStr">
        <is>
          <t>'At $1,000 the three-brand drop drops to about $47 an hour' assumes no card processing: $2,465 / 52 h = $47.4. With processing at 3% it is $45.7.</t>
        </is>
      </c>
    </row>
    <row r="55" ht="30" customHeight="1">
      <c r="A55" s="6" t="inlineStr">
        <is>
          <t>(e) Monthly steady state</t>
        </is>
      </c>
      <c r="B55" s="5" t="inlineStr">
        <is>
          <t>$9,000 revenue, about $1,350 hard costs and 104 hours is two three-brand courier drops: $1,340 in hard costs and $7,660 contribution. The plan rounds these.</t>
        </is>
      </c>
    </row>
    <row r="56" ht="30" customHeight="1">
      <c r="A56" s="6" t="inlineStr">
        <is>
          <t>(f) Fixed overhead</t>
        </is>
      </c>
      <c r="B56" s="5" t="inlineStr">
        <is>
          <t>$60 software + $100 insurance + $150 storage + $0 phone = $310 a month, inside the plan's $200 to $350. With home storage it is $160.</t>
        </is>
      </c>
    </row>
    <row r="57" ht="45" customHeight="1">
      <c r="A57" s="6" t="inlineStr">
        <is>
          <t>(g) Transport lump</t>
        </is>
      </c>
      <c r="B57" s="5" t="inlineStr">
        <is>
          <t>The plan's capital line 'Transport, campaigns zero to two: $600' does not reconcile to its own rates ($120 + $300 + $300 = $720). The model pays transport per drop at the rates; the capital table is reproduced as printed.</t>
        </is>
      </c>
    </row>
    <row r="58" ht="30" customHeight="1">
      <c r="A58" s="6" t="inlineStr">
        <is>
          <t>(h) Hours per win</t>
        </is>
      </c>
      <c r="B58" s="5" t="inlineStr">
        <is>
          <t>Six hours per standard brand win = five qualified conversations of 45 minutes (20% close rate) plus 2.25 hours of proposal and paperwork. The close rate on Inputs moves it.</t>
        </is>
      </c>
    </row>
    <row r="60">
      <c r="A60" s="3" t="inlineStr">
        <is>
          <t>How the model counts money (no double counting)</t>
        </is>
      </c>
      <c r="B60" s="4" t="n"/>
    </row>
    <row r="61" ht="60" customHeight="1">
      <c r="A61" s="5" t="inlineStr">
        <is>
          <t>Contribution follows the plan: revenue less hard costs, where hard costs include per-drop allocations of storage ($75), software ($30) and insurance ($50). Those allocations are views of monthly costs (monthly cost / two drops a month). The cash flow never reads them; it pays software, storage, insurance and phone once, from the Cash_Ledger schedule. Cash_Flow shows how much overhead the drops did not absorb in months with fewer than two drops.</t>
        </is>
      </c>
    </row>
    <row r="62" ht="45" customHeight="1">
      <c r="A62" s="5" t="inlineStr">
        <is>
          <t>Startup outlays (formation, publication, licence, printing, domain, professional hours, trademark) are paid once at their timing. Per-drop direct costs (kits, transport, kit mailing, card processing) are paid on the drop's dates. The plan's capital table is reproduced on Capital for comparison only; the cash flow does not read it.</t>
        </is>
      </c>
    </row>
    <row r="63" ht="45" customHeight="1">
      <c r="A63" s="5" t="inlineStr">
        <is>
          <t>Brand cash follows the plan's terms: founding brands pay in full before product ships (20 business days before the drop, so campaign zero's money lands at Gate 1); standard brands pay 50% at signature (at the latest, T-10) and 50% at placement confirmation (T+1). The invoice-to-cash lag is blank because the plan has none.</t>
        </is>
      </c>
    </row>
    <row r="65">
      <c r="A65" s="3" t="inlineStr">
        <is>
          <t>How shared drop costs split across brands</t>
        </is>
      </c>
      <c r="B65" s="4" t="n"/>
    </row>
    <row r="66" ht="60" customHeight="1">
      <c r="A66" s="5" t="inlineStr">
        <is>
          <t>A drop's shared costs (display kits, transport, kit mailing, overhead allocations) and shared hours (office coordination, the base of receiving, drop day, checks, admin) are split equally across the brands on the drop wherever a per-brand figure is shown (Calculator, break-even). Revenue, card processing, brand sales hours, per-brand kitting and reporting hours belong to each brand. No figure in the model depends on the split except those per-brand views.</t>
        </is>
      </c>
    </row>
    <row r="68">
      <c r="A68" s="3" t="inlineStr">
        <is>
          <t>Assumptions (numbered)</t>
        </is>
      </c>
      <c r="B68" s="4" t="n"/>
    </row>
    <row r="69" ht="60" customHeight="1">
      <c r="A69" s="6" t="inlineStr">
        <is>
          <t>1</t>
        </is>
      </c>
      <c r="B69" s="5" t="inlineStr">
        <is>
          <t>Prices are per office at the tier rate: $150 standard, $120 founding. Offices beyond the package (10 or 5) pay the $150 extra-office price. Founding-rate renewals pay $120 per office for any office count. A drop smaller than the package is priced pro rata; founder to confirm any minimum.</t>
        </is>
      </c>
    </row>
    <row r="70" ht="15" customHeight="1">
      <c r="A70" s="6" t="inlineStr">
        <is>
          <t>2</t>
        </is>
      </c>
      <c r="B70" s="5" t="inlineStr">
        <is>
          <t>A drop with zero brands does not run: no cost, no hours.</t>
        </is>
      </c>
    </row>
    <row r="71" ht="60" customHeight="1">
      <c r="A71" s="6" t="inlineStr">
        <is>
          <t>3</t>
        </is>
      </c>
      <c r="B71" s="5" t="inlineStr">
        <is>
          <t>Founder hours decompose the plan's table into rates: 10 hours per first (founding) brand, 6 per standard win, 2 per renewal, 4 per new office, 1 per existing office, 2 reporting per brand, 2 admin per drop, and logistics by delivery model (Inputs section 7). The rates reproduce all four columns exactly.</t>
        </is>
      </c>
    </row>
    <row r="72" ht="45" customHeight="1">
      <c r="A72" s="6" t="inlineStr">
        <is>
          <t>4</t>
        </is>
      </c>
      <c r="B72" s="5" t="inlineStr">
        <is>
          <t>A renewal fills a brand slot on a later drop at that brand's tier price and costs 2 hours of brand sales instead of 6. In the decision-window drops, renewals = renewal rate x brands, rounded.</t>
        </is>
      </c>
    </row>
    <row r="73" ht="30" customHeight="1">
      <c r="A73" s="6" t="inlineStr">
        <is>
          <t>5</t>
        </is>
      </c>
      <c r="B73" s="5" t="inlineStr">
        <is>
          <t>Card processing applies to every receipt while the toggle is 1 (high end of the 0% to 3% range). Set it to 0 to model bank transfer, the plan's preferred invoicing.</t>
        </is>
      </c>
    </row>
    <row r="74" ht="30" customHeight="1">
      <c r="A74" s="6" t="inlineStr">
        <is>
          <t>6</t>
        </is>
      </c>
      <c r="B74" s="5" t="inlineStr">
        <is>
          <t>Insurance is $100 a month (the plan's working figure), paid as one annual premium of $1,200 at bind on Gate 1. The capital table's $500 to $1,500 range is shown beside it.</t>
        </is>
      </c>
    </row>
    <row r="75" ht="30" customHeight="1">
      <c r="A75" s="6" t="inlineStr">
        <is>
          <t>7</t>
        </is>
      </c>
      <c r="B75" s="5" t="inlineStr">
        <is>
          <t>Storage: home for campaign zero, a $150-a-month unit from 2027-02-01 through the six months. Software $60 a month from week 1. Phone $0.</t>
        </is>
      </c>
    </row>
    <row r="76" ht="30" customHeight="1">
      <c r="A76" s="6" t="inlineStr">
        <is>
          <t>8</t>
        </is>
      </c>
      <c r="B76" s="5" t="inlineStr">
        <is>
          <t>Courier transport is $30 a stop ($300 for ten stops; range $25 to $40). Founder delivery is $120 a drop. Direct-ship transport is $0; mailing the kit ahead needs a quote.</t>
        </is>
      </c>
    </row>
    <row r="77" ht="45" customHeight="1">
      <c r="A77" s="6" t="inlineStr">
        <is>
          <t>9</t>
        </is>
      </c>
      <c r="B77" s="5" t="inlineStr">
        <is>
          <t>Startup outlays take the high end of each cost range unless the plan gives a working figure: publication $2,000 (New York County), warehouse licence $400, attorney and accountant about $700, trademark $350.</t>
        </is>
      </c>
    </row>
    <row r="78" ht="45" customHeight="1">
      <c r="A78" s="6" t="inlineStr">
        <is>
          <t>10</t>
        </is>
      </c>
      <c r="B78" s="5" t="inlineStr">
        <is>
          <t>Gate tests use real numbers only: the pipeline log for Gates 0 and 1, campaign actuals for Gates 2 and 3. A gate is 'not yet' until its review date passes, then 'miss' if the threshold is not met.</t>
        </is>
      </c>
    </row>
    <row r="79" ht="30" customHeight="1">
      <c r="A79" s="6" t="inlineStr">
        <is>
          <t>11</t>
        </is>
      </c>
      <c r="B79" s="5" t="inlineStr">
        <is>
          <t>Gate 2 tests five responses per office per brand campaign using survey_responses_min_office when operations supplies it, otherwise the average per office.</t>
        </is>
      </c>
    </row>
    <row r="80" ht="30" customHeight="1">
      <c r="A80" s="6" t="inlineStr">
        <is>
          <t>12</t>
        </is>
      </c>
      <c r="B80" s="5" t="inlineStr">
        <is>
          <t>The steady state uses the courier model, as the plan's monthly picture does; direct-ship raises contribution per hour.</t>
        </is>
      </c>
    </row>
    <row r="82">
      <c r="A82" s="3" t="inlineStr">
        <is>
          <t>Derived items (founder to confirm)</t>
        </is>
      </c>
      <c r="B82" s="4" t="n"/>
    </row>
    <row r="83" ht="45" customHeight="1">
      <c r="A83" s="6" t="inlineStr">
        <is>
          <t>D1</t>
        </is>
      </c>
      <c r="B83" s="5" t="inlineStr">
        <is>
          <t>Calendar from CONTRACTS section 3: week 1 2026-10-26; Gate 0 2026-11-13; Gate 1 2026-12-11; campaign zero Tue 2027-01-12 (moved by the December blackout); Gate 2 2027-01-22; standard drops Tue 2027-02-09 and Tue 2027-02-23; Gate 3 Fri 2027-03-12; decision 2027-04-09.</t>
        </is>
      </c>
    </row>
    <row r="84" ht="45" customHeight="1">
      <c r="A84" s="6" t="inlineStr">
        <is>
          <t>D2</t>
        </is>
      </c>
      <c r="B84" s="5" t="inlineStr">
        <is>
          <t>Two decision-window drops, Tue 2027-03-23 and Tue 2027-04-06, direct-ship, three brands each: the simplest schedule that meets the six-month goal of two renewals and scenario B's 'two more drops'.</t>
        </is>
      </c>
    </row>
    <row r="85" ht="30" customHeight="1">
      <c r="A85" s="6" t="inlineStr">
        <is>
          <t>D3</t>
        </is>
      </c>
      <c r="B85" s="5" t="inlineStr">
        <is>
          <t>New offices: five in campaign zero, five more in standard run 1 (to reach ten), two in run 2 (to reach the goal of 12 active offices).</t>
        </is>
      </c>
    </row>
    <row r="86" ht="30" customHeight="1">
      <c r="A86" s="6" t="inlineStr">
        <is>
          <t>D4</t>
        </is>
      </c>
      <c r="B86" s="5" t="inlineStr">
        <is>
          <t>Founding payment 20 business days before the drop (campaign zero's money at Gate 1). Standard signature at T-10 (the latest that still lets a brand ship). Balance at T+1.</t>
        </is>
      </c>
    </row>
    <row r="87" ht="45" customHeight="1">
      <c r="A87" s="6" t="inlineStr">
        <is>
          <t>D5</t>
        </is>
      </c>
      <c r="B87" s="5" t="inlineStr">
        <is>
          <t>Startup timing: domain week 1; LLC filing, publication and professional hours at Gate 0; certificate of publication 2026-12-28; insurance, licence and printing at Gate 1; trademark at Gate 2.</t>
        </is>
      </c>
    </row>
    <row r="88" ht="30" customHeight="1">
      <c r="A88" s="6" t="inlineStr">
        <is>
          <t>D6</t>
        </is>
      </c>
      <c r="B88" s="5" t="inlineStr">
        <is>
          <t>Hour rates for receiving and kitting, drop day and checks by delivery model, derived from the plan's table (Inputs section 7).</t>
        </is>
      </c>
    </row>
    <row r="89" ht="30" customHeight="1">
      <c r="A89" s="6" t="inlineStr">
        <is>
          <t>D7</t>
        </is>
      </c>
      <c r="B89" s="5" t="inlineStr">
        <is>
          <t>Scenario levers the plan does not name use the plan base and say so (Scenarios, source column). Scenario B's renewal is 0%, the low end of 'under 30%'.</t>
        </is>
      </c>
    </row>
    <row r="91">
      <c r="A91" s="3" t="inlineStr">
        <is>
          <t>Needs a quote or a founder decision (blank or flagged)</t>
        </is>
      </c>
      <c r="B91" s="4" t="n"/>
    </row>
    <row r="92" ht="15" customHeight="1">
      <c r="A92" s="6" t="inlineStr">
        <is>
          <t>Courier</t>
        </is>
      </c>
      <c r="B92" s="5" t="inlineStr">
        <is>
          <t>Three quotes for a ten-stop route. Default $30 a stop.</t>
        </is>
      </c>
    </row>
    <row r="93" ht="15" customHeight="1">
      <c r="A93" s="6" t="inlineStr">
        <is>
          <t>Insurance</t>
        </is>
      </c>
      <c r="B93" s="5" t="inlineStr">
        <is>
          <t>Three general liability quotes. Default $100 a month.</t>
        </is>
      </c>
    </row>
    <row r="94" ht="15" customHeight="1">
      <c r="A94" s="6" t="inlineStr">
        <is>
          <t>Kit mailing</t>
        </is>
      </c>
      <c r="B94" s="5" t="inlineStr">
        <is>
          <t>Postage to mail a display kit ahead of a direct-ship drop. Blank.</t>
        </is>
      </c>
    </row>
    <row r="95" ht="15" customHeight="1">
      <c r="A95" s="6" t="inlineStr">
        <is>
          <t>Extra tent cards</t>
        </is>
      </c>
      <c r="B95" s="5" t="inlineStr">
        <is>
          <t>Whether each brand on a drop needs its own card ($1 to $2 each). Blank, per reading (a).</t>
        </is>
      </c>
    </row>
    <row r="96" ht="15" customHeight="1">
      <c r="A96" s="6" t="inlineStr">
        <is>
          <t>Payment lag</t>
        </is>
      </c>
      <c r="B96" s="5" t="inlineStr">
        <is>
          <t>Your invoice terms. Blank = paid the day invoiced.</t>
        </is>
      </c>
    </row>
    <row r="97" ht="15" customHeight="1">
      <c r="A97" s="6" t="inlineStr">
        <is>
          <t>Founder cash</t>
        </is>
      </c>
      <c r="B97" s="5" t="inlineStr">
        <is>
          <t>What you commit to the six months (plan question 7). Blank.</t>
        </is>
      </c>
    </row>
    <row r="98" ht="15" customHeight="1">
      <c r="A98" s="6" t="inlineStr">
        <is>
          <t>Office-paid cost</t>
        </is>
      </c>
      <c r="B98" s="5" t="inlineStr">
        <is>
          <t>Cost to serve an office-paid office (scenario B). Blank.</t>
        </is>
      </c>
    </row>
    <row r="100">
      <c r="A100" s="3" t="inlineStr">
        <is>
          <t>Measurement honesty</t>
        </is>
      </c>
      <c r="B100" s="4" t="n"/>
    </row>
    <row r="101" ht="45" customHeight="1">
      <c r="A101" s="5" t="inlineStr">
        <is>
          <t>The ladder stays in separate columns everywhere: delivered, placed, depleted, responded (tried is a survey answer), scanned, purchased (code redemptions). Incremental purchases are not measured, and the column says so. There is no field for sales lift, conversions or ROI.</t>
        </is>
      </c>
    </row>
    <row r="103">
      <c r="A103" s="3" t="inlineStr">
        <is>
          <t>Google Sheets</t>
        </is>
      </c>
      <c r="B103" s="4" t="n"/>
    </row>
    <row r="104" ht="60" customHeight="1">
      <c r="A104" s="5" t="inlineStr">
        <is>
          <t>Built to open in Google Sheets with formulas intact: no macros, scripts, data tables, array formulas, named ranges or add-ons. Every function used appears in Google's Sheets function list (support.google.com/docs/table/25273, opened 2026-10-23). Import: File, Import, Upload, Replace spreadsheet. A live import was not possible from the build environment, so check Dashboard and Checks after the first import (unverified, founder to confirm).</t>
        </is>
      </c>
    </row>
    <row r="106">
      <c r="A106" s="3" t="inlineStr">
        <is>
          <t>Changelog</t>
        </is>
      </c>
      <c r="B106" s="4" t="n"/>
    </row>
    <row r="107" ht="30" customHeight="1">
      <c r="A107" s="6" t="inlineStr">
        <is>
          <t>Round 1</t>
        </is>
      </c>
      <c r="B107" s="5" t="inlineStr">
        <is>
          <t>Draft: built every tab, the shared engine, plan reproduction, cash flow, gates, scenarios, sensitivities and logs.</t>
        </is>
      </c>
    </row>
  </sheetData>
  <mergeCells count="8">
    <mergeCell ref="A62:B62"/>
    <mergeCell ref="A101:B101"/>
    <mergeCell ref="A104:B104"/>
    <mergeCell ref="A7:B7"/>
    <mergeCell ref="A63:B63"/>
    <mergeCell ref="A66:B66"/>
    <mergeCell ref="A61:B61"/>
    <mergeCell ref="A6:B6"/>
  </mergeCells>
  <pageMargins left="0.75" right="0.75" top="1" bottom="1" header="0.5" footer="0.5"/>
</worksheet>
</file>

<file path=xl/worksheets/sheet2.xml><?xml version="1.0" encoding="utf-8"?>
<worksheet xmlns="http://schemas.openxmlformats.org/spreadsheetml/2006/main">
  <sheetPr>
    <tabColor rgb="002E5E6B"/>
    <outlinePr summaryBelow="1" summaryRight="1"/>
    <pageSetUpPr/>
  </sheetPr>
  <dimension ref="A1:L84"/>
  <sheetViews>
    <sheetView zoomScale="90" workbookViewId="0">
      <selection activeCell="A1" sqref="A1"/>
    </sheetView>
  </sheetViews>
  <sheetFormatPr baseColWidth="8" defaultRowHeight="15"/>
  <cols>
    <col width="11" customWidth="1" min="1" max="1"/>
    <col width="54" customWidth="1" min="2" max="2"/>
    <col width="13" customWidth="1" min="3" max="3"/>
    <col width="13" customWidth="1" min="4" max="4"/>
    <col width="13" customWidth="1" min="5" max="5"/>
    <col width="12" customWidth="1" min="6" max="6"/>
    <col width="12" customWidth="1" min="7" max="7"/>
    <col width="12" customWidth="1" min="8" max="8"/>
    <col width="12" customWidth="1" min="9" max="9"/>
    <col width="13" customWidth="1" min="10" max="10"/>
    <col width="13" customWidth="1" min="11" max="11"/>
    <col width="13" customWidth="1" min="12" max="12"/>
  </cols>
  <sheetData>
    <row r="1">
      <c r="A1" s="1">
        <f>Inputs!$C$8&amp;" financial model v1"</f>
        <v/>
      </c>
    </row>
    <row r="2">
      <c r="A2" s="2">
        <f>Inputs!$C$9</f>
        <v/>
      </c>
    </row>
    <row r="3" ht="30" customHeight="1">
      <c r="A3" s="7" t="inlineStr">
        <is>
          <t>Planning estimates, not a forecast. Gates count real numbers only (pipeline log and actuals). Change assumptions on Inputs; type real numbers into the logs.</t>
        </is>
      </c>
    </row>
    <row r="5">
      <c r="B5" s="8" t="inlineStr">
        <is>
          <t>As of</t>
        </is>
      </c>
      <c r="C5" s="9">
        <f>Inputs!$C$17</f>
        <v/>
      </c>
      <c r="D5" s="8" t="inlineStr">
        <is>
          <t>Scenario in force</t>
        </is>
      </c>
      <c r="E5" s="8">
        <f>Inputs!$C$29</f>
        <v/>
      </c>
      <c r="F5" s="8" t="inlineStr">
        <is>
          <t>Model checks</t>
        </is>
      </c>
      <c r="G5" s="8">
        <f>IF(Checks!$D$34=0,"all integrity checks pass",Checks!$D$34&amp;" integrity check(s) failing")</f>
        <v/>
      </c>
    </row>
    <row r="7">
      <c r="A7" s="3" t="inlineStr">
        <is>
          <t>Headline</t>
        </is>
      </c>
      <c r="B7" s="4" t="n"/>
      <c r="C7" s="4" t="n"/>
      <c r="D7" s="4" t="n"/>
      <c r="E7" s="4" t="n"/>
      <c r="F7" s="4" t="n"/>
      <c r="G7" s="4" t="n"/>
      <c r="H7" s="4" t="n"/>
      <c r="I7" s="4" t="n"/>
    </row>
    <row r="8" ht="22" customHeight="1">
      <c r="B8" s="10" t="inlineStr">
        <is>
          <t>Measure</t>
        </is>
      </c>
      <c r="C8" s="10" t="inlineStr">
        <is>
          <t>Value</t>
        </is>
      </c>
      <c r="D8" s="10" t="inlineStr">
        <is>
          <t>Detail</t>
        </is>
      </c>
    </row>
    <row r="9">
      <c r="B9" t="inlineStr">
        <is>
          <t>Next scheduled drop</t>
        </is>
      </c>
      <c r="C9" s="11">
        <f>IFERROR(INDEX(Drop_PnL!$A$7:$A$18,MATCH(1,Drop_PnL!$BG$7:$BG$18,0)),"none scheduled")</f>
        <v/>
      </c>
      <c r="D9">
        <f>IFERROR(TEXT(INDEX(Drop_PnL!$B$7:$B$18,MATCH(1,Drop_PnL!$BG$7:$BG$18,0)),"ddd yyyy-mm-dd")&amp;", "&amp;INDEX(Drop_PnL!$C$7:$C$18,MATCH(1,Drop_PnL!$BG$7:$BG$18,0))&amp;", "&amp;INDEX(Drop_PnL!$G$7:$G$18,MATCH(1,Drop_PnL!$BG$7:$BG$18,0))&amp;" brand(s), "&amp;INDEX(Drop_PnL!$E$7:$E$18,MATCH(1,Drop_PnL!$BG$7:$BG$18,0))&amp;" offices","")</f>
        <v/>
      </c>
    </row>
    <row r="10">
      <c r="B10" t="inlineStr">
        <is>
          <t>Its contribution per founder hour (plan)</t>
        </is>
      </c>
      <c r="C10" s="12">
        <f>IFERROR(INDEX(Drop_PnL!$AK$7:$AK$18,MATCH(1,Drop_PnL!$BG$7:$BG$18,0)),"n/a")</f>
        <v/>
      </c>
      <c r="D10">
        <f>IFERROR("revenue "&amp;TEXT(INDEX(Drop_PnL!$S$7:$S$18,MATCH(1,Drop_PnL!$BG$7:$BG$18,0)),"$#,##0")&amp;", "&amp;TEXT(INDEX(Drop_PnL!$AI$7:$AI$18,MATCH(1,Drop_PnL!$BG$7:$BG$18,0)),"0")&amp;" founder hours","")</f>
        <v/>
      </c>
    </row>
    <row r="11">
      <c r="B11" t="inlineStr">
        <is>
          <t>Standard runs to Gate 3: contribution per founder hour, plan</t>
        </is>
      </c>
      <c r="C11" s="12">
        <f>E38</f>
        <v/>
      </c>
      <c r="D11">
        <f>"actual: "&amp;IF(F38="","not yet",TEXT(F38,"$#,##0.0"))&amp;"; target "&amp;TEXT(Inputs!$C$126,"$#,##0")</f>
        <v/>
      </c>
    </row>
    <row r="12">
      <c r="B12" t="inlineStr">
        <is>
          <t>Lowest point of cumulative cash (before founder cash)</t>
        </is>
      </c>
      <c r="C12" s="13">
        <f>Cash_Flow!$C$32</f>
        <v/>
      </c>
      <c r="D12">
        <f>"in week "&amp;Cash_Flow!$C$33&amp;", starting "&amp;TEXT(Cash_Flow!$C$34,"ddd yyyy-mm-dd")</f>
        <v/>
      </c>
    </row>
    <row r="13">
      <c r="B13" t="inlineStr">
        <is>
          <t>Capital to commit: lowest point plus the reserve</t>
        </is>
      </c>
      <c r="C13" s="13">
        <f>Cash_Flow!$C$37</f>
        <v/>
      </c>
      <c r="D13">
        <f>"reserve "&amp;TEXT(Inputs!$C$107,"$#,##0")&amp;" (plan)"</f>
        <v/>
      </c>
    </row>
    <row r="14">
      <c r="B14" t="inlineStr">
        <is>
          <t>Plan capital figure (high end of the plan's table)</t>
        </is>
      </c>
      <c r="C14" s="13">
        <f>Capital!$D$14</f>
        <v/>
      </c>
      <c r="D14">
        <f>"low end "&amp;TEXT(Capital!$C$14,"$#,##0")</f>
        <v/>
      </c>
    </row>
    <row r="15">
      <c r="B15" t="inlineStr">
        <is>
          <t>Gap to the plan capital figure (positive = headroom)</t>
        </is>
      </c>
      <c r="C15" s="13">
        <f>Cash_Flow!$C$39</f>
        <v/>
      </c>
      <c r="D15">
        <f>IF(C15&gt;=0,"the plan figure covers the model need","the model needs more than the plan figure")</f>
        <v/>
      </c>
    </row>
    <row r="16">
      <c r="B16" t="inlineStr">
        <is>
          <t>Founder cash committed</t>
        </is>
      </c>
      <c r="C16" s="13">
        <f>Cash_Flow!$C$40</f>
        <v/>
      </c>
      <c r="D16">
        <f>IF(Inputs!$C$105="","set it on Inputs (plan question 7)",IF(Inputs!$C$105&gt;=Cash_Flow!$C$37,"covers capital to commit","short of capital to commit by "&amp;TEXT(Cash_Flow!$C$37-Inputs!$C$105,"$#,##0")))</f>
        <v/>
      </c>
    </row>
    <row r="17">
      <c r="B17" t="inlineStr">
        <is>
          <t>Overhead paid but not absorbed by drops, six months</t>
        </is>
      </c>
      <c r="C17" s="13">
        <f>Cash_Flow!$C$69</f>
        <v/>
      </c>
      <c r="D17">
        <f>"paid "&amp;TEXT(Cash_Flow!$C$68,"$#,##0")&amp;", allocated to drops "&amp;TEXT(Cash_Flow!$C$67,"$#,##0")&amp;": the ramp-up months carry overhead with few drops"</f>
        <v/>
      </c>
    </row>
    <row r="18">
      <c r="B18" t="inlineStr">
        <is>
          <t>Six months all-in: contribution after all overhead per founder hour</t>
        </is>
      </c>
      <c r="C18" s="12">
        <f>IF(SUMIFS(Drop_PnL!$BC$7:$BC$18,Drop_PnL!$B$7:$B$18,"&lt;="&amp;Cash_Flow!$AB$6)+Inputs!$C$90*Inputs!$C$91&gt;0,(SUMIFS(Drop_PnL!$BD$7:$BD$18,Drop_PnL!$B$7:$B$18,"&lt;="&amp;Cash_Flow!$AB$6)-Cash_Flow!$C$69)/(SUMIFS(Drop_PnL!$BC$7:$BC$18,Drop_PnL!$B$7:$B$18,"&lt;="&amp;Cash_Flow!$AB$6)+Inputs!$C$90*Inputs!$C$91),"n/a")</f>
        <v/>
      </c>
      <c r="D18">
        <f>"includes "&amp;TEXT(Inputs!$C$90*Inputs!$C$91,"0")&amp;" discovery hours; after one-time startup outlays: "&amp;IF(SUMIFS(Drop_PnL!$BC$7:$BC$18,Drop_PnL!$B$7:$B$18,"&lt;="&amp;Cash_Flow!$AB$6)+Inputs!$C$90*Inputs!$C$91&gt;0,TEXT((SUMIFS(Drop_PnL!$BD$7:$BD$18,Drop_PnL!$B$7:$B$18,"&lt;="&amp;Cash_Flow!$AB$6)-Cash_Flow!$C$69-Inputs!$Q$160)/(SUMIFS(Drop_PnL!$BC$7:$BC$18,Drop_PnL!$B$7:$B$18,"&lt;="&amp;Cash_Flow!$AB$6)+Inputs!$C$90*Inputs!$C$91),"$#,##0.0"),"n/a")&amp;" per hour"</f>
        <v/>
      </c>
    </row>
    <row r="19">
      <c r="B19" t="inlineStr">
        <is>
          <t>Steady state, scenario in force: contribution per month</t>
        </is>
      </c>
      <c r="C19" s="13">
        <f>Steady_State!$D$26</f>
        <v/>
      </c>
      <c r="D19">
        <f>"per founder hour "&amp;IF(ISNUMBER(Steady_State!$D$27),TEXT(Steady_State!$D$27,"$#,##0.0"),"n/a")&amp;"; net of all overhead "&amp;TEXT(Steady_State!$D$37,"$#,##0")&amp;" a month"</f>
        <v/>
      </c>
    </row>
    <row r="20">
      <c r="B20" t="inlineStr">
        <is>
          <t>Office-fatigue warnings on Schedule</t>
        </is>
      </c>
      <c r="C20" s="14">
        <f>COUNTIF(Schedule!$W$7:$W$18,"some*")</f>
        <v/>
      </c>
      <c r="D20">
        <f>IF(C20=0,"no office gets two drops within four weeks","drops where some offices get a second drop within four weeks (plan: one drop a month)")</f>
        <v/>
      </c>
    </row>
    <row r="21">
      <c r="B21" t="inlineStr">
        <is>
          <t>Schedule rows changed or added since the derived default</t>
        </is>
      </c>
      <c r="C21" s="14">
        <f>COUNTIF(Schedule!$X$7:$X$18,"changed")</f>
        <v/>
      </c>
      <c r="D21">
        <f>IF(C21=0,"schedule is the derived default","edited by you")</f>
        <v/>
      </c>
    </row>
    <row r="22">
      <c r="B22" t="inlineStr">
        <is>
          <t>Inputs changed from plan defaults</t>
        </is>
      </c>
      <c r="C22" s="14">
        <f>Inputs!$C$162</f>
        <v/>
      </c>
      <c r="D22">
        <f>IF(Checks!$D$36=0,"plan figures reproduce","plan reproduction differs in "&amp;Checks!$D$36&amp;" check(s); expected after edits")</f>
        <v/>
      </c>
    </row>
    <row r="24">
      <c r="A24" s="3" t="inlineStr">
        <is>
          <t>Gate dashboard (live values are actuals only)</t>
        </is>
      </c>
      <c r="B24" s="4" t="n"/>
      <c r="C24" s="4" t="n"/>
      <c r="D24" s="4" t="n"/>
      <c r="E24" s="4" t="n"/>
      <c r="F24" s="4" t="n"/>
      <c r="G24" s="4" t="n"/>
      <c r="H24" s="4" t="n"/>
      <c r="I24" s="4" t="n"/>
    </row>
    <row r="25" ht="30" customHeight="1">
      <c r="A25" s="10" t="inlineStr">
        <is>
          <t>Gate</t>
        </is>
      </c>
      <c r="B25" s="10" t="inlineStr">
        <is>
          <t>Test</t>
        </is>
      </c>
      <c r="C25" s="10" t="inlineStr">
        <is>
          <t>Review date</t>
        </is>
      </c>
      <c r="D25" s="10" t="inlineStr">
        <is>
          <t>Threshold</t>
        </is>
      </c>
      <c r="E25" s="10" t="inlineStr">
        <is>
          <t>Model assumes</t>
        </is>
      </c>
      <c r="F25" s="10" t="inlineStr">
        <is>
          <t>Live value</t>
        </is>
      </c>
      <c r="G25" s="10" t="inlineStr">
        <is>
          <t>Status</t>
        </is>
      </c>
      <c r="H25" s="10" t="inlineStr">
        <is>
          <t>If it fails (plan)</t>
        </is>
      </c>
      <c r="I25" s="15" t="n"/>
      <c r="J25" s="15" t="n"/>
      <c r="K25" s="16" t="n"/>
    </row>
    <row r="26" ht="30" customHeight="1">
      <c r="A26" s="8" t="inlineStr">
        <is>
          <t>Gate 0</t>
        </is>
      </c>
      <c r="B26" s="5" t="inlineStr">
        <is>
          <t>Office conversations held (context)</t>
        </is>
      </c>
      <c r="C26" s="17">
        <f>Inputs!$C$11</f>
        <v/>
      </c>
      <c r="D26" s="18">
        <f>Inputs!$C$112</f>
        <v/>
      </c>
      <c r="E26" s="18" t="inlineStr"/>
      <c r="F26" s="19">
        <f>Pipeline!$U$5</f>
        <v/>
      </c>
      <c r="G26" s="20" t="inlineStr">
        <is>
          <t>info</t>
        </is>
      </c>
      <c r="H26" s="21" t="inlineStr"/>
    </row>
    <row r="27" ht="30" customHeight="1">
      <c r="A27" s="8" t="inlineStr">
        <is>
          <t>Gate 0</t>
        </is>
      </c>
      <c r="B27" s="5" t="inlineStr">
        <is>
          <t>Offices yes in principle, with owner and receiving window</t>
        </is>
      </c>
      <c r="C27" s="17">
        <f>Inputs!$C$11</f>
        <v/>
      </c>
      <c r="D27" s="18">
        <f>Inputs!$C$111</f>
        <v/>
      </c>
      <c r="E27" s="18" t="inlineStr"/>
      <c r="F27" s="19">
        <f>Pipeline!$U$6</f>
        <v/>
      </c>
      <c r="G27" s="20">
        <f>IF(F27="",IF(Inputs!$C$17&gt;C27,"miss","not yet"),IF(F27&gt;=D27,"pass",IF(Inputs!$C$17&gt;C27,"miss","not yet")))</f>
        <v/>
      </c>
      <c r="H27" s="21" t="inlineStr">
        <is>
          <t>Fewer than 5 offices: change the cluster or office size band, not the model.</t>
        </is>
      </c>
    </row>
    <row r="28" ht="30" customHeight="1">
      <c r="A28" s="8" t="inlineStr">
        <is>
          <t>Gate 0</t>
        </is>
      </c>
      <c r="B28" s="5" t="inlineStr">
        <is>
          <t>Brand conversations held (context)</t>
        </is>
      </c>
      <c r="C28" s="17">
        <f>Inputs!$C$11</f>
        <v/>
      </c>
      <c r="D28" s="18">
        <f>Inputs!$C$115</f>
        <v/>
      </c>
      <c r="E28" s="18" t="inlineStr"/>
      <c r="F28" s="19">
        <f>Pipeline!$U$7</f>
        <v/>
      </c>
      <c r="G28" s="20" t="inlineStr">
        <is>
          <t>info</t>
        </is>
      </c>
      <c r="H28" s="21" t="inlineStr"/>
    </row>
    <row r="29" ht="30" customHeight="1">
      <c r="A29" s="8" t="inlineStr">
        <is>
          <t>Gate 0</t>
        </is>
      </c>
      <c r="B29" s="5" t="inlineStr">
        <is>
          <t>Brands that would pay $500 or more and control the budget</t>
        </is>
      </c>
      <c r="C29" s="17">
        <f>Inputs!$C$11</f>
        <v/>
      </c>
      <c r="D29" s="18">
        <f>Inputs!$C$113</f>
        <v/>
      </c>
      <c r="E29" s="18" t="inlineStr"/>
      <c r="F29" s="19">
        <f>Pipeline!$U$8</f>
        <v/>
      </c>
      <c r="G29" s="20">
        <f>IF(F29="",IF(Inputs!$C$17&gt;C29,"miss","not yet"),IF(F29&gt;=D29,"pass",IF(Inputs!$C$17&gt;C29,"miss","not yet")))</f>
        <v/>
      </c>
      <c r="H29" s="21" t="inlineStr">
        <is>
          <t>Fewer than 3: test the office-paid version for three more weeks before deciding.</t>
        </is>
      </c>
    </row>
    <row r="30" ht="30" customHeight="1">
      <c r="A30" s="8" t="inlineStr">
        <is>
          <t>Gate 1</t>
        </is>
      </c>
      <c r="B30" s="5" t="inlineStr">
        <is>
          <t>Offices signed</t>
        </is>
      </c>
      <c r="C30" s="17">
        <f>Inputs!$C$12</f>
        <v/>
      </c>
      <c r="D30" s="18">
        <f>Inputs!$C$116</f>
        <v/>
      </c>
      <c r="E30" s="18">
        <f>Drop_PnL!E7</f>
        <v/>
      </c>
      <c r="F30" s="19">
        <f>Pipeline!$U$9</f>
        <v/>
      </c>
      <c r="G30" s="20">
        <f>IF(F30="",IF(Inputs!$C$17&gt;C30,"miss","not yet"),IF(F30&gt;=D30,"pass",IF(Inputs!$C$17&gt;C30,"miss","not yet")))</f>
        <v/>
      </c>
      <c r="H30" s="21" t="inlineStr">
        <is>
          <t>Offices sign but no brand pays even $600: pivot to office-paid or stop. No free campaign.</t>
        </is>
      </c>
    </row>
    <row r="31" ht="30" customHeight="1">
      <c r="A31" s="8" t="inlineStr">
        <is>
          <t>Gate 1</t>
        </is>
      </c>
      <c r="B31" s="5" t="inlineStr">
        <is>
          <t>Combined Tuesday headcount of signed offices</t>
        </is>
      </c>
      <c r="C31" s="17">
        <f>Inputs!$C$12</f>
        <v/>
      </c>
      <c r="D31" s="22">
        <f>Inputs!$C$117</f>
        <v/>
      </c>
      <c r="E31" s="22" t="inlineStr"/>
      <c r="F31" s="23">
        <f>Pipeline!$U$10</f>
        <v/>
      </c>
      <c r="G31" s="20">
        <f>IF(F31="",IF(Inputs!$C$17&gt;C31,"miss","not yet"),IF(F31&gt;=D31,"pass",IF(Inputs!$C$17&gt;C31,"miss","not yet")))</f>
        <v/>
      </c>
      <c r="H31" s="21" t="inlineStr"/>
    </row>
    <row r="32" ht="30" customHeight="1">
      <c r="A32" s="8" t="inlineStr">
        <is>
          <t>Gate 1</t>
        </is>
      </c>
      <c r="B32" s="5" t="inlineStr">
        <is>
          <t>Brands paid in full</t>
        </is>
      </c>
      <c r="C32" s="17">
        <f>Inputs!$C$12</f>
        <v/>
      </c>
      <c r="D32" s="18">
        <f>Inputs!$C$118</f>
        <v/>
      </c>
      <c r="E32" s="18">
        <f>Drop_PnL!G7</f>
        <v/>
      </c>
      <c r="F32" s="19">
        <f>Pipeline!$U$11</f>
        <v/>
      </c>
      <c r="G32" s="20">
        <f>IF(F32="",IF(Inputs!$C$17&gt;C32,"miss","not yet"),IF(F32&gt;=D32,"pass",IF(Inputs!$C$17&gt;C32,"miss","not yet")))</f>
        <v/>
      </c>
      <c r="H32" s="21" t="inlineStr">
        <is>
          <t>One paid brand is a soft pass: run it, make the second sale first.</t>
        </is>
      </c>
    </row>
    <row r="33" ht="30" customHeight="1">
      <c r="A33" s="8" t="inlineStr">
        <is>
          <t>Gate 2</t>
        </is>
      </c>
      <c r="B33" s="5" t="inlineStr">
        <is>
          <t>Units placed within one business day (share of delivered)</t>
        </is>
      </c>
      <c r="C33" s="17">
        <f>Inputs!$C$13</f>
        <v/>
      </c>
      <c r="D33" s="24">
        <f>Inputs!$C$120</f>
        <v/>
      </c>
      <c r="E33" s="24" t="inlineStr"/>
      <c r="F33" s="25">
        <f>IFERROR(INDEX(Drop_Actuals!$AG$7:$AG$18,MATCH(Inputs!$C$119,Drop_Actuals!$A$7:$A$18,0)),"")</f>
        <v/>
      </c>
      <c r="G33" s="20">
        <f>IF(F33="",IF(Inputs!$C$17&gt;C33,"miss","not yet"),IF(F33&gt;=D33,"pass",IF(Inputs!$C$17&gt;C33,"miss","not yet")))</f>
        <v/>
      </c>
      <c r="H33" s="21" t="inlineStr">
        <is>
          <t>Fix the procedure once (card, handoff, Slack post). A second miss is a stop signal.</t>
        </is>
      </c>
    </row>
    <row r="34" ht="30" customHeight="1">
      <c r="A34" s="8" t="inlineStr">
        <is>
          <t>Gate 2</t>
        </is>
      </c>
      <c r="B34" s="5" t="inlineStr">
        <is>
          <t>Brand campaigns under 5 survey responses per office (must be 0)</t>
        </is>
      </c>
      <c r="C34" s="17">
        <f>Inputs!$C$13</f>
        <v/>
      </c>
      <c r="D34" s="18" t="n">
        <v>0</v>
      </c>
      <c r="E34" s="18" t="inlineStr"/>
      <c r="F34" s="19">
        <f>IF(N(IFERROR(INDEX(Drop_Actuals!$AF$7:$AF$18,MATCH(Inputs!$C$119,Drop_Actuals!$A$7:$A$18,0)),""))=0,"",IFERROR(INDEX(Drop_Actuals!$AH$7:$AH$18,MATCH(Inputs!$C$119,Drop_Actuals!$A$7:$A$18,0)),""))</f>
        <v/>
      </c>
      <c r="G34" s="20">
        <f>IF(F34="",IF(Inputs!$C$17&gt;C34,"miss","not yet"),IF(F34&lt;=D34,"pass",IF(Inputs!$C$17&gt;C34,"miss","not yet")))</f>
        <v/>
      </c>
      <c r="H34" s="21" t="inlineStr"/>
    </row>
    <row r="35" ht="30" customHeight="1">
      <c r="A35" s="8" t="inlineStr">
        <is>
          <t>Gate 2</t>
        </is>
      </c>
      <c r="B35" s="5" t="inlineStr">
        <is>
          <t>Reports late (after T+7) or missing (must be 0)</t>
        </is>
      </c>
      <c r="C35" s="17">
        <f>Inputs!$C$13</f>
        <v/>
      </c>
      <c r="D35" s="18" t="n">
        <v>0</v>
      </c>
      <c r="E35" s="18" t="inlineStr"/>
      <c r="F35" s="19">
        <f>IF(N(IFERROR(INDEX(Drop_Actuals!$AF$7:$AF$18,MATCH(Inputs!$C$119,Drop_Actuals!$A$7:$A$18,0)),""))=0,"",IFERROR(INDEX(Drop_Actuals!$AI$7:$AI$18,MATCH(Inputs!$C$119,Drop_Actuals!$A$7:$A$18,0)),""))</f>
        <v/>
      </c>
      <c r="G35" s="20">
        <f>IF(F35="",IF(Inputs!$C$17&gt;C35,"miss","not yet"),IF(F35&lt;=D35,"pass",IF(Inputs!$C$17&gt;C35,"miss","not yet")))</f>
        <v/>
      </c>
      <c r="H35" s="21" t="inlineStr"/>
    </row>
    <row r="36" ht="30" customHeight="1">
      <c r="A36" s="8" t="inlineStr">
        <is>
          <t>Gate 2</t>
        </is>
      </c>
      <c r="B36" s="5" t="inlineStr">
        <is>
          <t>Brands that would buy again</t>
        </is>
      </c>
      <c r="C36" s="17">
        <f>Inputs!$C$13</f>
        <v/>
      </c>
      <c r="D36" s="18">
        <f>Inputs!$C$123</f>
        <v/>
      </c>
      <c r="E36" s="18" t="inlineStr"/>
      <c r="F36" s="19">
        <f>IF(N(IFERROR(INDEX(Drop_Actuals!$AF$7:$AF$18,MATCH(Inputs!$C$119,Drop_Actuals!$A$7:$A$18,0)),""))=0,"",IFERROR(INDEX(Drop_Actuals!$AJ$7:$AJ$18,MATCH(Inputs!$C$119,Drop_Actuals!$A$7:$A$18,0)),""))</f>
        <v/>
      </c>
      <c r="G36" s="20">
        <f>IF(F36="",IF(Inputs!$C$17&gt;C36,"miss","not yet"),IF(F36&gt;=D36,"pass",IF(Inputs!$C$17&gt;C36,"miss","not yet")))</f>
        <v/>
      </c>
      <c r="H36" s="21" t="inlineStr"/>
    </row>
    <row r="37" ht="30" customHeight="1">
      <c r="A37" s="8" t="inlineStr">
        <is>
          <t>Gate 3</t>
        </is>
      </c>
      <c r="B37" s="5" t="inlineStr">
        <is>
          <t>Renewals at $1,500 or more, signed by the review date</t>
        </is>
      </c>
      <c r="C37" s="17">
        <f>Inputs!$C$14</f>
        <v/>
      </c>
      <c r="D37" s="18">
        <f>Inputs!$C$124</f>
        <v/>
      </c>
      <c r="E37" s="18">
        <f>SUMIFS(Drop_PnL!$H$7:$H$18,Drop_PnL!$AQ$7:$AQ$18,"&lt;="&amp;Inputs!$C$14)-SUMIFS(Drop_PnL!$I$7:$I$18,Drop_PnL!$AQ$7:$AQ$18,"&lt;="&amp;Inputs!$C$14)</f>
        <v/>
      </c>
      <c r="F37" s="19">
        <f>Pipeline!$U$12</f>
        <v/>
      </c>
      <c r="G37" s="20">
        <f>IF(F37="",IF(Inputs!$C$17&gt;C37,"miss","not yet"),IF(F37&gt;=D37,"pass",IF(Inputs!$C$17&gt;C37,"miss","not yet")))</f>
        <v/>
      </c>
      <c r="H37" s="21" t="inlineStr">
        <is>
          <t>No renewal: redesign the evidence (velocity, redemptions), run one more drop. A second miss is a stop.</t>
        </is>
      </c>
    </row>
    <row r="38" ht="30" customHeight="1">
      <c r="A38" s="8" t="inlineStr">
        <is>
          <t>Gate 3</t>
        </is>
      </c>
      <c r="B38" s="5" t="inlineStr">
        <is>
          <t>Contribution per founder hour, standard runs</t>
        </is>
      </c>
      <c r="C38" s="17">
        <f>Inputs!$C$14</f>
        <v/>
      </c>
      <c r="D38" s="26">
        <f>Inputs!$C$126</f>
        <v/>
      </c>
      <c r="E38" s="26">
        <f>IF(SUMIFS(Drop_PnL!$AI$7:$AI$18,Drop_PnL!$D$7:$D$18,"standard",Drop_PnL!$B$7:$B$18,"&lt;="&amp;Inputs!$C$14)&gt;0,SUMIFS(Drop_PnL!$AJ$7:$AJ$18,Drop_PnL!$D$7:$D$18,"standard",Drop_PnL!$B$7:$B$18,"&lt;="&amp;Inputs!$C$14)/SUMIFS(Drop_PnL!$AI$7:$AI$18,Drop_PnL!$D$7:$D$18,"standard",Drop_PnL!$B$7:$B$18,"&lt;="&amp;Inputs!$C$14),"")</f>
        <v/>
      </c>
      <c r="F38" s="27">
        <f>IF(SUMIFS(Drop_Actuals!$R$7:$R$18,Drop_PnL!$D$7:$D$18,"standard",Drop_PnL!$B$7:$B$18,"&lt;="&amp;Inputs!$C$14,Drop_PnL!$AZ$7:$AZ$18,"Y")&gt;0,SUMIFS(Drop_Actuals!$S$7:$S$18,Drop_PnL!$D$7:$D$18,"standard",Drop_PnL!$B$7:$B$18,"&lt;="&amp;Inputs!$C$14,Drop_PnL!$AZ$7:$AZ$18,"Y")/SUMIFS(Drop_Actuals!$R$7:$R$18,Drop_PnL!$D$7:$D$18,"standard",Drop_PnL!$B$7:$B$18,"&lt;="&amp;Inputs!$C$14,Drop_PnL!$AZ$7:$AZ$18,"Y"),"")</f>
        <v/>
      </c>
      <c r="G38" s="20">
        <f>IF(F38="",IF(Inputs!$C$17&gt;C38,"miss","not yet"),IF(F38&gt;=D38,"pass",IF(Inputs!$C$17&gt;C38,"miss","not yet")))</f>
        <v/>
      </c>
      <c r="H38" s="21" t="inlineStr"/>
    </row>
    <row r="40" ht="22" customHeight="1">
      <c r="A40" s="10" t="inlineStr">
        <is>
          <t>Gate</t>
        </is>
      </c>
      <c r="B40" s="10" t="inlineStr">
        <is>
          <t>Review date</t>
        </is>
      </c>
      <c r="C40" s="10" t="inlineStr">
        <is>
          <t>Overall</t>
        </is>
      </c>
    </row>
    <row r="41">
      <c r="A41" s="8" t="inlineStr">
        <is>
          <t>Gate 0</t>
        </is>
      </c>
      <c r="B41" s="17">
        <f>C26</f>
        <v/>
      </c>
      <c r="C41" s="8">
        <f>IF(IF(G27="miss",1,0)+IF(G29="miss",1,0)&gt;0,"miss",IF(IF(G27="not yet",1,0)+IF(G29="not yet",1,0)&gt;0,"not yet","pass"))</f>
        <v/>
      </c>
    </row>
    <row r="42">
      <c r="A42" s="8" t="inlineStr">
        <is>
          <t>Gate 1</t>
        </is>
      </c>
      <c r="B42" s="17">
        <f>C30</f>
        <v/>
      </c>
      <c r="C42" s="8">
        <f>IF(IF(G30="miss",1,0)+IF(G31="miss",1,0)+IF(G32="miss",1,0)&gt;0,"miss",IF(IF(G30="not yet",1,0)+IF(G31="not yet",1,0)+IF(G32="not yet",1,0)&gt;0,"not yet","pass"))</f>
        <v/>
      </c>
    </row>
    <row r="43">
      <c r="A43" s="8" t="inlineStr">
        <is>
          <t>Gate 2</t>
        </is>
      </c>
      <c r="B43" s="17">
        <f>C33</f>
        <v/>
      </c>
      <c r="C43" s="8">
        <f>IF(IF(G33="miss",1,0)+IF(G34="miss",1,0)+IF(G35="miss",1,0)+IF(G36="miss",1,0)&gt;0,"miss",IF(IF(G33="not yet",1,0)+IF(G34="not yet",1,0)+IF(G35="not yet",1,0)+IF(G36="not yet",1,0)&gt;0,"not yet","pass"))</f>
        <v/>
      </c>
    </row>
    <row r="44">
      <c r="A44" s="8" t="inlineStr">
        <is>
          <t>Gate 3</t>
        </is>
      </c>
      <c r="B44" s="17">
        <f>C37</f>
        <v/>
      </c>
      <c r="C44" s="8">
        <f>IF(IF(G37="miss",1,0)+IF(G38="miss",1,0)&gt;0,"miss",IF(IF(G37="not yet",1,0)+IF(G38="not yet",1,0)&gt;0,"not yet","pass"))</f>
        <v/>
      </c>
    </row>
    <row r="46">
      <c r="A46" s="3" t="inlineStr">
        <is>
          <t>Decision rule (plan): scale, switch to office-paid, or stop</t>
        </is>
      </c>
      <c r="B46" s="4" t="n"/>
      <c r="C46" s="4" t="n"/>
      <c r="D46" s="4" t="n"/>
      <c r="E46" s="4" t="n"/>
      <c r="F46" s="4" t="n"/>
      <c r="G46" s="4" t="n"/>
      <c r="H46" s="4" t="n"/>
      <c r="I46" s="4" t="n"/>
    </row>
    <row r="47">
      <c r="B47" t="inlineStr">
        <is>
          <t>Brand renewal rate (renewed Y / answered Y or N)</t>
        </is>
      </c>
      <c r="C47" s="25">
        <f>IF(COUNTIF(Actuals_Campaigns!$W$5:$W$204,"Y")+COUNTIF(Actuals_Campaigns!$W$5:$W$204,"N")=0,"",COUNTIF(Actuals_Campaigns!$W$5:$W$204,"Y")/(COUNTIF(Actuals_Campaigns!$W$5:$W$204,"Y")+COUNTIF(Actuals_Campaigns!$W$5:$W$204,"N")))</f>
        <v/>
      </c>
    </row>
    <row r="48">
      <c r="B48" t="inlineStr">
        <is>
          <t>Offices that named $100 a month or more</t>
        </is>
      </c>
      <c r="C48" s="19">
        <f>Pipeline!$U$13</f>
        <v/>
      </c>
    </row>
    <row r="49">
      <c r="B49" t="inlineStr">
        <is>
          <t>Drops after Gate 3 with actuals in</t>
        </is>
      </c>
      <c r="C49" s="19">
        <f>COUNTIFS(Drop_PnL!$B$7:$B$18,"&gt;"&amp;Inputs!$C$14,Drop_PnL!$AZ$7:$AZ$18,"Y",Drop_PnL!$N$7:$N$18,1)</f>
        <v/>
      </c>
    </row>
    <row r="50">
      <c r="B50" t="inlineStr">
        <is>
          <t>Gate 3</t>
        </is>
      </c>
      <c r="C50" s="8">
        <f>Dashboard!$C$44</f>
        <v/>
      </c>
    </row>
    <row r="51">
      <c r="B51" s="8" t="inlineStr">
        <is>
          <t>The rule says</t>
        </is>
      </c>
      <c r="C51" s="11">
        <f>IF(C47="","not yet: no renewal answers",IF(AND(C50="pass",C47&gt;=Inputs!$C$127),"Scale",IF(AND(C48&gt;=Inputs!$C$128,C47&lt;Inputs!$C$130,C49&gt;=Inputs!$C$131),"Switch to office-paid",IF(AND(C47&gt;=Inputs!$C$130,C47&lt;Inputs!$C$127),"Rule silent: renewal between "&amp;TEXT(Inputs!$C$130,"0%")&amp;" and "&amp;TEXT(Inputs!$C$127,"0%"),IF(Inputs!$C$17&gt;Inputs!$C$15,"Stop","not yet: stop if nothing changes by the decision date")))))</f>
        <v/>
      </c>
    </row>
    <row r="52" ht="30" customHeight="1">
      <c r="B52" s="28" t="inlineStr">
        <is>
          <t>Stated once (plan)</t>
        </is>
      </c>
      <c r="C52" s="21" t="inlineStr">
        <is>
          <t>Scale if Gate 3 passed and renewal is 40% or more. Switch to office-paid if at least five offices named $100 a month or more and brand renewal is under 30% after two extra drops. Stop if both fail.</t>
        </is>
      </c>
    </row>
    <row r="54">
      <c r="B54" t="inlineStr">
        <is>
          <t>Placement within one business day, all drops with actuals</t>
        </is>
      </c>
      <c r="C54" s="25">
        <f>IF(SUMIFS(Drop_Actuals!$V$7:$V$18,Drop_PnL!$AZ$7:$AZ$18,"Y")=0,"",SUMIFS(Drop_Actuals!$X$7:$X$18,Drop_PnL!$AZ$7:$AZ$18,"Y")/SUMIFS(Drop_Actuals!$V$7:$V$18,Drop_PnL!$AZ$7:$AZ$18,"Y"))</f>
        <v/>
      </c>
    </row>
    <row r="55">
      <c r="B55" t="inlineStr">
        <is>
          <t>Drops with actuals below the placement threshold</t>
        </is>
      </c>
      <c r="C55" s="19">
        <f>COUNTIFS(Drop_PnL!$AZ$7:$AZ$18,"Y",Drop_Actuals!$AG$7:$AG$18,"&lt;"&amp;Inputs!$C$120)</f>
        <v/>
      </c>
    </row>
    <row r="56">
      <c r="B56" t="inlineStr">
        <is>
          <t>Contribution per founder hour, all drops with actuals</t>
        </is>
      </c>
      <c r="C56" s="27">
        <f>IF(SUMIFS(Drop_Actuals!$R$7:$R$18,Drop_PnL!$AZ$7:$AZ$18,"Y")&gt;0,SUMIFS(Drop_Actuals!$S$7:$S$18,Drop_PnL!$AZ$7:$AZ$18,"Y")/SUMIFS(Drop_Actuals!$R$7:$R$18,Drop_PnL!$AZ$7:$AZ$18,"Y"),"")</f>
        <v/>
      </c>
    </row>
    <row r="57">
      <c r="B57" s="8" t="inlineStr">
        <is>
          <t>Scenario the real numbers point to</t>
        </is>
      </c>
      <c r="C57" s="11">
        <f>IF(C54="","not enough data yet",IF(AND(C47&lt;&gt;"",N(C47)=0,C54&lt;Inputs!$C$120),"D: neither converts",IF(C55&gt;=Inputs!$C$132,"C: brands willing, offices unreliable",IF(AND(C47&lt;&gt;"",N(C47)&lt;Inputs!$C$130),"B: brands pay once, offices love it",IF(AND(C47&lt;&gt;"",N(C47)&gt;=Inputs!$C$127,C54&gt;=Inputs!$C$120,N(C56)&gt;=Inputs!$C$126),"A: both sides work","between scenarios: see the rule")))))</f>
        <v/>
      </c>
    </row>
    <row r="60">
      <c r="A60" s="3" t="inlineStr">
        <is>
          <t>Six-month goals (plan): planned by the schedule against actual</t>
        </is>
      </c>
      <c r="B60" s="4" t="n"/>
      <c r="C60" s="4" t="n"/>
      <c r="D60" s="4" t="n"/>
      <c r="E60" s="4" t="n"/>
      <c r="F60" s="4" t="n"/>
      <c r="G60" s="4" t="n"/>
      <c r="H60" s="4" t="n"/>
      <c r="I60" s="4" t="n"/>
    </row>
    <row r="61" ht="22" customHeight="1">
      <c r="B61" s="10" t="inlineStr">
        <is>
          <t>Goal</t>
        </is>
      </c>
      <c r="C61" s="10" t="inlineStr">
        <is>
          <t>Target</t>
        </is>
      </c>
      <c r="D61" s="10" t="inlineStr">
        <is>
          <t>Planned (Schedule)</t>
        </is>
      </c>
      <c r="E61" s="10" t="inlineStr">
        <is>
          <t>Actual</t>
        </is>
      </c>
      <c r="F61" s="10" t="inlineStr">
        <is>
          <t>Status</t>
        </is>
      </c>
    </row>
    <row r="62">
      <c r="B62" t="inlineStr">
        <is>
          <t>Paid campaigns</t>
        </is>
      </c>
      <c r="C62" s="18">
        <f>Inputs!$C$133</f>
        <v/>
      </c>
      <c r="D62" s="18">
        <f>SUMIFS(Drop_PnL!$G$7:$G$18,Drop_PnL!$B$7:$B$18,"&lt;="&amp;Cash_Flow!$AB$6)</f>
        <v/>
      </c>
      <c r="E62" s="19">
        <f>COUNTIF(Actuals_Campaigns!$R$5:$R$204,"&gt;0")</f>
        <v/>
      </c>
      <c r="F62" s="8">
        <f>IF(E62="",IF(Inputs!$C$17&gt;Inputs!$C$15,"miss","not yet"),IF(E62&gt;=C62,"pass",IF(Inputs!$C$17&gt;Inputs!$C$15,"miss","not yet")))</f>
        <v/>
      </c>
    </row>
    <row r="63">
      <c r="B63" t="inlineStr">
        <is>
          <t>Renewals</t>
        </is>
      </c>
      <c r="C63" s="18">
        <f>Inputs!$C$134</f>
        <v/>
      </c>
      <c r="D63" s="18">
        <f>SUMIFS(Drop_PnL!$H$7:$H$18,Drop_PnL!$B$7:$B$18,"&lt;="&amp;Cash_Flow!$AB$6)</f>
        <v/>
      </c>
      <c r="E63" s="19">
        <f>COUNTIF(Actuals_Campaigns!$W$5:$W$204,"Y")</f>
        <v/>
      </c>
      <c r="F63" s="8">
        <f>IF(E63="",IF(Inputs!$C$17&gt;Inputs!$C$15,"miss","not yet"),IF(E63&gt;=C63,"pass",IF(Inputs!$C$17&gt;Inputs!$C$15,"miss","not yet")))</f>
        <v/>
      </c>
    </row>
    <row r="64">
      <c r="B64" t="inlineStr">
        <is>
          <t>Active offices</t>
        </is>
      </c>
      <c r="C64" s="18">
        <f>Inputs!$C$135</f>
        <v/>
      </c>
      <c r="D64" s="18">
        <f>SUMIFS(Drop_PnL!$F$7:$F$18,Drop_PnL!$B$7:$B$18,"&lt;="&amp;Cash_Flow!$AB$6)</f>
        <v/>
      </c>
      <c r="E64" s="19">
        <f>Pipeline!$U$22</f>
        <v/>
      </c>
      <c r="F64" s="8">
        <f>IF(E64="",IF(Inputs!$C$17&gt;Inputs!$C$15,"miss","not yet"),IF(E64&gt;=C64,"pass",IF(Inputs!$C$17&gt;Inputs!$C$15,"miss","not yet")))</f>
        <v/>
      </c>
    </row>
    <row r="65">
      <c r="B65" t="inlineStr">
        <is>
          <t>Contribution per founder hour, standard runs</t>
        </is>
      </c>
      <c r="C65" s="26">
        <f>Inputs!$C$126</f>
        <v/>
      </c>
      <c r="D65" s="26">
        <f>E38</f>
        <v/>
      </c>
      <c r="E65" s="27">
        <f>F38</f>
        <v/>
      </c>
      <c r="F65" s="8">
        <f>IF(E65="",IF(Inputs!$C$17&gt;Inputs!$C$15,"miss","not yet"),IF(E65&gt;=C65,"pass",IF(Inputs!$C$17&gt;Inputs!$C$15,"miss","not yet")))</f>
        <v/>
      </c>
    </row>
    <row r="68">
      <c r="A68" s="3" t="inlineStr">
        <is>
          <t>Contribution per founder hour on each drop (live: actual where in, otherwise plan)</t>
        </is>
      </c>
      <c r="B68" s="4" t="n"/>
      <c r="C68" s="4" t="n"/>
      <c r="D68" s="4" t="n"/>
      <c r="E68" s="4" t="n"/>
      <c r="F68" s="4" t="n"/>
      <c r="G68" s="4" t="n"/>
      <c r="H68" s="4" t="n"/>
      <c r="I68" s="4" t="n"/>
      <c r="J68" s="4" t="n"/>
      <c r="K68" s="29" t="inlineStr">
        <is>
          <t>Target per hour</t>
        </is>
      </c>
      <c r="L68" s="30">
        <f>Inputs!$C$126</f>
        <v/>
      </c>
    </row>
    <row r="69" ht="30" customHeight="1">
      <c r="A69" s="10" t="inlineStr">
        <is>
          <t>drop_id</t>
        </is>
      </c>
      <c r="B69" s="10" t="inlineStr">
        <is>
          <t>Label</t>
        </is>
      </c>
      <c r="C69" s="10" t="inlineStr">
        <is>
          <t>Drop date</t>
        </is>
      </c>
      <c r="D69" s="10" t="inlineStr">
        <is>
          <t>Basis</t>
        </is>
      </c>
      <c r="E69" s="10" t="inlineStr">
        <is>
          <t>Delivery model</t>
        </is>
      </c>
      <c r="F69" s="10" t="inlineStr">
        <is>
          <t>Brands</t>
        </is>
      </c>
      <c r="G69" s="10" t="inlineStr">
        <is>
          <t>Offices</t>
        </is>
      </c>
      <c r="H69" s="10" t="inlineStr">
        <is>
          <t>Revenue</t>
        </is>
      </c>
      <c r="I69" s="10" t="inlineStr">
        <is>
          <t>Hard costs</t>
        </is>
      </c>
      <c r="J69" s="10" t="inlineStr">
        <is>
          <t>Founder hours</t>
        </is>
      </c>
      <c r="K69" s="10" t="inlineStr">
        <is>
          <t>Contribution</t>
        </is>
      </c>
      <c r="L69" s="10" t="inlineStr">
        <is>
          <t>Per founder hour</t>
        </is>
      </c>
    </row>
    <row r="70">
      <c r="A70">
        <f>Drop_PnL!A7</f>
        <v/>
      </c>
      <c r="B70">
        <f>IF(Drop_PnL!B7="","",Schedule!B7&amp;"")</f>
        <v/>
      </c>
      <c r="C70" s="17">
        <f>IF(Drop_PnL!B7="","",Drop_PnL!B7)</f>
        <v/>
      </c>
      <c r="D70">
        <f>Drop_PnL!BF7</f>
        <v/>
      </c>
      <c r="E70">
        <f>IF(Drop_PnL!B7="","",Drop_PnL!C7)</f>
        <v/>
      </c>
      <c r="F70">
        <f>IF(Drop_PnL!B7="","",Drop_PnL!G7)</f>
        <v/>
      </c>
      <c r="G70" s="18">
        <f>IF(Drop_PnL!B7="","",Drop_PnL!E7)</f>
        <v/>
      </c>
      <c r="H70" s="31">
        <f>IF(Drop_PnL!B7="","",Drop_PnL!BA7)</f>
        <v/>
      </c>
      <c r="I70" s="31">
        <f>IF(Drop_PnL!B7="","",Drop_PnL!BB7)</f>
        <v/>
      </c>
      <c r="J70" s="32">
        <f>IF(Drop_PnL!B7="","",Drop_PnL!BC7)</f>
        <v/>
      </c>
      <c r="K70" s="31">
        <f>IF(Drop_PnL!B7="","",Drop_PnL!BD7)</f>
        <v/>
      </c>
      <c r="L70" s="27">
        <f>IF(Drop_PnL!B7="","",Drop_PnL!BE7)</f>
        <v/>
      </c>
    </row>
    <row r="71">
      <c r="A71">
        <f>Drop_PnL!A8</f>
        <v/>
      </c>
      <c r="B71">
        <f>IF(Drop_PnL!B8="","",Schedule!B8&amp;"")</f>
        <v/>
      </c>
      <c r="C71" s="17">
        <f>IF(Drop_PnL!B8="","",Drop_PnL!B8)</f>
        <v/>
      </c>
      <c r="D71">
        <f>Drop_PnL!BF8</f>
        <v/>
      </c>
      <c r="E71">
        <f>IF(Drop_PnL!B8="","",Drop_PnL!C8)</f>
        <v/>
      </c>
      <c r="F71">
        <f>IF(Drop_PnL!B8="","",Drop_PnL!G8)</f>
        <v/>
      </c>
      <c r="G71" s="18">
        <f>IF(Drop_PnL!B8="","",Drop_PnL!E8)</f>
        <v/>
      </c>
      <c r="H71" s="31">
        <f>IF(Drop_PnL!B8="","",Drop_PnL!BA8)</f>
        <v/>
      </c>
      <c r="I71" s="31">
        <f>IF(Drop_PnL!B8="","",Drop_PnL!BB8)</f>
        <v/>
      </c>
      <c r="J71" s="32">
        <f>IF(Drop_PnL!B8="","",Drop_PnL!BC8)</f>
        <v/>
      </c>
      <c r="K71" s="31">
        <f>IF(Drop_PnL!B8="","",Drop_PnL!BD8)</f>
        <v/>
      </c>
      <c r="L71" s="27">
        <f>IF(Drop_PnL!B8="","",Drop_PnL!BE8)</f>
        <v/>
      </c>
    </row>
    <row r="72">
      <c r="A72">
        <f>Drop_PnL!A9</f>
        <v/>
      </c>
      <c r="B72">
        <f>IF(Drop_PnL!B9="","",Schedule!B9&amp;"")</f>
        <v/>
      </c>
      <c r="C72" s="17">
        <f>IF(Drop_PnL!B9="","",Drop_PnL!B9)</f>
        <v/>
      </c>
      <c r="D72">
        <f>Drop_PnL!BF9</f>
        <v/>
      </c>
      <c r="E72">
        <f>IF(Drop_PnL!B9="","",Drop_PnL!C9)</f>
        <v/>
      </c>
      <c r="F72">
        <f>IF(Drop_PnL!B9="","",Drop_PnL!G9)</f>
        <v/>
      </c>
      <c r="G72" s="18">
        <f>IF(Drop_PnL!B9="","",Drop_PnL!E9)</f>
        <v/>
      </c>
      <c r="H72" s="31">
        <f>IF(Drop_PnL!B9="","",Drop_PnL!BA9)</f>
        <v/>
      </c>
      <c r="I72" s="31">
        <f>IF(Drop_PnL!B9="","",Drop_PnL!BB9)</f>
        <v/>
      </c>
      <c r="J72" s="32">
        <f>IF(Drop_PnL!B9="","",Drop_PnL!BC9)</f>
        <v/>
      </c>
      <c r="K72" s="31">
        <f>IF(Drop_PnL!B9="","",Drop_PnL!BD9)</f>
        <v/>
      </c>
      <c r="L72" s="27">
        <f>IF(Drop_PnL!B9="","",Drop_PnL!BE9)</f>
        <v/>
      </c>
    </row>
    <row r="73">
      <c r="A73">
        <f>Drop_PnL!A10</f>
        <v/>
      </c>
      <c r="B73">
        <f>IF(Drop_PnL!B10="","",Schedule!B10&amp;"")</f>
        <v/>
      </c>
      <c r="C73" s="17">
        <f>IF(Drop_PnL!B10="","",Drop_PnL!B10)</f>
        <v/>
      </c>
      <c r="D73">
        <f>Drop_PnL!BF10</f>
        <v/>
      </c>
      <c r="E73">
        <f>IF(Drop_PnL!B10="","",Drop_PnL!C10)</f>
        <v/>
      </c>
      <c r="F73">
        <f>IF(Drop_PnL!B10="","",Drop_PnL!G10)</f>
        <v/>
      </c>
      <c r="G73" s="18">
        <f>IF(Drop_PnL!B10="","",Drop_PnL!E10)</f>
        <v/>
      </c>
      <c r="H73" s="31">
        <f>IF(Drop_PnL!B10="","",Drop_PnL!BA10)</f>
        <v/>
      </c>
      <c r="I73" s="31">
        <f>IF(Drop_PnL!B10="","",Drop_PnL!BB10)</f>
        <v/>
      </c>
      <c r="J73" s="32">
        <f>IF(Drop_PnL!B10="","",Drop_PnL!BC10)</f>
        <v/>
      </c>
      <c r="K73" s="31">
        <f>IF(Drop_PnL!B10="","",Drop_PnL!BD10)</f>
        <v/>
      </c>
      <c r="L73" s="27">
        <f>IF(Drop_PnL!B10="","",Drop_PnL!BE10)</f>
        <v/>
      </c>
    </row>
    <row r="74">
      <c r="A74">
        <f>Drop_PnL!A11</f>
        <v/>
      </c>
      <c r="B74">
        <f>IF(Drop_PnL!B11="","",Schedule!B11&amp;"")</f>
        <v/>
      </c>
      <c r="C74" s="17">
        <f>IF(Drop_PnL!B11="","",Drop_PnL!B11)</f>
        <v/>
      </c>
      <c r="D74">
        <f>Drop_PnL!BF11</f>
        <v/>
      </c>
      <c r="E74">
        <f>IF(Drop_PnL!B11="","",Drop_PnL!C11)</f>
        <v/>
      </c>
      <c r="F74">
        <f>IF(Drop_PnL!B11="","",Drop_PnL!G11)</f>
        <v/>
      </c>
      <c r="G74" s="18">
        <f>IF(Drop_PnL!B11="","",Drop_PnL!E11)</f>
        <v/>
      </c>
      <c r="H74" s="31">
        <f>IF(Drop_PnL!B11="","",Drop_PnL!BA11)</f>
        <v/>
      </c>
      <c r="I74" s="31">
        <f>IF(Drop_PnL!B11="","",Drop_PnL!BB11)</f>
        <v/>
      </c>
      <c r="J74" s="32">
        <f>IF(Drop_PnL!B11="","",Drop_PnL!BC11)</f>
        <v/>
      </c>
      <c r="K74" s="31">
        <f>IF(Drop_PnL!B11="","",Drop_PnL!BD11)</f>
        <v/>
      </c>
      <c r="L74" s="27">
        <f>IF(Drop_PnL!B11="","",Drop_PnL!BE11)</f>
        <v/>
      </c>
    </row>
    <row r="75">
      <c r="A75">
        <f>Drop_PnL!A12</f>
        <v/>
      </c>
      <c r="B75">
        <f>IF(Drop_PnL!B12="","",Schedule!B12&amp;"")</f>
        <v/>
      </c>
      <c r="C75" s="17">
        <f>IF(Drop_PnL!B12="","",Drop_PnL!B12)</f>
        <v/>
      </c>
      <c r="D75">
        <f>Drop_PnL!BF12</f>
        <v/>
      </c>
      <c r="E75">
        <f>IF(Drop_PnL!B12="","",Drop_PnL!C12)</f>
        <v/>
      </c>
      <c r="F75">
        <f>IF(Drop_PnL!B12="","",Drop_PnL!G12)</f>
        <v/>
      </c>
      <c r="G75" s="18">
        <f>IF(Drop_PnL!B12="","",Drop_PnL!E12)</f>
        <v/>
      </c>
      <c r="H75" s="31">
        <f>IF(Drop_PnL!B12="","",Drop_PnL!BA12)</f>
        <v/>
      </c>
      <c r="I75" s="31">
        <f>IF(Drop_PnL!B12="","",Drop_PnL!BB12)</f>
        <v/>
      </c>
      <c r="J75" s="32">
        <f>IF(Drop_PnL!B12="","",Drop_PnL!BC12)</f>
        <v/>
      </c>
      <c r="K75" s="31">
        <f>IF(Drop_PnL!B12="","",Drop_PnL!BD12)</f>
        <v/>
      </c>
      <c r="L75" s="27">
        <f>IF(Drop_PnL!B12="","",Drop_PnL!BE12)</f>
        <v/>
      </c>
    </row>
    <row r="76">
      <c r="A76">
        <f>Drop_PnL!A13</f>
        <v/>
      </c>
      <c r="B76">
        <f>IF(Drop_PnL!B13="","",Schedule!B13&amp;"")</f>
        <v/>
      </c>
      <c r="C76" s="17">
        <f>IF(Drop_PnL!B13="","",Drop_PnL!B13)</f>
        <v/>
      </c>
      <c r="D76">
        <f>Drop_PnL!BF13</f>
        <v/>
      </c>
      <c r="E76">
        <f>IF(Drop_PnL!B13="","",Drop_PnL!C13)</f>
        <v/>
      </c>
      <c r="F76">
        <f>IF(Drop_PnL!B13="","",Drop_PnL!G13)</f>
        <v/>
      </c>
      <c r="G76" s="18">
        <f>IF(Drop_PnL!B13="","",Drop_PnL!E13)</f>
        <v/>
      </c>
      <c r="H76" s="31">
        <f>IF(Drop_PnL!B13="","",Drop_PnL!BA13)</f>
        <v/>
      </c>
      <c r="I76" s="31">
        <f>IF(Drop_PnL!B13="","",Drop_PnL!BB13)</f>
        <v/>
      </c>
      <c r="J76" s="32">
        <f>IF(Drop_PnL!B13="","",Drop_PnL!BC13)</f>
        <v/>
      </c>
      <c r="K76" s="31">
        <f>IF(Drop_PnL!B13="","",Drop_PnL!BD13)</f>
        <v/>
      </c>
      <c r="L76" s="27">
        <f>IF(Drop_PnL!B13="","",Drop_PnL!BE13)</f>
        <v/>
      </c>
    </row>
    <row r="77">
      <c r="A77">
        <f>Drop_PnL!A14</f>
        <v/>
      </c>
      <c r="B77">
        <f>IF(Drop_PnL!B14="","",Schedule!B14&amp;"")</f>
        <v/>
      </c>
      <c r="C77" s="17">
        <f>IF(Drop_PnL!B14="","",Drop_PnL!B14)</f>
        <v/>
      </c>
      <c r="D77">
        <f>Drop_PnL!BF14</f>
        <v/>
      </c>
      <c r="E77">
        <f>IF(Drop_PnL!B14="","",Drop_PnL!C14)</f>
        <v/>
      </c>
      <c r="F77">
        <f>IF(Drop_PnL!B14="","",Drop_PnL!G14)</f>
        <v/>
      </c>
      <c r="G77" s="18">
        <f>IF(Drop_PnL!B14="","",Drop_PnL!E14)</f>
        <v/>
      </c>
      <c r="H77" s="31">
        <f>IF(Drop_PnL!B14="","",Drop_PnL!BA14)</f>
        <v/>
      </c>
      <c r="I77" s="31">
        <f>IF(Drop_PnL!B14="","",Drop_PnL!BB14)</f>
        <v/>
      </c>
      <c r="J77" s="32">
        <f>IF(Drop_PnL!B14="","",Drop_PnL!BC14)</f>
        <v/>
      </c>
      <c r="K77" s="31">
        <f>IF(Drop_PnL!B14="","",Drop_PnL!BD14)</f>
        <v/>
      </c>
      <c r="L77" s="27">
        <f>IF(Drop_PnL!B14="","",Drop_PnL!BE14)</f>
        <v/>
      </c>
    </row>
    <row r="78">
      <c r="A78">
        <f>Drop_PnL!A15</f>
        <v/>
      </c>
      <c r="B78">
        <f>IF(Drop_PnL!B15="","",Schedule!B15&amp;"")</f>
        <v/>
      </c>
      <c r="C78" s="17">
        <f>IF(Drop_PnL!B15="","",Drop_PnL!B15)</f>
        <v/>
      </c>
      <c r="D78">
        <f>Drop_PnL!BF15</f>
        <v/>
      </c>
      <c r="E78">
        <f>IF(Drop_PnL!B15="","",Drop_PnL!C15)</f>
        <v/>
      </c>
      <c r="F78">
        <f>IF(Drop_PnL!B15="","",Drop_PnL!G15)</f>
        <v/>
      </c>
      <c r="G78" s="18">
        <f>IF(Drop_PnL!B15="","",Drop_PnL!E15)</f>
        <v/>
      </c>
      <c r="H78" s="31">
        <f>IF(Drop_PnL!B15="","",Drop_PnL!BA15)</f>
        <v/>
      </c>
      <c r="I78" s="31">
        <f>IF(Drop_PnL!B15="","",Drop_PnL!BB15)</f>
        <v/>
      </c>
      <c r="J78" s="32">
        <f>IF(Drop_PnL!B15="","",Drop_PnL!BC15)</f>
        <v/>
      </c>
      <c r="K78" s="31">
        <f>IF(Drop_PnL!B15="","",Drop_PnL!BD15)</f>
        <v/>
      </c>
      <c r="L78" s="27">
        <f>IF(Drop_PnL!B15="","",Drop_PnL!BE15)</f>
        <v/>
      </c>
    </row>
    <row r="79">
      <c r="A79">
        <f>Drop_PnL!A16</f>
        <v/>
      </c>
      <c r="B79">
        <f>IF(Drop_PnL!B16="","",Schedule!B16&amp;"")</f>
        <v/>
      </c>
      <c r="C79" s="17">
        <f>IF(Drop_PnL!B16="","",Drop_PnL!B16)</f>
        <v/>
      </c>
      <c r="D79">
        <f>Drop_PnL!BF16</f>
        <v/>
      </c>
      <c r="E79">
        <f>IF(Drop_PnL!B16="","",Drop_PnL!C16)</f>
        <v/>
      </c>
      <c r="F79">
        <f>IF(Drop_PnL!B16="","",Drop_PnL!G16)</f>
        <v/>
      </c>
      <c r="G79" s="18">
        <f>IF(Drop_PnL!B16="","",Drop_PnL!E16)</f>
        <v/>
      </c>
      <c r="H79" s="31">
        <f>IF(Drop_PnL!B16="","",Drop_PnL!BA16)</f>
        <v/>
      </c>
      <c r="I79" s="31">
        <f>IF(Drop_PnL!B16="","",Drop_PnL!BB16)</f>
        <v/>
      </c>
      <c r="J79" s="32">
        <f>IF(Drop_PnL!B16="","",Drop_PnL!BC16)</f>
        <v/>
      </c>
      <c r="K79" s="31">
        <f>IF(Drop_PnL!B16="","",Drop_PnL!BD16)</f>
        <v/>
      </c>
      <c r="L79" s="27">
        <f>IF(Drop_PnL!B16="","",Drop_PnL!BE16)</f>
        <v/>
      </c>
    </row>
    <row r="80">
      <c r="A80">
        <f>Drop_PnL!A17</f>
        <v/>
      </c>
      <c r="B80">
        <f>IF(Drop_PnL!B17="","",Schedule!B17&amp;"")</f>
        <v/>
      </c>
      <c r="C80" s="17">
        <f>IF(Drop_PnL!B17="","",Drop_PnL!B17)</f>
        <v/>
      </c>
      <c r="D80">
        <f>Drop_PnL!BF17</f>
        <v/>
      </c>
      <c r="E80">
        <f>IF(Drop_PnL!B17="","",Drop_PnL!C17)</f>
        <v/>
      </c>
      <c r="F80">
        <f>IF(Drop_PnL!B17="","",Drop_PnL!G17)</f>
        <v/>
      </c>
      <c r="G80" s="18">
        <f>IF(Drop_PnL!B17="","",Drop_PnL!E17)</f>
        <v/>
      </c>
      <c r="H80" s="31">
        <f>IF(Drop_PnL!B17="","",Drop_PnL!BA17)</f>
        <v/>
      </c>
      <c r="I80" s="31">
        <f>IF(Drop_PnL!B17="","",Drop_PnL!BB17)</f>
        <v/>
      </c>
      <c r="J80" s="32">
        <f>IF(Drop_PnL!B17="","",Drop_PnL!BC17)</f>
        <v/>
      </c>
      <c r="K80" s="31">
        <f>IF(Drop_PnL!B17="","",Drop_PnL!BD17)</f>
        <v/>
      </c>
      <c r="L80" s="27">
        <f>IF(Drop_PnL!B17="","",Drop_PnL!BE17)</f>
        <v/>
      </c>
    </row>
    <row r="81">
      <c r="A81">
        <f>Drop_PnL!A18</f>
        <v/>
      </c>
      <c r="B81">
        <f>IF(Drop_PnL!B18="","",Schedule!B18&amp;"")</f>
        <v/>
      </c>
      <c r="C81" s="17">
        <f>IF(Drop_PnL!B18="","",Drop_PnL!B18)</f>
        <v/>
      </c>
      <c r="D81">
        <f>Drop_PnL!BF18</f>
        <v/>
      </c>
      <c r="E81">
        <f>IF(Drop_PnL!B18="","",Drop_PnL!C18)</f>
        <v/>
      </c>
      <c r="F81">
        <f>IF(Drop_PnL!B18="","",Drop_PnL!G18)</f>
        <v/>
      </c>
      <c r="G81" s="18">
        <f>IF(Drop_PnL!B18="","",Drop_PnL!E18)</f>
        <v/>
      </c>
      <c r="H81" s="31">
        <f>IF(Drop_PnL!B18="","",Drop_PnL!BA18)</f>
        <v/>
      </c>
      <c r="I81" s="31">
        <f>IF(Drop_PnL!B18="","",Drop_PnL!BB18)</f>
        <v/>
      </c>
      <c r="J81" s="32">
        <f>IF(Drop_PnL!B18="","",Drop_PnL!BC18)</f>
        <v/>
      </c>
      <c r="K81" s="31">
        <f>IF(Drop_PnL!B18="","",Drop_PnL!BD18)</f>
        <v/>
      </c>
      <c r="L81" s="27">
        <f>IF(Drop_PnL!B18="","",Drop_PnL!BE18)</f>
        <v/>
      </c>
    </row>
    <row r="82">
      <c r="A82" s="8" t="inlineStr">
        <is>
          <t>Total</t>
        </is>
      </c>
      <c r="F82" s="8">
        <f>SUM(F70:F81)</f>
        <v/>
      </c>
      <c r="G82" s="19">
        <f>SUM(G70:G81)</f>
        <v/>
      </c>
      <c r="H82" s="33">
        <f>SUM(H70:H81)</f>
        <v/>
      </c>
      <c r="I82" s="33">
        <f>SUM(I70:I81)</f>
        <v/>
      </c>
      <c r="J82" s="34">
        <f>SUM(J70:J81)</f>
        <v/>
      </c>
      <c r="K82" s="33">
        <f>SUM(K70:K81)</f>
        <v/>
      </c>
      <c r="L82" s="27">
        <f>IF(J82&gt;0,K82/J82,"n/a")</f>
        <v/>
      </c>
    </row>
    <row r="84">
      <c r="A84" s="28" t="inlineStr">
        <is>
          <t>Green: at or above the Gate 3 target per founder hour. Orange: below it. Campaign zero is expected to be below; the plan's own figure for it is $16. The total row is per founder hour across all scheduled drops, before overhead that drops do not absorb.</t>
        </is>
      </c>
    </row>
  </sheetData>
  <mergeCells count="33">
    <mergeCell ref="D11:I11"/>
    <mergeCell ref="H28:K28"/>
    <mergeCell ref="C52:I52"/>
    <mergeCell ref="D13:I13"/>
    <mergeCell ref="H27:K27"/>
    <mergeCell ref="D17:I17"/>
    <mergeCell ref="A3:I3"/>
    <mergeCell ref="D16:I16"/>
    <mergeCell ref="H33:K33"/>
    <mergeCell ref="C57:I57"/>
    <mergeCell ref="H30:K30"/>
    <mergeCell ref="G5:I5"/>
    <mergeCell ref="H26:K26"/>
    <mergeCell ref="D18:I18"/>
    <mergeCell ref="H35:K35"/>
    <mergeCell ref="D9:I9"/>
    <mergeCell ref="H38:K38"/>
    <mergeCell ref="D12:I12"/>
    <mergeCell ref="H29:K29"/>
    <mergeCell ref="D15:I15"/>
    <mergeCell ref="D14:I14"/>
    <mergeCell ref="H31:K31"/>
    <mergeCell ref="H25:K25"/>
    <mergeCell ref="H34:K34"/>
    <mergeCell ref="D20:I20"/>
    <mergeCell ref="D19:I19"/>
    <mergeCell ref="H36:K36"/>
    <mergeCell ref="D10:I10"/>
    <mergeCell ref="D22:I22"/>
    <mergeCell ref="H32:K32"/>
    <mergeCell ref="C51:I51"/>
    <mergeCell ref="D21:I21"/>
    <mergeCell ref="H37:K37"/>
  </mergeCells>
  <conditionalFormatting sqref="G5">
    <cfRule type="cellIs" priority="1" operator="equal" dxfId="0">
      <formula>"all integrity checks pass"</formula>
    </cfRule>
  </conditionalFormatting>
  <conditionalFormatting sqref="G26:G38">
    <cfRule type="cellIs" priority="2" operator="equal" dxfId="1">
      <formula>"pass"</formula>
    </cfRule>
    <cfRule type="cellIs" priority="3" operator="equal" dxfId="2">
      <formula>"miss"</formula>
    </cfRule>
    <cfRule type="cellIs" priority="4" operator="equal" dxfId="3">
      <formula>"not yet"</formula>
    </cfRule>
  </conditionalFormatting>
  <conditionalFormatting sqref="C41:C44">
    <cfRule type="cellIs" priority="5" operator="equal" dxfId="1">
      <formula>"pass"</formula>
    </cfRule>
    <cfRule type="cellIs" priority="6" operator="equal" dxfId="2">
      <formula>"miss"</formula>
    </cfRule>
    <cfRule type="cellIs" priority="7" operator="equal" dxfId="3">
      <formula>"not yet"</formula>
    </cfRule>
  </conditionalFormatting>
  <conditionalFormatting sqref="F62:F65">
    <cfRule type="cellIs" priority="8" operator="equal" dxfId="1">
      <formula>"pass"</formula>
    </cfRule>
    <cfRule type="cellIs" priority="9" operator="equal" dxfId="2">
      <formula>"miss"</formula>
    </cfRule>
    <cfRule type="cellIs" priority="10" operator="equal" dxfId="3">
      <formula>"not yet"</formula>
    </cfRule>
  </conditionalFormatting>
  <conditionalFormatting sqref="L70:L82">
    <cfRule type="expression" priority="11" dxfId="4">
      <formula>AND(ISNUMBER(L70),L70&gt;=$L$68)</formula>
    </cfRule>
    <cfRule type="expression" priority="12" dxfId="5">
      <formula>AND(ISNUMBER(L70),L70&lt;$L$68)</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F2C200"/>
    <outlinePr summaryBelow="1" summaryRight="1"/>
    <pageSetUpPr/>
  </sheetPr>
  <dimension ref="A1:T162"/>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8" customWidth="1" min="1" max="1"/>
    <col width="50" customWidth="1" min="2" max="2"/>
    <col width="15" customWidth="1" min="3" max="3"/>
    <col width="18" customWidth="1" min="4" max="4"/>
    <col width="10" customWidth="1" min="5" max="5"/>
    <col width="10" customWidth="1" min="6" max="6"/>
    <col width="25" customWidth="1" min="7" max="7"/>
    <col width="44" customWidth="1" min="8" max="8"/>
    <col width="60" customWidth="1" min="9" max="9"/>
    <col width="12" customWidth="1" min="10" max="10"/>
    <col width="9" customWidth="1" min="11" max="11"/>
    <col width="12" customWidth="1" min="12" max="12"/>
    <col width="40" customWidth="1" min="13" max="13"/>
    <col width="9" customWidth="1" min="14" max="14"/>
    <col width="12" customWidth="1" min="15" max="15"/>
    <col width="12" customWidth="1" min="16" max="16"/>
    <col width="12" customWidth="1" min="17" max="17"/>
    <col width="12" customWidth="1" min="18" max="18"/>
    <col width="9" customWidth="1" min="19" max="19"/>
    <col width="12" customWidth="1" min="20" max="20"/>
  </cols>
  <sheetData>
    <row r="1">
      <c r="A1" s="1" t="inlineStr">
        <is>
          <t>Inputs</t>
        </is>
      </c>
    </row>
    <row r="2">
      <c r="A2" s="2" t="inlineStr">
        <is>
          <t>Every assumption in one labeled cell. Yellow cells are inputs. Grey cells are calculated; do not type over them.</t>
        </is>
      </c>
    </row>
    <row r="3">
      <c r="A3" s="7" t="inlineStr">
        <is>
          <t>All defaults are planning estimates from plan.md, never forecasts. 'Plan default' keeps the original figure; 'Changed' flags any cell you edit.</t>
        </is>
      </c>
    </row>
    <row r="6">
      <c r="A6" s="3" t="inlineStr">
        <is>
          <t>1. Company and calendar</t>
        </is>
      </c>
      <c r="B6" s="4" t="n"/>
      <c r="C6" s="4" t="n"/>
      <c r="D6" s="4" t="n"/>
      <c r="E6" s="4" t="n"/>
      <c r="F6" s="4" t="n"/>
      <c r="G6" s="4" t="n"/>
      <c r="H6" s="4" t="n"/>
      <c r="I6" s="4" t="n"/>
      <c r="J6" s="4" t="n"/>
      <c r="K6" s="4" t="n"/>
    </row>
    <row r="7">
      <c r="A7" s="10" t="inlineStr">
        <is>
          <t>key</t>
        </is>
      </c>
      <c r="B7" s="10" t="inlineStr">
        <is>
          <t>Assumption</t>
        </is>
      </c>
      <c r="C7" s="10" t="inlineStr">
        <is>
          <t>Value</t>
        </is>
      </c>
      <c r="D7" s="10" t="inlineStr">
        <is>
          <t>Unit</t>
        </is>
      </c>
      <c r="E7" s="10" t="inlineStr">
        <is>
          <t>Low</t>
        </is>
      </c>
      <c r="F7" s="10" t="inlineStr">
        <is>
          <t>High</t>
        </is>
      </c>
      <c r="G7" s="10" t="inlineStr">
        <is>
          <t>Status</t>
        </is>
      </c>
      <c r="H7" s="10" t="inlineStr">
        <is>
          <t>Source</t>
        </is>
      </c>
      <c r="I7" s="10" t="inlineStr">
        <is>
          <t>Notes</t>
        </is>
      </c>
      <c r="J7" s="10" t="inlineStr">
        <is>
          <t>Plan default</t>
        </is>
      </c>
      <c r="K7" s="10" t="inlineStr">
        <is>
          <t>Changed?</t>
        </is>
      </c>
    </row>
    <row r="8">
      <c r="A8" s="35" t="inlineStr">
        <is>
          <t>company_name</t>
        </is>
      </c>
      <c r="B8" s="5" t="inlineStr">
        <is>
          <t>Company name (working name, not yet cleared)</t>
        </is>
      </c>
      <c r="C8" s="36" t="inlineStr">
        <is>
          <t>Desk Drop</t>
        </is>
      </c>
      <c r="D8" s="37" t="inlineStr">
        <is>
          <t>text</t>
        </is>
      </c>
      <c r="E8" s="37" t="n"/>
      <c r="F8" s="37" t="n"/>
      <c r="G8" s="37" t="inlineStr">
        <is>
          <t>working name</t>
        </is>
      </c>
      <c r="H8" s="5" t="inlineStr">
        <is>
          <t>Prompt; CONTRACTS s2 rename-ability</t>
        </is>
      </c>
      <c r="I8" s="5" t="inlineStr">
        <is>
          <t>The only cell that holds the company name. Rename here and every tab follows.</t>
        </is>
      </c>
      <c r="J8" s="35" t="inlineStr">
        <is>
          <t>Desk Drop</t>
        </is>
      </c>
      <c r="K8" s="38">
        <f>IF(C8&amp;""=J8&amp;"","","changed")</f>
        <v/>
      </c>
    </row>
    <row r="9">
      <c r="A9" s="35" t="inlineStr">
        <is>
          <t>tagline</t>
        </is>
      </c>
      <c r="B9" s="5" t="inlineStr">
        <is>
          <t>Tagline (working, may change)</t>
        </is>
      </c>
      <c r="C9" s="36" t="inlineStr">
        <is>
          <t>Emerging brands. Delivered to your workday.</t>
        </is>
      </c>
      <c r="D9" s="37" t="inlineStr">
        <is>
          <t>text</t>
        </is>
      </c>
      <c r="E9" s="37" t="n"/>
      <c r="F9" s="37" t="n"/>
      <c r="G9" s="37" t="inlineStr">
        <is>
          <t>working</t>
        </is>
      </c>
      <c r="H9" s="5" t="inlineStr">
        <is>
          <t>Prompt; CONTRACTS s2</t>
        </is>
      </c>
      <c r="I9" s="5" t="inlineStr"/>
      <c r="J9" s="35" t="inlineStr">
        <is>
          <t>Emerging brands. Delivered to your workday.</t>
        </is>
      </c>
      <c r="K9" s="38">
        <f>IF(C9&amp;""=J9&amp;"","","changed")</f>
        <v/>
      </c>
    </row>
    <row r="10">
      <c r="A10" s="35" t="inlineStr">
        <is>
          <t>week1_start</t>
        </is>
      </c>
      <c r="B10" s="5" t="inlineStr">
        <is>
          <t>Week 1 starts (Monday)</t>
        </is>
      </c>
      <c r="C10" s="39" t="n">
        <v>46321</v>
      </c>
      <c r="D10" s="37" t="inlineStr">
        <is>
          <t>date</t>
        </is>
      </c>
      <c r="E10" s="37" t="n"/>
      <c r="F10" s="37" t="n"/>
      <c r="G10" s="37" t="inlineStr">
        <is>
          <t>derived, founder to confirm</t>
        </is>
      </c>
      <c r="H10" s="5" t="inlineStr">
        <is>
          <t>CONTRACTS.md section 3 (canonical calendar)</t>
        </is>
      </c>
      <c r="I10" s="5" t="inlineStr">
        <is>
          <t>Week n starts on this date plus 7 x (n - 1) days.</t>
        </is>
      </c>
      <c r="J10" s="40" t="n">
        <v>46321</v>
      </c>
      <c r="K10" s="38">
        <f>IF(C10&amp;""=J10&amp;"","","changed")</f>
        <v/>
      </c>
    </row>
    <row r="11">
      <c r="A11" s="35" t="inlineStr">
        <is>
          <t>gate0_date</t>
        </is>
      </c>
      <c r="B11" s="5" t="inlineStr">
        <is>
          <t>Gate 0 review (end of week 3)</t>
        </is>
      </c>
      <c r="C11" s="39" t="n">
        <v>46339</v>
      </c>
      <c r="D11" s="37" t="inlineStr">
        <is>
          <t>date</t>
        </is>
      </c>
      <c r="E11" s="37" t="n"/>
      <c r="F11" s="37" t="n"/>
      <c r="G11" s="37" t="inlineStr">
        <is>
          <t>derived, founder to confirm</t>
        </is>
      </c>
      <c r="H11" s="5" t="inlineStr">
        <is>
          <t>CONTRACTS.md section 3 (canonical calendar)</t>
        </is>
      </c>
      <c r="I11" s="5" t="inlineStr"/>
      <c r="J11" s="40" t="n">
        <v>46339</v>
      </c>
      <c r="K11" s="38">
        <f>IF(C11&amp;""=J11&amp;"","","changed")</f>
        <v/>
      </c>
    </row>
    <row r="12">
      <c r="A12" s="35" t="inlineStr">
        <is>
          <t>gate1_date</t>
        </is>
      </c>
      <c r="B12" s="5" t="inlineStr">
        <is>
          <t>Gate 1 review (end of week 7)</t>
        </is>
      </c>
      <c r="C12" s="39" t="n">
        <v>46367</v>
      </c>
      <c r="D12" s="37" t="inlineStr">
        <is>
          <t>date</t>
        </is>
      </c>
      <c r="E12" s="37" t="n"/>
      <c r="F12" s="37" t="n"/>
      <c r="G12" s="37" t="inlineStr">
        <is>
          <t>derived, founder to confirm</t>
        </is>
      </c>
      <c r="H12" s="5" t="inlineStr">
        <is>
          <t>CONTRACTS.md section 3 (canonical calendar)</t>
        </is>
      </c>
      <c r="I12" s="5" t="inlineStr"/>
      <c r="J12" s="40" t="n">
        <v>46367</v>
      </c>
      <c r="K12" s="38">
        <f>IF(C12&amp;""=J12&amp;"","","changed")</f>
        <v/>
      </c>
    </row>
    <row r="13">
      <c r="A13" s="35" t="inlineStr">
        <is>
          <t>gate2_date</t>
        </is>
      </c>
      <c r="B13" s="5" t="inlineStr">
        <is>
          <t>Gate 2 review (campaign zero report, T+7)</t>
        </is>
      </c>
      <c r="C13" s="39" t="n">
        <v>46409</v>
      </c>
      <c r="D13" s="37" t="inlineStr">
        <is>
          <t>date</t>
        </is>
      </c>
      <c r="E13" s="37" t="n"/>
      <c r="F13" s="37" t="n"/>
      <c r="G13" s="37" t="inlineStr">
        <is>
          <t>derived, founder to confirm</t>
        </is>
      </c>
      <c r="H13" s="5" t="inlineStr">
        <is>
          <t>CONTRACTS.md section 3 (canonical calendar)</t>
        </is>
      </c>
      <c r="I13" s="5" t="inlineStr">
        <is>
          <t>Moved from the plan's week 9 because campaign zero moved to 2027-01-12 (December blackout collision).</t>
        </is>
      </c>
      <c r="J13" s="40" t="n">
        <v>46409</v>
      </c>
      <c r="K13" s="38">
        <f>IF(C13&amp;""=J13&amp;"","","changed")</f>
        <v/>
      </c>
    </row>
    <row r="14">
      <c r="A14" s="35" t="inlineStr">
        <is>
          <t>gate3_date</t>
        </is>
      </c>
      <c r="B14" s="5" t="inlineStr">
        <is>
          <t>Gate 3 review</t>
        </is>
      </c>
      <c r="C14" s="39" t="n">
        <v>46458</v>
      </c>
      <c r="D14" s="37" t="inlineStr">
        <is>
          <t>date</t>
        </is>
      </c>
      <c r="E14" s="37" t="n"/>
      <c r="F14" s="37" t="n"/>
      <c r="G14" s="37" t="inlineStr">
        <is>
          <t>derived, founder to confirm</t>
        </is>
      </c>
      <c r="H14" s="5" t="inlineStr">
        <is>
          <t>CONTRACTS.md section 3 (canonical calendar)</t>
        </is>
      </c>
      <c r="I14" s="5" t="inlineStr">
        <is>
          <t>Week 20; replaces the plan's week 16.</t>
        </is>
      </c>
      <c r="J14" s="40" t="n">
        <v>46458</v>
      </c>
      <c r="K14" s="38">
        <f>IF(C14&amp;""=J14&amp;"","","changed")</f>
        <v/>
      </c>
    </row>
    <row r="15">
      <c r="A15" s="35" t="inlineStr">
        <is>
          <t>decision_date</t>
        </is>
      </c>
      <c r="B15" s="5" t="inlineStr">
        <is>
          <t>Six-month decision (end of week 24)</t>
        </is>
      </c>
      <c r="C15" s="39" t="n">
        <v>46486</v>
      </c>
      <c r="D15" s="37" t="inlineStr">
        <is>
          <t>date</t>
        </is>
      </c>
      <c r="E15" s="37" t="n"/>
      <c r="F15" s="37" t="n"/>
      <c r="G15" s="37" t="inlineStr">
        <is>
          <t>derived, founder to confirm</t>
        </is>
      </c>
      <c r="H15" s="5" t="inlineStr">
        <is>
          <t>CONTRACTS.md section 3 (canonical calendar)</t>
        </is>
      </c>
      <c r="I15" s="5" t="inlineStr"/>
      <c r="J15" s="40" t="n">
        <v>46486</v>
      </c>
      <c r="K15" s="38">
        <f>IF(C15&amp;""=J15&amp;"","","changed")</f>
        <v/>
      </c>
    </row>
    <row r="16">
      <c r="A16" s="35" t="inlineStr">
        <is>
          <t>as_of_override</t>
        </is>
      </c>
      <c r="B16" s="5" t="inlineStr">
        <is>
          <t>As-of date override (blank = today)</t>
        </is>
      </c>
      <c r="C16" s="39" t="n"/>
      <c r="D16" s="37" t="inlineStr">
        <is>
          <t>date</t>
        </is>
      </c>
      <c r="E16" s="37" t="n"/>
      <c r="F16" s="37" t="n"/>
      <c r="G16" s="37" t="inlineStr">
        <is>
          <t>setting</t>
        </is>
      </c>
      <c r="H16" s="5" t="inlineStr">
        <is>
          <t>Model setting</t>
        </is>
      </c>
      <c r="I16" s="5" t="inlineStr">
        <is>
          <t>Leave blank to use today's date. Type a date to see gates and the next drop as of that day.</t>
        </is>
      </c>
      <c r="J16" s="40" t="n"/>
      <c r="K16" s="38">
        <f>IF(C16&amp;""=J16&amp;"","","changed")</f>
        <v/>
      </c>
    </row>
    <row r="17">
      <c r="A17" s="35" t="inlineStr">
        <is>
          <t>as_of</t>
        </is>
      </c>
      <c r="B17" s="5" t="inlineStr">
        <is>
          <t>As-of date in use</t>
        </is>
      </c>
      <c r="C17" s="41">
        <f>IF(C16="",TODAY(),C16)</f>
        <v/>
      </c>
      <c r="D17" s="37" t="inlineStr">
        <is>
          <t>date</t>
        </is>
      </c>
      <c r="E17" s="37" t="n"/>
      <c r="F17" s="37" t="n"/>
      <c r="G17" s="37" t="inlineStr">
        <is>
          <t>calculated</t>
        </is>
      </c>
      <c r="H17" s="5" t="inlineStr">
        <is>
          <t>Model</t>
        </is>
      </c>
      <c r="I17" s="5" t="inlineStr"/>
      <c r="J17" s="37" t="n"/>
      <c r="K17" s="37" t="n"/>
    </row>
    <row r="18">
      <c r="A18" s="35" t="inlineStr">
        <is>
          <t>days_per_week</t>
        </is>
      </c>
      <c r="B18" s="5" t="inlineStr">
        <is>
          <t>Days per week</t>
        </is>
      </c>
      <c r="C18" s="36" t="n">
        <v>7</v>
      </c>
      <c r="D18" s="37" t="inlineStr">
        <is>
          <t>days</t>
        </is>
      </c>
      <c r="E18" s="37" t="n"/>
      <c r="F18" s="37" t="n"/>
      <c r="G18" s="37" t="inlineStr">
        <is>
          <t>conversion</t>
        </is>
      </c>
      <c r="H18" s="5" t="inlineStr">
        <is>
          <t>Calendar</t>
        </is>
      </c>
      <c r="I18" s="5" t="inlineStr"/>
      <c r="J18" s="35" t="n">
        <v>7</v>
      </c>
      <c r="K18" s="38">
        <f>IF(C18&amp;""=J18&amp;"","","changed")</f>
        <v/>
      </c>
    </row>
    <row r="19">
      <c r="A19" s="35" t="inlineStr">
        <is>
          <t>weeks_per_year</t>
        </is>
      </c>
      <c r="B19" s="5" t="inlineStr">
        <is>
          <t>Weeks per year</t>
        </is>
      </c>
      <c r="C19" s="36" t="n">
        <v>52</v>
      </c>
      <c r="D19" s="37" t="inlineStr">
        <is>
          <t>weeks</t>
        </is>
      </c>
      <c r="E19" s="37" t="n"/>
      <c r="F19" s="37" t="n"/>
      <c r="G19" s="37" t="inlineStr">
        <is>
          <t>conversion</t>
        </is>
      </c>
      <c r="H19" s="5" t="inlineStr">
        <is>
          <t>Calendar</t>
        </is>
      </c>
      <c r="I19" s="5" t="inlineStr"/>
      <c r="J19" s="35" t="n">
        <v>52</v>
      </c>
      <c r="K19" s="38">
        <f>IF(C19&amp;""=J19&amp;"","","changed")</f>
        <v/>
      </c>
    </row>
    <row r="20">
      <c r="A20" s="35" t="inlineStr">
        <is>
          <t>months_per_year</t>
        </is>
      </c>
      <c r="B20" s="5" t="inlineStr">
        <is>
          <t>Months per year</t>
        </is>
      </c>
      <c r="C20" s="36" t="n">
        <v>12</v>
      </c>
      <c r="D20" s="37" t="inlineStr">
        <is>
          <t>months</t>
        </is>
      </c>
      <c r="E20" s="37" t="n"/>
      <c r="F20" s="37" t="n"/>
      <c r="G20" s="37" t="inlineStr">
        <is>
          <t>conversion</t>
        </is>
      </c>
      <c r="H20" s="5" t="inlineStr">
        <is>
          <t>Calendar</t>
        </is>
      </c>
      <c r="I20" s="5" t="inlineStr"/>
      <c r="J20" s="35" t="n">
        <v>12</v>
      </c>
      <c r="K20" s="38">
        <f>IF(C20&amp;""=J20&amp;"","","changed")</f>
        <v/>
      </c>
    </row>
    <row r="21">
      <c r="A21" s="35" t="inlineStr">
        <is>
          <t>weeks_per_month</t>
        </is>
      </c>
      <c r="B21" s="5" t="inlineStr">
        <is>
          <t>Weeks per month</t>
        </is>
      </c>
      <c r="C21" s="42">
        <f>Inputs!$C$19/Inputs!$C$20</f>
        <v/>
      </c>
      <c r="D21" s="37" t="inlineStr">
        <is>
          <t>weeks</t>
        </is>
      </c>
      <c r="E21" s="37" t="n"/>
      <c r="F21" s="37" t="n"/>
      <c r="G21" s="37" t="inlineStr">
        <is>
          <t>calculated</t>
        </is>
      </c>
      <c r="H21" s="5" t="inlineStr">
        <is>
          <t>Weeks per year / months per year</t>
        </is>
      </c>
      <c r="I21" s="5" t="inlineStr"/>
      <c r="J21" s="37" t="n"/>
      <c r="K21" s="37" t="n"/>
    </row>
    <row r="22">
      <c r="A22" s="35" t="inlineStr">
        <is>
          <t>hours_per_day</t>
        </is>
      </c>
      <c r="B22" s="5" t="inlineStr">
        <is>
          <t>Hours per day (converts Toggl durations)</t>
        </is>
      </c>
      <c r="C22" s="36" t="n">
        <v>24</v>
      </c>
      <c r="D22" s="37" t="inlineStr">
        <is>
          <t>hours</t>
        </is>
      </c>
      <c r="E22" s="37" t="n"/>
      <c r="F22" s="37" t="n"/>
      <c r="G22" s="37" t="inlineStr">
        <is>
          <t>conversion</t>
        </is>
      </c>
      <c r="H22" s="5" t="inlineStr">
        <is>
          <t>Calendar</t>
        </is>
      </c>
      <c r="I22" s="5" t="inlineStr"/>
      <c r="J22" s="35" t="n">
        <v>24</v>
      </c>
      <c r="K22" s="38">
        <f>IF(C22&amp;""=J22&amp;"","","changed")</f>
        <v/>
      </c>
    </row>
    <row r="23">
      <c r="A23" s="35" t="inlineStr">
        <is>
          <t>window_bd</t>
        </is>
      </c>
      <c r="B23" s="5" t="inlineStr">
        <is>
          <t>Campaign window</t>
        </is>
      </c>
      <c r="C23" s="36" t="n">
        <v>5</v>
      </c>
      <c r="D23" s="37" t="inlineStr">
        <is>
          <t>business days</t>
        </is>
      </c>
      <c r="E23" s="37" t="n"/>
      <c r="F23" s="37" t="n"/>
      <c r="G23" s="37" t="inlineStr">
        <is>
          <t>planning estimate</t>
        </is>
      </c>
      <c r="H23" s="5" t="inlineStr">
        <is>
          <t>plan.md, What brands buy: 'Five business days'</t>
        </is>
      </c>
      <c r="I23" s="5" t="inlineStr">
        <is>
          <t>T is day 1; the window closes at T+4.</t>
        </is>
      </c>
      <c r="J23" s="35" t="n">
        <v>5</v>
      </c>
      <c r="K23" s="38">
        <f>IF(C23&amp;""=J23&amp;"","","changed")</f>
        <v/>
      </c>
    </row>
    <row r="24">
      <c r="A24" s="35" t="inlineStr">
        <is>
          <t>drop_prefix</t>
        </is>
      </c>
      <c r="B24" s="5" t="inlineStr">
        <is>
          <t>Drop ID prefix</t>
        </is>
      </c>
      <c r="C24" s="36" t="inlineStr">
        <is>
          <t>DRP-</t>
        </is>
      </c>
      <c r="D24" s="37" t="inlineStr">
        <is>
          <t>text</t>
        </is>
      </c>
      <c r="E24" s="37" t="n"/>
      <c r="F24" s="37" t="n"/>
      <c r="G24" s="37" t="inlineStr">
        <is>
          <t>convention</t>
        </is>
      </c>
      <c r="H24" s="5" t="inlineStr">
        <is>
          <t>CONTRACTS s6.5 (DRP-###)</t>
        </is>
      </c>
      <c r="I24" s="5" t="inlineStr">
        <is>
          <t>Toggl projects named DRP-001 etc. map to drops.</t>
        </is>
      </c>
      <c r="J24" s="35" t="inlineStr">
        <is>
          <t>DRP-</t>
        </is>
      </c>
      <c r="K24" s="38">
        <f>IF(C24&amp;""=J24&amp;"","","changed")</f>
        <v/>
      </c>
    </row>
    <row r="25">
      <c r="A25" s="35" t="inlineStr">
        <is>
          <t>office_window_days</t>
        </is>
      </c>
      <c r="B25" s="5" t="inlineStr">
        <is>
          <t>An office should get at most one drop in this many days</t>
        </is>
      </c>
      <c r="C25" s="36" t="n">
        <v>28</v>
      </c>
      <c r="D25" s="37" t="inlineStr">
        <is>
          <t>days</t>
        </is>
      </c>
      <c r="E25" s="37" t="n"/>
      <c r="F25" s="37" t="n"/>
      <c r="G25" s="37" t="inlineStr">
        <is>
          <t>derived, founder to confirm</t>
        </is>
      </c>
      <c r="H25" s="5" t="inlineStr">
        <is>
          <t>plan.md, What has to be true #4: 'Offices accept one drop a month'</t>
        </is>
      </c>
      <c r="I25" s="5" t="inlineStr">
        <is>
          <t>Four weeks counts as monthly, so drops 28 days apart do not flag. Used for the office-fatigue warning on Schedule.</t>
        </is>
      </c>
      <c r="J25" s="35" t="n">
        <v>28</v>
      </c>
      <c r="K25" s="38">
        <f>IF(C25&amp;""=J25&amp;"","","changed")</f>
        <v/>
      </c>
    </row>
    <row r="27">
      <c r="A27" s="3" t="inlineStr">
        <is>
          <t>2. Scenario in force</t>
        </is>
      </c>
      <c r="B27" s="4" t="n"/>
      <c r="C27" s="4" t="n"/>
      <c r="D27" s="4" t="n"/>
      <c r="E27" s="4" t="n"/>
      <c r="F27" s="4" t="n"/>
      <c r="G27" s="4" t="n"/>
      <c r="H27" s="4" t="n"/>
      <c r="I27" s="4" t="n"/>
      <c r="J27" s="4" t="n"/>
      <c r="K27" s="4" t="n"/>
    </row>
    <row r="28">
      <c r="A28" s="10" t="inlineStr">
        <is>
          <t>key</t>
        </is>
      </c>
      <c r="B28" s="10" t="inlineStr">
        <is>
          <t>Assumption</t>
        </is>
      </c>
      <c r="C28" s="10" t="inlineStr">
        <is>
          <t>Value</t>
        </is>
      </c>
      <c r="D28" s="10" t="inlineStr">
        <is>
          <t>Unit</t>
        </is>
      </c>
      <c r="E28" s="10" t="inlineStr">
        <is>
          <t>Low</t>
        </is>
      </c>
      <c r="F28" s="10" t="inlineStr">
        <is>
          <t>High</t>
        </is>
      </c>
      <c r="G28" s="10" t="inlineStr">
        <is>
          <t>Status</t>
        </is>
      </c>
      <c r="H28" s="10" t="inlineStr">
        <is>
          <t>Source</t>
        </is>
      </c>
      <c r="I28" s="10" t="inlineStr">
        <is>
          <t>Notes</t>
        </is>
      </c>
      <c r="J28" s="10" t="inlineStr">
        <is>
          <t>Plan default</t>
        </is>
      </c>
      <c r="K28" s="10" t="inlineStr">
        <is>
          <t>Changed?</t>
        </is>
      </c>
    </row>
    <row r="29">
      <c r="A29" s="35" t="inlineStr">
        <is>
          <t>active_scenario</t>
        </is>
      </c>
      <c r="B29" s="5" t="inlineStr">
        <is>
          <t>Scenario applied to drops after Gate 3 and to the steady state</t>
        </is>
      </c>
      <c r="C29" s="36" t="inlineStr">
        <is>
          <t>Plan base</t>
        </is>
      </c>
      <c r="D29" s="37" t="inlineStr">
        <is>
          <t>list</t>
        </is>
      </c>
      <c r="E29" s="37" t="n"/>
      <c r="F29" s="37" t="n"/>
      <c r="G29" s="37" t="inlineStr">
        <is>
          <t>setting</t>
        </is>
      </c>
      <c r="H29" s="5" t="inlineStr">
        <is>
          <t>plan.md, After the first standard runs: decision scenarios</t>
        </is>
      </c>
      <c r="I29" s="5" t="inlineStr">
        <is>
          <t>Plan base = the plan's 'What has to be true'. A to D = the plan's four decision situations. See the Scenarios tab.</t>
        </is>
      </c>
      <c r="J29" s="35" t="inlineStr">
        <is>
          <t>Plan base</t>
        </is>
      </c>
      <c r="K29" s="38">
        <f>IF(C29&amp;""=J29&amp;"","","changed")</f>
        <v/>
      </c>
    </row>
    <row r="31">
      <c r="A31" s="3" t="inlineStr">
        <is>
          <t>3. Prices and payment terms</t>
        </is>
      </c>
      <c r="B31" s="4" t="n"/>
      <c r="C31" s="4" t="n"/>
      <c r="D31" s="4" t="n"/>
      <c r="E31" s="4" t="n"/>
      <c r="F31" s="4" t="n"/>
      <c r="G31" s="4" t="n"/>
      <c r="H31" s="4" t="n"/>
      <c r="I31" s="4" t="n"/>
      <c r="J31" s="4" t="n"/>
      <c r="K31" s="4" t="n"/>
    </row>
    <row r="32">
      <c r="A32" s="10" t="inlineStr">
        <is>
          <t>key</t>
        </is>
      </c>
      <c r="B32" s="10" t="inlineStr">
        <is>
          <t>Assumption</t>
        </is>
      </c>
      <c r="C32" s="10" t="inlineStr">
        <is>
          <t>Value</t>
        </is>
      </c>
      <c r="D32" s="10" t="inlineStr">
        <is>
          <t>Unit</t>
        </is>
      </c>
      <c r="E32" s="10" t="inlineStr">
        <is>
          <t>Low</t>
        </is>
      </c>
      <c r="F32" s="10" t="inlineStr">
        <is>
          <t>High</t>
        </is>
      </c>
      <c r="G32" s="10" t="inlineStr">
        <is>
          <t>Status</t>
        </is>
      </c>
      <c r="H32" s="10" t="inlineStr">
        <is>
          <t>Source</t>
        </is>
      </c>
      <c r="I32" s="10" t="inlineStr">
        <is>
          <t>Notes</t>
        </is>
      </c>
      <c r="J32" s="10" t="inlineStr">
        <is>
          <t>Plan default</t>
        </is>
      </c>
      <c r="K32" s="10" t="inlineStr">
        <is>
          <t>Changed?</t>
        </is>
      </c>
    </row>
    <row r="33">
      <c r="A33" s="35" t="inlineStr">
        <is>
          <t>price_std_office</t>
        </is>
      </c>
      <c r="B33" s="5" t="inlineStr">
        <is>
          <t>Standard price per office</t>
        </is>
      </c>
      <c r="C33" s="43" t="n">
        <v>150</v>
      </c>
      <c r="D33" s="37" t="inlineStr">
        <is>
          <t>USD per office</t>
        </is>
      </c>
      <c r="E33" s="37" t="n"/>
      <c r="F33" s="37" t="n"/>
      <c r="G33" s="37" t="inlineStr">
        <is>
          <t>planning estimate</t>
        </is>
      </c>
      <c r="H33" s="5" t="inlineStr">
        <is>
          <t>plan.md, Revised model: Price table</t>
        </is>
      </c>
      <c r="I33" s="5" t="inlineStr">
        <is>
          <t>$1,500 for 10 offices. Change this cell to test a price.</t>
        </is>
      </c>
      <c r="J33" s="44" t="n">
        <v>150</v>
      </c>
      <c r="K33" s="38">
        <f>IF(C33&amp;""=J33&amp;"","","changed")</f>
        <v/>
      </c>
    </row>
    <row r="34">
      <c r="A34" s="35" t="inlineStr">
        <is>
          <t>std_pkg_offices</t>
        </is>
      </c>
      <c r="B34" s="5" t="inlineStr">
        <is>
          <t>Standard package size</t>
        </is>
      </c>
      <c r="C34" s="36" t="n">
        <v>10</v>
      </c>
      <c r="D34" s="37" t="inlineStr">
        <is>
          <t>offices</t>
        </is>
      </c>
      <c r="E34" s="37" t="n"/>
      <c r="F34" s="37" t="n"/>
      <c r="G34" s="37" t="inlineStr">
        <is>
          <t>planning estimate</t>
        </is>
      </c>
      <c r="H34" s="5" t="inlineStr">
        <is>
          <t>plan.md, Revised model: Price table</t>
        </is>
      </c>
      <c r="I34" s="5" t="inlineStr"/>
      <c r="J34" s="35" t="n">
        <v>10</v>
      </c>
      <c r="K34" s="38">
        <f>IF(C34&amp;""=J34&amp;"","","changed")</f>
        <v/>
      </c>
    </row>
    <row r="35">
      <c r="A35" s="35" t="inlineStr">
        <is>
          <t>std_pkg_price</t>
        </is>
      </c>
      <c r="B35" s="5" t="inlineStr">
        <is>
          <t>Standard package price</t>
        </is>
      </c>
      <c r="C35" s="45">
        <f>Inputs!$C$33*Inputs!$C$34</f>
        <v/>
      </c>
      <c r="D35" s="37" t="inlineStr">
        <is>
          <t>USD per brand</t>
        </is>
      </c>
      <c r="E35" s="37" t="n"/>
      <c r="F35" s="37" t="n"/>
      <c r="G35" s="37" t="inlineStr">
        <is>
          <t>calculated</t>
        </is>
      </c>
      <c r="H35" s="5" t="inlineStr">
        <is>
          <t>Price per office x package offices</t>
        </is>
      </c>
      <c r="I35" s="5" t="inlineStr"/>
      <c r="J35" s="37" t="n"/>
      <c r="K35" s="37" t="n"/>
    </row>
    <row r="36">
      <c r="A36" s="35" t="inlineStr">
        <is>
          <t>price_fnd_office</t>
        </is>
      </c>
      <c r="B36" s="5" t="inlineStr">
        <is>
          <t>Founding price per office</t>
        </is>
      </c>
      <c r="C36" s="43" t="n">
        <v>120</v>
      </c>
      <c r="D36" s="37" t="inlineStr">
        <is>
          <t>USD per office</t>
        </is>
      </c>
      <c r="E36" s="46" t="n">
        <v>120</v>
      </c>
      <c r="F36" s="46" t="n">
        <v>180</v>
      </c>
      <c r="G36" s="37" t="inlineStr">
        <is>
          <t>planning estimate</t>
        </is>
      </c>
      <c r="H36" s="5" t="inlineStr">
        <is>
          <t>plan.md, Revised model: Price table</t>
        </is>
      </c>
      <c r="I36" s="5" t="inlineStr">
        <is>
          <t>$600 for 5 offices. The plan's summary table once said $600 to $900; the decided price is $600 (low end shown as default).</t>
        </is>
      </c>
      <c r="J36" s="44" t="n">
        <v>120</v>
      </c>
      <c r="K36" s="38">
        <f>IF(C36&amp;""=J36&amp;"","","changed")</f>
        <v/>
      </c>
    </row>
    <row r="37">
      <c r="A37" s="35" t="inlineStr">
        <is>
          <t>fnd_pkg_offices</t>
        </is>
      </c>
      <c r="B37" s="5" t="inlineStr">
        <is>
          <t>Founding package size</t>
        </is>
      </c>
      <c r="C37" s="36" t="n">
        <v>5</v>
      </c>
      <c r="D37" s="37" t="inlineStr">
        <is>
          <t>offices</t>
        </is>
      </c>
      <c r="E37" s="37" t="n"/>
      <c r="F37" s="37" t="n"/>
      <c r="G37" s="37" t="inlineStr">
        <is>
          <t>planning estimate</t>
        </is>
      </c>
      <c r="H37" s="5" t="inlineStr">
        <is>
          <t>plan.md, Revised model: Price table</t>
        </is>
      </c>
      <c r="I37" s="5" t="inlineStr"/>
      <c r="J37" s="35" t="n">
        <v>5</v>
      </c>
      <c r="K37" s="38">
        <f>IF(C37&amp;""=J37&amp;"","","changed")</f>
        <v/>
      </c>
    </row>
    <row r="38">
      <c r="A38" s="35" t="inlineStr">
        <is>
          <t>fnd_pkg_price</t>
        </is>
      </c>
      <c r="B38" s="5" t="inlineStr">
        <is>
          <t>Founding package price</t>
        </is>
      </c>
      <c r="C38" s="45">
        <f>Inputs!$C$36*Inputs!$C$37</f>
        <v/>
      </c>
      <c r="D38" s="37" t="inlineStr">
        <is>
          <t>USD per brand</t>
        </is>
      </c>
      <c r="E38" s="37" t="n"/>
      <c r="F38" s="37" t="n"/>
      <c r="G38" s="37" t="inlineStr">
        <is>
          <t>calculated</t>
        </is>
      </c>
      <c r="H38" s="5" t="inlineStr">
        <is>
          <t>Price per office x package offices</t>
        </is>
      </c>
      <c r="I38" s="5" t="inlineStr"/>
      <c r="J38" s="37" t="n"/>
      <c r="K38" s="37" t="n"/>
    </row>
    <row r="39">
      <c r="A39" s="35" t="inlineStr">
        <is>
          <t>extra_office_price</t>
        </is>
      </c>
      <c r="B39" s="5" t="inlineStr">
        <is>
          <t>Extra office beyond the package</t>
        </is>
      </c>
      <c r="C39" s="43" t="n">
        <v>150</v>
      </c>
      <c r="D39" s="37" t="inlineStr">
        <is>
          <t>USD per office</t>
        </is>
      </c>
      <c r="E39" s="37" t="n"/>
      <c r="F39" s="37" t="n"/>
      <c r="G39" s="37" t="inlineStr">
        <is>
          <t>planning estimate</t>
        </is>
      </c>
      <c r="H39" s="5" t="inlineStr">
        <is>
          <t>plan.md, Revised model: Price table</t>
        </is>
      </c>
      <c r="I39" s="5" t="inlineStr">
        <is>
          <t>Applies to offices beyond 5 (founding) or 10 (standard). Founding renewals stay at the founding rate per office for any office count.</t>
        </is>
      </c>
      <c r="J39" s="44" t="n">
        <v>150</v>
      </c>
      <c r="K39" s="38">
        <f>IF(C39&amp;""=J39&amp;"","","changed")</f>
        <v/>
      </c>
    </row>
    <row r="40">
      <c r="A40" s="35" t="inlineStr">
        <is>
          <t>founding_cap</t>
        </is>
      </c>
      <c r="B40" s="5" t="inlineStr">
        <is>
          <t>Founding tier closes after</t>
        </is>
      </c>
      <c r="C40" s="36" t="n">
        <v>3</v>
      </c>
      <c r="D40" s="37" t="inlineStr">
        <is>
          <t>brands</t>
        </is>
      </c>
      <c r="E40" s="37" t="n"/>
      <c r="F40" s="37" t="n"/>
      <c r="G40" s="37" t="inlineStr">
        <is>
          <t>planning estimate</t>
        </is>
      </c>
      <c r="H40" s="5" t="inlineStr">
        <is>
          <t>plan.md, Revised model: Price table</t>
        </is>
      </c>
      <c r="I40" s="5" t="inlineStr">
        <is>
          <t>'First three brands only'.</t>
        </is>
      </c>
      <c r="J40" s="35" t="n">
        <v>3</v>
      </c>
      <c r="K40" s="38">
        <f>IF(C40&amp;""=J40&amp;"","","changed")</f>
        <v/>
      </c>
    </row>
    <row r="41">
      <c r="A41" s="35" t="inlineStr">
        <is>
          <t>founding_lock</t>
        </is>
      </c>
      <c r="B41" s="5" t="inlineStr">
        <is>
          <t>Founding price locked for</t>
        </is>
      </c>
      <c r="C41" s="36" t="n">
        <v>2</v>
      </c>
      <c r="D41" s="37" t="inlineStr">
        <is>
          <t>further campaigns</t>
        </is>
      </c>
      <c r="E41" s="37" t="n"/>
      <c r="F41" s="37" t="n"/>
      <c r="G41" s="37" t="inlineStr">
        <is>
          <t>planning estimate</t>
        </is>
      </c>
      <c r="H41" s="5" t="inlineStr">
        <is>
          <t>plan.md, Revised model: Price table</t>
        </is>
      </c>
      <c r="I41" s="5" t="inlineStr"/>
      <c r="J41" s="35" t="n">
        <v>2</v>
      </c>
      <c r="K41" s="38">
        <f>IF(C41&amp;""=J41&amp;"","","changed")</f>
        <v/>
      </c>
    </row>
    <row r="42">
      <c r="A42" s="35" t="inlineStr">
        <is>
          <t>fnd_upfront_share</t>
        </is>
      </c>
      <c r="B42" s="5" t="inlineStr">
        <is>
          <t>Founding: share paid before product ships</t>
        </is>
      </c>
      <c r="C42" s="47" t="n">
        <v>1</v>
      </c>
      <c r="D42" s="37" t="inlineStr">
        <is>
          <t>share</t>
        </is>
      </c>
      <c r="E42" s="37" t="n"/>
      <c r="F42" s="37" t="n"/>
      <c r="G42" s="37" t="inlineStr">
        <is>
          <t>planning estimate</t>
        </is>
      </c>
      <c r="H42" s="5" t="inlineStr">
        <is>
          <t>plan.md, Revised model: Price table</t>
        </is>
      </c>
      <c r="I42" s="5" t="inlineStr">
        <is>
          <t>'Paid in full before product ships'.</t>
        </is>
      </c>
      <c r="J42" s="48" t="n">
        <v>1</v>
      </c>
      <c r="K42" s="38">
        <f>IF(C42&amp;""=J42&amp;"","","changed")</f>
        <v/>
      </c>
    </row>
    <row r="43">
      <c r="A43" s="35" t="inlineStr">
        <is>
          <t>fnd_pay_lead_bd</t>
        </is>
      </c>
      <c r="B43" s="5" t="inlineStr">
        <is>
          <t>Founding: payment lands this many business days before the drop</t>
        </is>
      </c>
      <c r="C43" s="36" t="n">
        <v>20</v>
      </c>
      <c r="D43" s="37" t="inlineStr">
        <is>
          <t>business days</t>
        </is>
      </c>
      <c r="E43" s="37" t="n"/>
      <c r="F43" s="37" t="n"/>
      <c r="G43" s="37" t="inlineStr">
        <is>
          <t>derived, founder to confirm</t>
        </is>
      </c>
      <c r="H43" s="5" t="inlineStr">
        <is>
          <t>CONTRACTS.md section 3 (canonical calendar)</t>
        </is>
      </c>
      <c r="I43" s="5" t="inlineStr">
        <is>
          <t>Campaign zero's payment at Gate 1 (Fri 2026-12-11) is 20 business days before the Tue 2027-01-12 drop.</t>
        </is>
      </c>
      <c r="J43" s="35" t="n">
        <v>20</v>
      </c>
      <c r="K43" s="38">
        <f>IF(C43&amp;""=J43&amp;"","","changed")</f>
        <v/>
      </c>
    </row>
    <row r="44">
      <c r="A44" s="35" t="inlineStr">
        <is>
          <t>std_deposit_share</t>
        </is>
      </c>
      <c r="B44" s="5" t="inlineStr">
        <is>
          <t>Standard: share invoiced at signature</t>
        </is>
      </c>
      <c r="C44" s="47" t="n">
        <v>0.5</v>
      </c>
      <c r="D44" s="37" t="inlineStr">
        <is>
          <t>share</t>
        </is>
      </c>
      <c r="E44" s="37" t="n"/>
      <c r="F44" s="37" t="n"/>
      <c r="G44" s="37" t="inlineStr">
        <is>
          <t>planning estimate</t>
        </is>
      </c>
      <c r="H44" s="5" t="inlineStr">
        <is>
          <t>plan.md, Revised model: Price table</t>
        </is>
      </c>
      <c r="I44" s="5" t="inlineStr">
        <is>
          <t>50% at signature, 50% at placement confirmation.</t>
        </is>
      </c>
      <c r="J44" s="48" t="n">
        <v>0.5</v>
      </c>
      <c r="K44" s="38">
        <f>IF(C44&amp;""=J44&amp;"","","changed")</f>
        <v/>
      </c>
    </row>
    <row r="45">
      <c r="A45" s="35" t="inlineStr">
        <is>
          <t>std_sign_lead_bd</t>
        </is>
      </c>
      <c r="B45" s="5" t="inlineStr">
        <is>
          <t>Standard: signature (deposit) this many business days before the drop</t>
        </is>
      </c>
      <c r="C45" s="36" t="n">
        <v>10</v>
      </c>
      <c r="D45" s="37" t="inlineStr">
        <is>
          <t>business days</t>
        </is>
      </c>
      <c r="E45" s="37" t="n"/>
      <c r="F45" s="37" t="n"/>
      <c r="G45" s="37" t="inlineStr">
        <is>
          <t>derived, founder to confirm</t>
        </is>
      </c>
      <c r="H45" s="5" t="inlineStr">
        <is>
          <t>plan.md, campaign calendar (brand ships at T-10)</t>
        </is>
      </c>
      <c r="I45" s="5" t="inlineStr">
        <is>
          <t>The latest signature that still lets the brand ship at T-10. Later cash is the conservative reading; the plan proposes drop dates three to four weeks out.</t>
        </is>
      </c>
      <c r="J45" s="35" t="n">
        <v>10</v>
      </c>
      <c r="K45" s="38">
        <f>IF(C45&amp;""=J45&amp;"","","changed")</f>
        <v/>
      </c>
    </row>
    <row r="46">
      <c r="A46" s="35" t="inlineStr">
        <is>
          <t>balance_lag_bd</t>
        </is>
      </c>
      <c r="B46" s="5" t="inlineStr">
        <is>
          <t>Standard: balance invoiced this many business days after the drop</t>
        </is>
      </c>
      <c r="C46" s="36" t="n">
        <v>1</v>
      </c>
      <c r="D46" s="37" t="inlineStr">
        <is>
          <t>business days</t>
        </is>
      </c>
      <c r="E46" s="37" t="n"/>
      <c r="F46" s="37" t="n"/>
      <c r="G46" s="37" t="inlineStr">
        <is>
          <t>derived, founder to confirm</t>
        </is>
      </c>
      <c r="H46" s="5" t="inlineStr">
        <is>
          <t>plan.md, What brands buy: placement within one business day</t>
        </is>
      </c>
      <c r="I46" s="5" t="inlineStr">
        <is>
          <t>Placement confirmation at T+1.</t>
        </is>
      </c>
      <c r="J46" s="35" t="n">
        <v>1</v>
      </c>
      <c r="K46" s="38">
        <f>IF(C46&amp;""=J46&amp;"","","changed")</f>
        <v/>
      </c>
    </row>
    <row r="47">
      <c r="A47" s="35" t="inlineStr">
        <is>
          <t>payment_lag_days</t>
        </is>
      </c>
      <c r="B47" s="5" t="inlineStr">
        <is>
          <t>Days from invoice to cash</t>
        </is>
      </c>
      <c r="C47" s="36" t="n"/>
      <c r="D47" s="37" t="inlineStr">
        <is>
          <t>calendar days</t>
        </is>
      </c>
      <c r="E47" s="37" t="n"/>
      <c r="F47" s="37" t="n"/>
      <c r="G47" s="37" t="inlineStr">
        <is>
          <t>needs founder decision</t>
        </is>
      </c>
      <c r="H47" s="5" t="inlineStr">
        <is>
          <t>Not in the plan</t>
        </is>
      </c>
      <c r="I47" s="5" t="inlineStr">
        <is>
          <t>The plan states no invoice-to-cash lag. Blank = cash lands the day it is invoiced. Enter your invoice terms, for example 15.</t>
        </is>
      </c>
      <c r="J47" s="35" t="n"/>
      <c r="K47" s="38">
        <f>IF(C47&amp;""=J47&amp;"","","changed")</f>
        <v/>
      </c>
    </row>
    <row r="48">
      <c r="A48" s="35" t="inlineStr">
        <is>
          <t>processing_rate</t>
        </is>
      </c>
      <c r="B48" s="5" t="inlineStr">
        <is>
          <t>Card processing rate</t>
        </is>
      </c>
      <c r="C48" s="49" t="n">
        <v>0.03</v>
      </c>
      <c r="D48" s="37" t="inlineStr">
        <is>
          <t>share of revenue</t>
        </is>
      </c>
      <c r="E48" s="37" t="n"/>
      <c r="F48" s="37" t="n"/>
      <c r="G48" s="37" t="inlineStr">
        <is>
          <t>planning estimate</t>
        </is>
      </c>
      <c r="H48" s="5" t="inlineStr">
        <is>
          <t>plan.md, Economics: hard-cost table</t>
        </is>
      </c>
      <c r="I48" s="5" t="inlineStr">
        <is>
          <t>Card fees. Zero by bank transfer.</t>
        </is>
      </c>
      <c r="J48" s="50" t="n">
        <v>0.03</v>
      </c>
      <c r="K48" s="38">
        <f>IF(C48&amp;""=J48&amp;"","","changed")</f>
        <v/>
      </c>
    </row>
    <row r="49">
      <c r="A49" s="35" t="inlineStr">
        <is>
          <t>processing_on</t>
        </is>
      </c>
      <c r="B49" s="5" t="inlineStr">
        <is>
          <t>Brands pay by card? 1 = yes, 0 = bank transfer</t>
        </is>
      </c>
      <c r="C49" s="36" t="n">
        <v>1</v>
      </c>
      <c r="D49" s="37" t="inlineStr">
        <is>
          <t>toggle</t>
        </is>
      </c>
      <c r="E49" s="37" t="n">
        <v>0</v>
      </c>
      <c r="F49" s="37" t="n">
        <v>1</v>
      </c>
      <c r="G49" s="37" t="inlineStr">
        <is>
          <t>setting</t>
        </is>
      </c>
      <c r="H49" s="5" t="inlineStr">
        <is>
          <t>plan.md, Economics: hard-cost table</t>
        </is>
      </c>
      <c r="I49" s="5" t="inlineStr">
        <is>
          <t>1 is the high end of the plan's 0% to 3% range and matches its scenario rows. 0 is the plan's preferred invoicing (Wave, bank transfer).</t>
        </is>
      </c>
      <c r="J49" s="35" t="n">
        <v>1</v>
      </c>
      <c r="K49" s="38">
        <f>IF(C49&amp;""=J49&amp;"","","changed")</f>
        <v/>
      </c>
    </row>
    <row r="51">
      <c r="A51" s="3" t="inlineStr">
        <is>
          <t>4. Units</t>
        </is>
      </c>
      <c r="B51" s="4" t="n"/>
      <c r="C51" s="4" t="n"/>
      <c r="D51" s="4" t="n"/>
      <c r="E51" s="4" t="n"/>
      <c r="F51" s="4" t="n"/>
      <c r="G51" s="4" t="n"/>
      <c r="H51" s="4" t="n"/>
      <c r="I51" s="4" t="n"/>
      <c r="J51" s="4" t="n"/>
      <c r="K51" s="4" t="n"/>
    </row>
    <row r="52">
      <c r="A52" s="10" t="inlineStr">
        <is>
          <t>key</t>
        </is>
      </c>
      <c r="B52" s="10" t="inlineStr">
        <is>
          <t>Assumption</t>
        </is>
      </c>
      <c r="C52" s="10" t="inlineStr">
        <is>
          <t>Value</t>
        </is>
      </c>
      <c r="D52" s="10" t="inlineStr">
        <is>
          <t>Unit</t>
        </is>
      </c>
      <c r="E52" s="10" t="inlineStr">
        <is>
          <t>Low</t>
        </is>
      </c>
      <c r="F52" s="10" t="inlineStr">
        <is>
          <t>High</t>
        </is>
      </c>
      <c r="G52" s="10" t="inlineStr">
        <is>
          <t>Status</t>
        </is>
      </c>
      <c r="H52" s="10" t="inlineStr">
        <is>
          <t>Source</t>
        </is>
      </c>
      <c r="I52" s="10" t="inlineStr">
        <is>
          <t>Notes</t>
        </is>
      </c>
      <c r="J52" s="10" t="inlineStr">
        <is>
          <t>Plan default</t>
        </is>
      </c>
      <c r="K52" s="10" t="inlineStr">
        <is>
          <t>Changed?</t>
        </is>
      </c>
    </row>
    <row r="53">
      <c r="A53" s="35" t="inlineStr">
        <is>
          <t>units_per_office</t>
        </is>
      </c>
      <c r="B53" s="5" t="inlineStr">
        <is>
          <t>Units per office per brand</t>
        </is>
      </c>
      <c r="C53" s="36" t="n">
        <v>50</v>
      </c>
      <c r="D53" s="37" t="inlineStr">
        <is>
          <t>units</t>
        </is>
      </c>
      <c r="E53" s="37" t="n"/>
      <c r="F53" s="37" t="n"/>
      <c r="G53" s="37" t="inlineStr">
        <is>
          <t>planning estimate</t>
        </is>
      </c>
      <c r="H53" s="5" t="inlineStr">
        <is>
          <t>plan.md, What brands buy</t>
        </is>
      </c>
      <c r="I53" s="5" t="inlineStr">
        <is>
          <t>Sized to Tuesday headcount (floor 30, ceiling 80).</t>
        </is>
      </c>
      <c r="J53" s="35" t="n">
        <v>50</v>
      </c>
      <c r="K53" s="38">
        <f>IF(C53&amp;""=J53&amp;"","","changed")</f>
        <v/>
      </c>
    </row>
    <row r="54">
      <c r="A54" s="35" t="inlineStr">
        <is>
          <t>reserve_share</t>
        </is>
      </c>
      <c r="B54" s="5" t="inlineStr">
        <is>
          <t>Reserve the brand ships on top</t>
        </is>
      </c>
      <c r="C54" s="47" t="n">
        <v>0.1</v>
      </c>
      <c r="D54" s="37" t="inlineStr">
        <is>
          <t>share</t>
        </is>
      </c>
      <c r="E54" s="37" t="n"/>
      <c r="F54" s="37" t="n"/>
      <c r="G54" s="37" t="inlineStr">
        <is>
          <t>planning estimate</t>
        </is>
      </c>
      <c r="H54" s="5" t="inlineStr">
        <is>
          <t>plan.md, What brands buy</t>
        </is>
      </c>
      <c r="I54" s="5" t="inlineStr"/>
      <c r="J54" s="48" t="n">
        <v>0.1</v>
      </c>
      <c r="K54" s="38">
        <f>IF(C54&amp;""=J54&amp;"","","changed")</f>
        <v/>
      </c>
    </row>
    <row r="56">
      <c r="A56" s="3" t="inlineStr">
        <is>
          <t>5. Hard costs and monthly overhead</t>
        </is>
      </c>
      <c r="B56" s="4" t="n"/>
      <c r="C56" s="4" t="n"/>
      <c r="D56" s="4" t="n"/>
      <c r="E56" s="4" t="n"/>
      <c r="F56" s="4" t="n"/>
      <c r="G56" s="4" t="n"/>
      <c r="H56" s="4" t="n"/>
      <c r="I56" s="4" t="n"/>
      <c r="J56" s="4" t="n"/>
      <c r="K56" s="4" t="n"/>
    </row>
    <row r="57">
      <c r="A57" s="10" t="inlineStr">
        <is>
          <t>key</t>
        </is>
      </c>
      <c r="B57" s="10" t="inlineStr">
        <is>
          <t>Assumption</t>
        </is>
      </c>
      <c r="C57" s="10" t="inlineStr">
        <is>
          <t>Value</t>
        </is>
      </c>
      <c r="D57" s="10" t="inlineStr">
        <is>
          <t>Unit</t>
        </is>
      </c>
      <c r="E57" s="10" t="inlineStr">
        <is>
          <t>Low</t>
        </is>
      </c>
      <c r="F57" s="10" t="inlineStr">
        <is>
          <t>High</t>
        </is>
      </c>
      <c r="G57" s="10" t="inlineStr">
        <is>
          <t>Status</t>
        </is>
      </c>
      <c r="H57" s="10" t="inlineStr">
        <is>
          <t>Source</t>
        </is>
      </c>
      <c r="I57" s="10" t="inlineStr">
        <is>
          <t>Notes</t>
        </is>
      </c>
      <c r="J57" s="10" t="inlineStr">
        <is>
          <t>Plan default</t>
        </is>
      </c>
      <c r="K57" s="10" t="inlineStr">
        <is>
          <t>Changed?</t>
        </is>
      </c>
    </row>
    <row r="58">
      <c r="A58" s="35" t="inlineStr">
        <is>
          <t>kit_per_office</t>
        </is>
      </c>
      <c r="B58" s="5" t="inlineStr">
        <is>
          <t>Display kit per office per drop (card, allergen line, case label)</t>
        </is>
      </c>
      <c r="C58" s="43" t="n">
        <v>8</v>
      </c>
      <c r="D58" s="37" t="inlineStr">
        <is>
          <t>USD per office per drop</t>
        </is>
      </c>
      <c r="E58" s="37" t="n"/>
      <c r="F58" s="37" t="n"/>
      <c r="G58" s="37" t="inlineStr">
        <is>
          <t>planning estimate</t>
        </is>
      </c>
      <c r="H58" s="5" t="inlineStr">
        <is>
          <t>plan.md, Economics: hard-cost table</t>
        </is>
      </c>
      <c r="I58" s="5" t="inlineStr">
        <is>
          <t>Plan reading (a): per office per drop, not per brand. Only this reproduces the scenario hard costs.</t>
        </is>
      </c>
      <c r="J58" s="44" t="n">
        <v>8</v>
      </c>
      <c r="K58" s="38">
        <f>IF(C58&amp;""=J58&amp;"","","changed")</f>
        <v/>
      </c>
    </row>
    <row r="59">
      <c r="A59" s="35" t="inlineStr">
        <is>
          <t>card_extra</t>
        </is>
      </c>
      <c r="B59" s="5" t="inlineStr">
        <is>
          <t>Extra tent card per additional brand per office</t>
        </is>
      </c>
      <c r="C59" s="43" t="n"/>
      <c r="D59" s="37" t="inlineStr">
        <is>
          <t>USD per card</t>
        </is>
      </c>
      <c r="E59" s="46" t="n">
        <v>1</v>
      </c>
      <c r="F59" s="46" t="n">
        <v>2</v>
      </c>
      <c r="G59" s="37" t="inlineStr">
        <is>
          <t>needs founder decision</t>
        </is>
      </c>
      <c r="H59" s="5" t="inlineStr">
        <is>
          <t>plan.md, Hardware: tent cards roughly $1 to $2 each</t>
        </is>
      </c>
      <c r="I59" s="5" t="inlineStr">
        <is>
          <t>Reading (a) keeps one $8 kit per office even on a three-brand drop. If each brand needs its own card, enter $1 to $2.</t>
        </is>
      </c>
      <c r="J59" s="44" t="n"/>
      <c r="K59" s="38">
        <f>IF(C59&amp;""=J59&amp;"","","changed")</f>
        <v/>
      </c>
    </row>
    <row r="60">
      <c r="A60" s="35" t="inlineStr">
        <is>
          <t>founder_transport</t>
        </is>
      </c>
      <c r="B60" s="5" t="inlineStr">
        <is>
          <t>Founder delivery (car rides) per drop</t>
        </is>
      </c>
      <c r="C60" s="43" t="n">
        <v>120</v>
      </c>
      <c r="D60" s="37" t="inlineStr">
        <is>
          <t>USD per drop</t>
        </is>
      </c>
      <c r="E60" s="37" t="n"/>
      <c r="F60" s="37" t="n"/>
      <c r="G60" s="37" t="inlineStr">
        <is>
          <t>planning estimate</t>
        </is>
      </c>
      <c r="H60" s="5" t="inlineStr">
        <is>
          <t>plan.md, Economics: hard-cost table</t>
        </is>
      </c>
      <c r="I60" s="5" t="inlineStr">
        <is>
          <t>'You delivering costs about $120 in car rides.'</t>
        </is>
      </c>
      <c r="J60" s="44" t="n">
        <v>120</v>
      </c>
      <c r="K60" s="38">
        <f>IF(C60&amp;""=J60&amp;"","","changed")</f>
        <v/>
      </c>
    </row>
    <row r="61">
      <c r="A61" s="35" t="inlineStr">
        <is>
          <t>courier_per_stop</t>
        </is>
      </c>
      <c r="B61" s="5" t="inlineStr">
        <is>
          <t>Courier per stop</t>
        </is>
      </c>
      <c r="C61" s="43" t="n">
        <v>30</v>
      </c>
      <c r="D61" s="37" t="inlineStr">
        <is>
          <t>USD per stop</t>
        </is>
      </c>
      <c r="E61" s="46" t="n">
        <v>25</v>
      </c>
      <c r="F61" s="46" t="n">
        <v>40</v>
      </c>
      <c r="G61" s="37" t="inlineStr">
        <is>
          <t>planning estimate, needs quote</t>
        </is>
      </c>
      <c r="H61" s="5" t="inlineStr">
        <is>
          <t>plan.md, Economics: hard-cost table</t>
        </is>
      </c>
      <c r="I61" s="5" t="inlineStr">
        <is>
          <t>$300 for a ten-stop route is $30 a stop; plan range $25 to $40. No reliable published rate; get three quotes.</t>
        </is>
      </c>
      <c r="J61" s="44" t="n">
        <v>30</v>
      </c>
      <c r="K61" s="38">
        <f>IF(C61&amp;""=J61&amp;"","","changed")</f>
        <v/>
      </c>
    </row>
    <row r="62">
      <c r="A62" s="35" t="inlineStr">
        <is>
          <t>direct_transport</t>
        </is>
      </c>
      <c r="B62" s="5" t="inlineStr">
        <is>
          <t>Transport when brands ship direct</t>
        </is>
      </c>
      <c r="C62" s="43" t="n">
        <v>0</v>
      </c>
      <c r="D62" s="37" t="inlineStr">
        <is>
          <t>USD per drop</t>
        </is>
      </c>
      <c r="E62" s="37" t="n"/>
      <c r="F62" s="37" t="n"/>
      <c r="G62" s="37" t="inlineStr">
        <is>
          <t>planning estimate</t>
        </is>
      </c>
      <c r="H62" s="5" t="inlineStr">
        <is>
          <t>plan.md, scenario table, direct-ship row</t>
        </is>
      </c>
      <c r="I62" s="5" t="inlineStr">
        <is>
          <t>Plan reading (c): the $370 direct-ship row carries $0 transport.</t>
        </is>
      </c>
      <c r="J62" s="44" t="n">
        <v>0</v>
      </c>
      <c r="K62" s="38">
        <f>IF(C62&amp;""=J62&amp;"","","changed")</f>
        <v/>
      </c>
    </row>
    <row r="63">
      <c r="A63" s="35" t="inlineStr">
        <is>
          <t>kit_mail_per_office</t>
        </is>
      </c>
      <c r="B63" s="5" t="inlineStr">
        <is>
          <t>Mailing the display kit ahead (direct-ship)</t>
        </is>
      </c>
      <c r="C63" s="43" t="n"/>
      <c r="D63" s="37" t="inlineStr">
        <is>
          <t>USD per office</t>
        </is>
      </c>
      <c r="E63" s="37" t="n"/>
      <c r="F63" s="37" t="n"/>
      <c r="G63" s="37" t="inlineStr">
        <is>
          <t>needs quote</t>
        </is>
      </c>
      <c r="H63" s="5" t="inlineStr">
        <is>
          <t>plan.md, Delivery by phase: '... mails the display kit ahead'</t>
        </is>
      </c>
      <c r="I63" s="5" t="inlineStr">
        <is>
          <t>The plan gives no figure. Blank counts as $0.</t>
        </is>
      </c>
      <c r="J63" s="44" t="n"/>
      <c r="K63" s="38">
        <f>IF(C63&amp;""=J63&amp;"","","changed")</f>
        <v/>
      </c>
    </row>
    <row r="64">
      <c r="A64" s="35" t="inlineStr">
        <is>
          <t>kit_print_bd</t>
        </is>
      </c>
      <c r="B64" s="5" t="inlineStr">
        <is>
          <t>Kits printed this many business days before the drop</t>
        </is>
      </c>
      <c r="C64" s="36" t="n">
        <v>3</v>
      </c>
      <c r="D64" s="37" t="inlineStr">
        <is>
          <t>business days</t>
        </is>
      </c>
      <c r="E64" s="37" t="n"/>
      <c r="F64" s="37" t="n"/>
      <c r="G64" s="37" t="inlineStr">
        <is>
          <t>planning estimate</t>
        </is>
      </c>
      <c r="H64" s="5" t="inlineStr">
        <is>
          <t>plan.md, campaign calendar: T minus 3</t>
        </is>
      </c>
      <c r="I64" s="5" t="inlineStr"/>
      <c r="J64" s="35" t="n">
        <v>3</v>
      </c>
      <c r="K64" s="38">
        <f>IF(C64&amp;""=J64&amp;"","","changed")</f>
        <v/>
      </c>
    </row>
    <row r="65">
      <c r="A65" s="35" t="inlineStr">
        <is>
          <t>storage_choice</t>
        </is>
      </c>
      <c r="B65" s="5" t="inlineStr">
        <is>
          <t>Storage</t>
        </is>
      </c>
      <c r="C65" s="36" t="inlineStr">
        <is>
          <t>unit</t>
        </is>
      </c>
      <c r="D65" s="37" t="inlineStr">
        <is>
          <t>list</t>
        </is>
      </c>
      <c r="E65" s="37" t="n"/>
      <c r="F65" s="37" t="n"/>
      <c r="G65" s="37" t="inlineStr">
        <is>
          <t>setting</t>
        </is>
      </c>
      <c r="H65" s="5" t="inlineStr">
        <is>
          <t>plan.md, Economics: hard-cost table</t>
        </is>
      </c>
      <c r="I65" s="5" t="inlineStr">
        <is>
          <t>unit = small storage unit; home = sealed cases at home, $0.</t>
        </is>
      </c>
      <c r="J65" s="35" t="inlineStr">
        <is>
          <t>unit</t>
        </is>
      </c>
      <c r="K65" s="38">
        <f>IF(C65&amp;""=J65&amp;"","","changed")</f>
        <v/>
      </c>
    </row>
    <row r="66">
      <c r="A66" s="35" t="inlineStr">
        <is>
          <t>storage_monthly</t>
        </is>
      </c>
      <c r="B66" s="5" t="inlineStr">
        <is>
          <t>Storage unit per month</t>
        </is>
      </c>
      <c r="C66" s="43" t="n">
        <v>150</v>
      </c>
      <c r="D66" s="37" t="inlineStr">
        <is>
          <t>USD per month</t>
        </is>
      </c>
      <c r="E66" s="37" t="n"/>
      <c r="F66" s="37" t="n"/>
      <c r="G66" s="37" t="inlineStr">
        <is>
          <t>planning estimate</t>
        </is>
      </c>
      <c r="H66" s="5" t="inlineStr">
        <is>
          <t>plan.md, Economics: hard-cost table</t>
        </is>
      </c>
      <c r="I66" s="5" t="inlineStr">
        <is>
          <t>Allocation is half: $75 a drop at two drops a month.</t>
        </is>
      </c>
      <c r="J66" s="44" t="n">
        <v>150</v>
      </c>
      <c r="K66" s="38">
        <f>IF(C66&amp;""=J66&amp;"","","changed")</f>
        <v/>
      </c>
    </row>
    <row r="67">
      <c r="A67" s="35" t="inlineStr">
        <is>
          <t>storage_start</t>
        </is>
      </c>
      <c r="B67" s="5" t="inlineStr">
        <is>
          <t>Storage unit rented from</t>
        </is>
      </c>
      <c r="C67" s="39" t="n">
        <v>46419</v>
      </c>
      <c r="D67" s="37" t="inlineStr">
        <is>
          <t>date</t>
        </is>
      </c>
      <c r="E67" s="37" t="n"/>
      <c r="F67" s="37" t="n"/>
      <c r="G67" s="37" t="inlineStr">
        <is>
          <t>derived, founder to confirm</t>
        </is>
      </c>
      <c r="H67" s="5" t="inlineStr">
        <is>
          <t>Plan reading (b)</t>
        </is>
      </c>
      <c r="I67" s="5" t="inlineStr">
        <is>
          <t>First day of the first standard drop's month. Campaign zero stays at home, which is how its $280 reproduces.</t>
        </is>
      </c>
      <c r="J67" s="40" t="n">
        <v>46419</v>
      </c>
      <c r="K67" s="38">
        <f>IF(C67&amp;""=J67&amp;"","","changed")</f>
        <v/>
      </c>
    </row>
    <row r="68">
      <c r="A68" s="35" t="inlineStr">
        <is>
          <t>storage_end</t>
        </is>
      </c>
      <c r="B68" s="5" t="inlineStr">
        <is>
          <t>Storage unit released (blank = keep)</t>
        </is>
      </c>
      <c r="C68" s="39" t="n"/>
      <c r="D68" s="37" t="inlineStr">
        <is>
          <t>date</t>
        </is>
      </c>
      <c r="E68" s="37" t="n"/>
      <c r="F68" s="37" t="n"/>
      <c r="G68" s="37" t="inlineStr">
        <is>
          <t>setting</t>
        </is>
      </c>
      <c r="H68" s="5" t="inlineStr">
        <is>
          <t>Plan reading (c)</t>
        </is>
      </c>
      <c r="I68" s="5" t="inlineStr">
        <is>
          <t>Blank keeps the unit through the window, as the plan's direct-ship row keeps the $75.</t>
        </is>
      </c>
      <c r="J68" s="40" t="n"/>
      <c r="K68" s="38">
        <f>IF(C68&amp;""=J68&amp;"","","changed")</f>
        <v/>
      </c>
    </row>
    <row r="69">
      <c r="A69" s="35" t="inlineStr">
        <is>
          <t>software_monthly</t>
        </is>
      </c>
      <c r="B69" s="5" t="inlineStr">
        <is>
          <t>Software per month</t>
        </is>
      </c>
      <c r="C69" s="43" t="n">
        <v>60</v>
      </c>
      <c r="D69" s="37" t="inlineStr">
        <is>
          <t>USD per month</t>
        </is>
      </c>
      <c r="E69" s="46" t="n">
        <v>7</v>
      </c>
      <c r="F69" s="46" t="n">
        <v>81</v>
      </c>
      <c r="G69" s="37" t="inlineStr">
        <is>
          <t>planning estimate</t>
        </is>
      </c>
      <c r="H69" s="5" t="inlineStr">
        <is>
          <t>plan.md, Economics: Capital to the first six months; Tools table</t>
        </is>
      </c>
      <c r="I69" s="5" t="inlineStr">
        <is>
          <t>$360 for six months. Tools table sums to $7 to $81; the plan caps software under $60.</t>
        </is>
      </c>
      <c r="J69" s="44" t="n">
        <v>60</v>
      </c>
      <c r="K69" s="38">
        <f>IF(C69&amp;""=J69&amp;"","","changed")</f>
        <v/>
      </c>
    </row>
    <row r="70">
      <c r="A70" s="35" t="inlineStr">
        <is>
          <t>software_start</t>
        </is>
      </c>
      <c r="B70" s="5" t="inlineStr">
        <is>
          <t>Software paid from</t>
        </is>
      </c>
      <c r="C70" s="39" t="n">
        <v>46321</v>
      </c>
      <c r="D70" s="37" t="inlineStr">
        <is>
          <t>date</t>
        </is>
      </c>
      <c r="E70" s="37" t="n"/>
      <c r="F70" s="37" t="n"/>
      <c r="G70" s="37" t="inlineStr">
        <is>
          <t>derived, founder to confirm</t>
        </is>
      </c>
      <c r="H70" s="5" t="inlineStr">
        <is>
          <t>plan.md, Week 1 setup</t>
        </is>
      </c>
      <c r="I70" s="5" t="inlineStr"/>
      <c r="J70" s="40" t="n">
        <v>46321</v>
      </c>
      <c r="K70" s="38">
        <f>IF(C70&amp;""=J70&amp;"","","changed")</f>
        <v/>
      </c>
    </row>
    <row r="71">
      <c r="A71" s="35" t="inlineStr">
        <is>
          <t>insurance_monthly</t>
        </is>
      </c>
      <c r="B71" s="5" t="inlineStr">
        <is>
          <t>General liability insurance per month</t>
        </is>
      </c>
      <c r="C71" s="43" t="n">
        <v>100</v>
      </c>
      <c r="D71" s="37" t="inlineStr">
        <is>
          <t>USD per month</t>
        </is>
      </c>
      <c r="E71" s="46" t="n">
        <v>41.66666666666666</v>
      </c>
      <c r="F71" s="46" t="n">
        <v>125</v>
      </c>
      <c r="G71" s="37" t="inlineStr">
        <is>
          <t>planning estimate, needs quote</t>
        </is>
      </c>
      <c r="H71" s="5" t="inlineStr">
        <is>
          <t>plan.md, Economics: hard-cost table</t>
        </is>
      </c>
      <c r="I71" s="5" t="inlineStr">
        <is>
          <t>'Roughly $100 a month'. Capital table range $500 to $1,500 a year, shown here per month.</t>
        </is>
      </c>
      <c r="J71" s="44" t="n">
        <v>100</v>
      </c>
      <c r="K71" s="38">
        <f>IF(C71&amp;""=J71&amp;"","","changed")</f>
        <v/>
      </c>
    </row>
    <row r="72">
      <c r="A72" s="35" t="inlineStr">
        <is>
          <t>insurance_billing</t>
        </is>
      </c>
      <c r="B72" s="5" t="inlineStr">
        <is>
          <t>Insurance billing</t>
        </is>
      </c>
      <c r="C72" s="36" t="inlineStr">
        <is>
          <t>annual</t>
        </is>
      </c>
      <c r="D72" s="37" t="inlineStr">
        <is>
          <t>list</t>
        </is>
      </c>
      <c r="E72" s="37" t="n"/>
      <c r="F72" s="37" t="n"/>
      <c r="G72" s="37" t="inlineStr">
        <is>
          <t>setting</t>
        </is>
      </c>
      <c r="H72" s="5" t="inlineStr">
        <is>
          <t>plan.md, Economics: Capital to the first six months</t>
        </is>
      </c>
      <c r="I72" s="5" t="inlineStr">
        <is>
          <t>annual = one year's premium paid at bind (capital table 'one year').</t>
        </is>
      </c>
      <c r="J72" s="35" t="inlineStr">
        <is>
          <t>annual</t>
        </is>
      </c>
      <c r="K72" s="38">
        <f>IF(C72&amp;""=J72&amp;"","","changed")</f>
        <v/>
      </c>
    </row>
    <row r="73">
      <c r="A73" s="35" t="inlineStr">
        <is>
          <t>insurance_bind</t>
        </is>
      </c>
      <c r="B73" s="5" t="inlineStr">
        <is>
          <t>Insurance bound on</t>
        </is>
      </c>
      <c r="C73" s="39" t="n">
        <v>46367</v>
      </c>
      <c r="D73" s="37" t="inlineStr">
        <is>
          <t>date</t>
        </is>
      </c>
      <c r="E73" s="37" t="n"/>
      <c r="F73" s="37" t="n"/>
      <c r="G73" s="37" t="inlineStr">
        <is>
          <t>derived, founder to confirm</t>
        </is>
      </c>
      <c r="H73" s="5" t="inlineStr">
        <is>
          <t>plan.md, setup checklist: 'At Gate 1 pass: Insurance bound'</t>
        </is>
      </c>
      <c r="I73" s="5" t="inlineStr"/>
      <c r="J73" s="40" t="n">
        <v>46367</v>
      </c>
      <c r="K73" s="38">
        <f>IF(C73&amp;""=J73&amp;"","","changed")</f>
        <v/>
      </c>
    </row>
    <row r="74">
      <c r="A74" s="35" t="inlineStr">
        <is>
          <t>phone_monthly</t>
        </is>
      </c>
      <c r="B74" s="5" t="inlineStr">
        <is>
          <t>Phone per month</t>
        </is>
      </c>
      <c r="C74" s="43" t="n">
        <v>0</v>
      </c>
      <c r="D74" s="37" t="inlineStr">
        <is>
          <t>USD per month</t>
        </is>
      </c>
      <c r="E74" s="37" t="n"/>
      <c r="F74" s="37" t="n"/>
      <c r="G74" s="37" t="inlineStr">
        <is>
          <t>planning estimate</t>
        </is>
      </c>
      <c r="H74" s="5" t="inlineStr">
        <is>
          <t>plan.md, Tools: 'Your phone', Google Voice $0</t>
        </is>
      </c>
      <c r="I74" s="5" t="inlineStr"/>
      <c r="J74" s="44" t="n">
        <v>0</v>
      </c>
      <c r="K74" s="38">
        <f>IF(C74&amp;""=J74&amp;"","","changed")</f>
        <v/>
      </c>
    </row>
    <row r="75">
      <c r="A75" s="35" t="inlineStr">
        <is>
          <t>alloc_drops_month</t>
        </is>
      </c>
      <c r="B75" s="5" t="inlineStr">
        <is>
          <t>Drops per month used to allocate overhead to a drop</t>
        </is>
      </c>
      <c r="C75" s="36" t="n">
        <v>2</v>
      </c>
      <c r="D75" s="37" t="inlineStr">
        <is>
          <t>drops per month</t>
        </is>
      </c>
      <c r="E75" s="37" t="n"/>
      <c r="F75" s="37" t="n"/>
      <c r="G75" s="37" t="inlineStr">
        <is>
          <t>planning estimate</t>
        </is>
      </c>
      <c r="H75" s="5" t="inlineStr">
        <is>
          <t>plan.md, Economics: hard-cost table</t>
        </is>
      </c>
      <c r="I75" s="5" t="inlineStr">
        <is>
          <t>Insurance $100 a month over two drops = $50; software $60 = $30; storage $150 = $75.</t>
        </is>
      </c>
      <c r="J75" s="35" t="n">
        <v>2</v>
      </c>
      <c r="K75" s="38">
        <f>IF(C75&amp;""=J75&amp;"","","changed")</f>
        <v/>
      </c>
    </row>
    <row r="77">
      <c r="A77" s="3" t="inlineStr">
        <is>
          <t>6. Founder hours (rates; the plan's table is reproduced on Plan_Check)</t>
        </is>
      </c>
      <c r="B77" s="4" t="n"/>
      <c r="C77" s="4" t="n"/>
      <c r="D77" s="4" t="n"/>
      <c r="E77" s="4" t="n"/>
      <c r="F77" s="4" t="n"/>
      <c r="G77" s="4" t="n"/>
      <c r="H77" s="4" t="n"/>
      <c r="I77" s="4" t="n"/>
      <c r="J77" s="4" t="n"/>
      <c r="K77" s="4" t="n"/>
    </row>
    <row r="78">
      <c r="A78" s="10" t="inlineStr">
        <is>
          <t>key</t>
        </is>
      </c>
      <c r="B78" s="10" t="inlineStr">
        <is>
          <t>Assumption</t>
        </is>
      </c>
      <c r="C78" s="10" t="inlineStr">
        <is>
          <t>Value</t>
        </is>
      </c>
      <c r="D78" s="10" t="inlineStr">
        <is>
          <t>Unit</t>
        </is>
      </c>
      <c r="E78" s="10" t="inlineStr">
        <is>
          <t>Low</t>
        </is>
      </c>
      <c r="F78" s="10" t="inlineStr">
        <is>
          <t>High</t>
        </is>
      </c>
      <c r="G78" s="10" t="inlineStr">
        <is>
          <t>Status</t>
        </is>
      </c>
      <c r="H78" s="10" t="inlineStr">
        <is>
          <t>Source</t>
        </is>
      </c>
      <c r="I78" s="10" t="inlineStr">
        <is>
          <t>Notes</t>
        </is>
      </c>
      <c r="J78" s="10" t="inlineStr">
        <is>
          <t>Plan default</t>
        </is>
      </c>
      <c r="K78" s="10" t="inlineStr">
        <is>
          <t>Changed?</t>
        </is>
      </c>
    </row>
    <row r="79">
      <c r="A79" s="35" t="inlineStr">
        <is>
          <t>h_first_brand</t>
        </is>
      </c>
      <c r="B79" s="5" t="inlineStr">
        <is>
          <t>Brand sales per first (founding) brand</t>
        </is>
      </c>
      <c r="C79" s="36" t="n">
        <v>10</v>
      </c>
      <c r="D79" s="37" t="inlineStr">
        <is>
          <t>hours per brand</t>
        </is>
      </c>
      <c r="E79" s="37" t="n"/>
      <c r="F79" s="37" t="n"/>
      <c r="G79" s="37" t="inlineStr">
        <is>
          <t>planning estimate</t>
        </is>
      </c>
      <c r="H79" s="5" t="inlineStr">
        <is>
          <t>plan.md, Economics: founder-hour table</t>
        </is>
      </c>
      <c r="I79" s="5" t="inlineStr">
        <is>
          <t>'20 (10 per brand, first ones)'.</t>
        </is>
      </c>
      <c r="J79" s="35" t="n">
        <v>10</v>
      </c>
      <c r="K79" s="38">
        <f>IF(C79&amp;""=J79&amp;"","","changed")</f>
        <v/>
      </c>
    </row>
    <row r="80">
      <c r="A80" s="35" t="inlineStr">
        <is>
          <t>close_rate</t>
        </is>
      </c>
      <c r="B80" s="5" t="inlineStr">
        <is>
          <t>Close rate on qualified brand conversations</t>
        </is>
      </c>
      <c r="C80" s="47" t="n">
        <v>0.2</v>
      </c>
      <c r="D80" s="37" t="inlineStr">
        <is>
          <t>share</t>
        </is>
      </c>
      <c r="E80" s="37" t="n"/>
      <c r="F80" s="37" t="n"/>
      <c r="G80" s="37" t="inlineStr">
        <is>
          <t>planning estimate</t>
        </is>
      </c>
      <c r="H80" s="5" t="inlineStr">
        <is>
          <t>plan.md, What has to be true #2</t>
        </is>
      </c>
      <c r="I80" s="5" t="inlineStr">
        <is>
          <t>One close from five.</t>
        </is>
      </c>
      <c r="J80" s="48" t="n">
        <v>0.2</v>
      </c>
      <c r="K80" s="38">
        <f>IF(C80&amp;""=J80&amp;"","","changed")</f>
        <v/>
      </c>
    </row>
    <row r="81">
      <c r="A81" s="35" t="inlineStr">
        <is>
          <t>h_per_conv</t>
        </is>
      </c>
      <c r="B81" s="5" t="inlineStr">
        <is>
          <t>Hours per qualified conversation</t>
        </is>
      </c>
      <c r="C81" s="36" t="n">
        <v>0.75</v>
      </c>
      <c r="D81" s="37" t="inlineStr">
        <is>
          <t>hours</t>
        </is>
      </c>
      <c r="E81" s="37" t="n"/>
      <c r="F81" s="37" t="n"/>
      <c r="G81" s="37" t="inlineStr">
        <is>
          <t>planning estimate</t>
        </is>
      </c>
      <c r="H81" s="5" t="inlineStr">
        <is>
          <t>plan.md, Economics: 'conversations of 45 minutes'</t>
        </is>
      </c>
      <c r="I81" s="5" t="inlineStr"/>
      <c r="J81" s="35" t="n">
        <v>0.75</v>
      </c>
      <c r="K81" s="38">
        <f>IF(C81&amp;""=J81&amp;"","","changed")</f>
        <v/>
      </c>
    </row>
    <row r="82">
      <c r="A82" s="35" t="inlineStr">
        <is>
          <t>h_paperwork</t>
        </is>
      </c>
      <c r="B82" s="5" t="inlineStr">
        <is>
          <t>Proposal and paperwork per win</t>
        </is>
      </c>
      <c r="C82" s="36" t="n">
        <v>2.25</v>
      </c>
      <c r="D82" s="37" t="inlineStr">
        <is>
          <t>hours</t>
        </is>
      </c>
      <c r="E82" s="37" t="n"/>
      <c r="F82" s="37" t="n"/>
      <c r="G82" s="37" t="inlineStr">
        <is>
          <t>derived, founder to confirm</t>
        </is>
      </c>
      <c r="H82" s="5" t="inlineStr">
        <is>
          <t>plan.md, Economics: founder-hour table</t>
        </is>
      </c>
      <c r="I82" s="5" t="inlineStr">
        <is>
          <t>6 - 5 x 0.75, so the plan's six hours per win reproduces at a 20% close rate.</t>
        </is>
      </c>
      <c r="J82" s="35" t="n">
        <v>2.25</v>
      </c>
      <c r="K82" s="38">
        <f>IF(C82&amp;""=J82&amp;"","","changed")</f>
        <v/>
      </c>
    </row>
    <row r="83">
      <c r="A83" s="35" t="inlineStr">
        <is>
          <t>h_win</t>
        </is>
      </c>
      <c r="B83" s="5" t="inlineStr">
        <is>
          <t>Brand sales per standard win</t>
        </is>
      </c>
      <c r="C83" s="51">
        <f>1/Inputs!$C$80*Inputs!$C$81+Inputs!$C$82</f>
        <v/>
      </c>
      <c r="D83" s="37" t="inlineStr">
        <is>
          <t>hours per brand</t>
        </is>
      </c>
      <c r="E83" s="37" t="n"/>
      <c r="F83" s="37" t="n"/>
      <c r="G83" s="37" t="inlineStr">
        <is>
          <t>calculated</t>
        </is>
      </c>
      <c r="H83" s="5" t="inlineStr">
        <is>
          <t>Conversations per win x hours each + paperwork</t>
        </is>
      </c>
      <c r="I83" s="5" t="inlineStr">
        <is>
          <t>6.0 at plan inputs. Falls as the close rate rises.</t>
        </is>
      </c>
      <c r="J83" s="37" t="n"/>
      <c r="K83" s="37" t="n"/>
    </row>
    <row r="84">
      <c r="A84" s="35" t="inlineStr">
        <is>
          <t>h_renewal</t>
        </is>
      </c>
      <c r="B84" s="5" t="inlineStr">
        <is>
          <t>Brand sales per renewal</t>
        </is>
      </c>
      <c r="C84" s="36" t="n">
        <v>2</v>
      </c>
      <c r="D84" s="37" t="inlineStr">
        <is>
          <t>hours per renewal</t>
        </is>
      </c>
      <c r="E84" s="37" t="n"/>
      <c r="F84" s="37" t="n"/>
      <c r="G84" s="37" t="inlineStr">
        <is>
          <t>planning estimate</t>
        </is>
      </c>
      <c r="H84" s="5" t="inlineStr">
        <is>
          <t>plan.md, Economics: 'A renewal takes about two hours'</t>
        </is>
      </c>
      <c r="I84" s="5" t="inlineStr"/>
      <c r="J84" s="35" t="n">
        <v>2</v>
      </c>
      <c r="K84" s="38">
        <f>IF(C84&amp;""=J84&amp;"","","changed")</f>
        <v/>
      </c>
    </row>
    <row r="85">
      <c r="A85" s="35" t="inlineStr">
        <is>
          <t>h_new_office</t>
        </is>
      </c>
      <c r="B85" s="5" t="inlineStr">
        <is>
          <t>Office recruiting per new office</t>
        </is>
      </c>
      <c r="C85" s="36" t="n">
        <v>4</v>
      </c>
      <c r="D85" s="37" t="inlineStr">
        <is>
          <t>hours per office</t>
        </is>
      </c>
      <c r="E85" s="37" t="n"/>
      <c r="F85" s="37" t="n"/>
      <c r="G85" s="37" t="inlineStr">
        <is>
          <t>planning estimate</t>
        </is>
      </c>
      <c r="H85" s="5" t="inlineStr">
        <is>
          <t>plan.md, Economics: founder-hour table</t>
        </is>
      </c>
      <c r="I85" s="5" t="inlineStr">
        <is>
          <t>'20 (4 per new office)'.</t>
        </is>
      </c>
      <c r="J85" s="35" t="n">
        <v>4</v>
      </c>
      <c r="K85" s="38">
        <f>IF(C85&amp;""=J85&amp;"","","changed")</f>
        <v/>
      </c>
    </row>
    <row r="86">
      <c r="A86" s="35" t="inlineStr">
        <is>
          <t>h_existing_office</t>
        </is>
      </c>
      <c r="B86" s="5" t="inlineStr">
        <is>
          <t>Office coordination per existing office</t>
        </is>
      </c>
      <c r="C86" s="36" t="n">
        <v>1</v>
      </c>
      <c r="D86" s="37" t="inlineStr">
        <is>
          <t>hours per office</t>
        </is>
      </c>
      <c r="E86" s="37" t="n"/>
      <c r="F86" s="37" t="n"/>
      <c r="G86" s="37" t="inlineStr">
        <is>
          <t>planning estimate</t>
        </is>
      </c>
      <c r="H86" s="5" t="inlineStr">
        <is>
          <t>plan.md, Economics: founder-hour table</t>
        </is>
      </c>
      <c r="I86" s="5" t="inlineStr">
        <is>
          <t>'10 (1 per existing office)'.</t>
        </is>
      </c>
      <c r="J86" s="35" t="n">
        <v>1</v>
      </c>
      <c r="K86" s="38">
        <f>IF(C86&amp;""=J86&amp;"","","changed")</f>
        <v/>
      </c>
    </row>
    <row r="87">
      <c r="A87" s="35" t="inlineStr">
        <is>
          <t>rk_per_brand</t>
        </is>
      </c>
      <c r="B87" s="5" t="inlineStr">
        <is>
          <t>Receiving and kitting per brand</t>
        </is>
      </c>
      <c r="C87" s="36" t="n">
        <v>0.5</v>
      </c>
      <c r="D87" s="37" t="inlineStr">
        <is>
          <t>hours per brand</t>
        </is>
      </c>
      <c r="E87" s="37" t="n"/>
      <c r="F87" s="37" t="n"/>
      <c r="G87" s="37" t="inlineStr">
        <is>
          <t>derived, founder to confirm</t>
        </is>
      </c>
      <c r="H87" s="5" t="inlineStr">
        <is>
          <t>plan.md, Economics: founder-hour table</t>
        </is>
      </c>
      <c r="I87" s="5" t="inlineStr">
        <is>
          <t>(4 - 3) / (3 - 1): 1-brand drop 3 h, 3-brand drop 4 h.</t>
        </is>
      </c>
      <c r="J87" s="35" t="n">
        <v>0.5</v>
      </c>
      <c r="K87" s="38">
        <f>IF(C87&amp;""=J87&amp;"","","changed")</f>
        <v/>
      </c>
    </row>
    <row r="88">
      <c r="A88" s="35" t="inlineStr">
        <is>
          <t>rep_per_brand</t>
        </is>
      </c>
      <c r="B88" s="5" t="inlineStr">
        <is>
          <t>Reporting and debriefs per brand</t>
        </is>
      </c>
      <c r="C88" s="36" t="n">
        <v>2</v>
      </c>
      <c r="D88" s="37" t="inlineStr">
        <is>
          <t>hours per brand</t>
        </is>
      </c>
      <c r="E88" s="37" t="n"/>
      <c r="F88" s="37" t="n"/>
      <c r="G88" s="37" t="inlineStr">
        <is>
          <t>planning estimate</t>
        </is>
      </c>
      <c r="H88" s="5" t="inlineStr">
        <is>
          <t>plan.md, Economics: founder-hour table</t>
        </is>
      </c>
      <c r="I88" s="5" t="inlineStr">
        <is>
          <t>'6 (2 per brand)'.</t>
        </is>
      </c>
      <c r="J88" s="35" t="n">
        <v>2</v>
      </c>
      <c r="K88" s="38">
        <f>IF(C88&amp;""=J88&amp;"","","changed")</f>
        <v/>
      </c>
    </row>
    <row r="89">
      <c r="A89" s="35" t="inlineStr">
        <is>
          <t>admin_per_drop</t>
        </is>
      </c>
      <c r="B89" s="5" t="inlineStr">
        <is>
          <t>Admin and invoicing per drop</t>
        </is>
      </c>
      <c r="C89" s="36" t="n">
        <v>2</v>
      </c>
      <c r="D89" s="37" t="inlineStr">
        <is>
          <t>hours per drop</t>
        </is>
      </c>
      <c r="E89" s="37" t="n"/>
      <c r="F89" s="37" t="n"/>
      <c r="G89" s="37" t="inlineStr">
        <is>
          <t>planning estimate</t>
        </is>
      </c>
      <c r="H89" s="5" t="inlineStr">
        <is>
          <t>plan.md, Economics: founder-hour table</t>
        </is>
      </c>
      <c r="I89" s="5" t="inlineStr"/>
      <c r="J89" s="35" t="n">
        <v>2</v>
      </c>
      <c r="K89" s="38">
        <f>IF(C89&amp;""=J89&amp;"","","changed")</f>
        <v/>
      </c>
    </row>
    <row r="90">
      <c r="A90" s="35" t="inlineStr">
        <is>
          <t>discovery_hours_week</t>
        </is>
      </c>
      <c r="B90" s="5" t="inlineStr">
        <is>
          <t>Discovery hours per week, weeks 1 to 3 (not tied to a drop)</t>
        </is>
      </c>
      <c r="C90" s="36" t="n">
        <v>15</v>
      </c>
      <c r="D90" s="37" t="inlineStr">
        <is>
          <t>hours per week</t>
        </is>
      </c>
      <c r="E90" s="37" t="n">
        <v>10</v>
      </c>
      <c r="F90" s="37" t="n">
        <v>15</v>
      </c>
      <c r="G90" s="37" t="inlineStr">
        <is>
          <t>planning estimate</t>
        </is>
      </c>
      <c r="H90" s="5" t="inlineStr">
        <is>
          <t>plan.md, Time budget: 'Phases 0 and 1 need 10 to 15 hours a week'</t>
        </is>
      </c>
      <c r="I90" s="5" t="inlineStr">
        <is>
          <t>High end. Weeks 4 to 7 selling and recruiting already sit in campaign zero's 57 hours. Used only in the six-month all-in view.</t>
        </is>
      </c>
      <c r="J90" s="35" t="n">
        <v>15</v>
      </c>
      <c r="K90" s="38">
        <f>IF(C90&amp;""=J90&amp;"","","changed")</f>
        <v/>
      </c>
    </row>
    <row r="91">
      <c r="A91" s="35" t="inlineStr">
        <is>
          <t>discovery_weeks</t>
        </is>
      </c>
      <c r="B91" s="5" t="inlineStr">
        <is>
          <t>Discovery weeks</t>
        </is>
      </c>
      <c r="C91" s="36" t="n">
        <v>3</v>
      </c>
      <c r="D91" s="37" t="inlineStr">
        <is>
          <t>weeks</t>
        </is>
      </c>
      <c r="E91" s="37" t="n"/>
      <c r="F91" s="37" t="n"/>
      <c r="G91" s="37" t="inlineStr">
        <is>
          <t>planning estimate</t>
        </is>
      </c>
      <c r="H91" s="5" t="inlineStr">
        <is>
          <t>plan.md, Phase 0 (weeks 1 to 3)</t>
        </is>
      </c>
      <c r="I91" s="5" t="inlineStr"/>
      <c r="J91" s="35" t="n">
        <v>3</v>
      </c>
      <c r="K91" s="38">
        <f>IF(C91&amp;""=J91&amp;"","","changed")</f>
        <v/>
      </c>
    </row>
    <row r="93">
      <c r="A93" s="3" t="inlineStr">
        <is>
          <t>7. Costs and hours that depend on the delivery model</t>
        </is>
      </c>
      <c r="B93" s="4" t="n"/>
      <c r="C93" s="4" t="n"/>
      <c r="D93" s="4" t="n"/>
      <c r="E93" s="4" t="n"/>
      <c r="F93" s="4" t="n"/>
      <c r="G93" s="4" t="n"/>
      <c r="H93" s="4" t="n"/>
      <c r="I93" s="4" t="n"/>
      <c r="J93" s="4" t="n"/>
      <c r="K93" s="4" t="n"/>
    </row>
    <row r="94" ht="45" customHeight="1">
      <c r="A94" s="10" t="inlineStr">
        <is>
          <t>key</t>
        </is>
      </c>
      <c r="B94" s="10" t="inlineStr">
        <is>
          <t>Delivery model</t>
        </is>
      </c>
      <c r="C94" s="10" t="inlineStr">
        <is>
          <t>Transport per drop (USD)</t>
        </is>
      </c>
      <c r="D94" s="10" t="inlineStr">
        <is>
          <t>Transport per stop (USD)</t>
        </is>
      </c>
      <c r="E94" s="10" t="inlineStr">
        <is>
          <t>Kit mailing per office (USD)</t>
        </is>
      </c>
      <c r="F94" s="10" t="inlineStr">
        <is>
          <t>Receiving and kitting base (h)</t>
        </is>
      </c>
      <c r="G94" s="10" t="inlineStr">
        <is>
          <t>Drop day per office (h)</t>
        </is>
      </c>
      <c r="H94" s="10" t="inlineStr">
        <is>
          <t>Checks and pickup per office (h)</t>
        </is>
      </c>
      <c r="I94" s="10" t="inlineStr">
        <is>
          <t>Derivation from the plan's hour table</t>
        </is>
      </c>
      <c r="J94" s="10" t="inlineStr"/>
      <c r="K94" s="10" t="inlineStr"/>
    </row>
    <row r="95">
      <c r="A95" s="28" t="inlineStr">
        <is>
          <t>model_table</t>
        </is>
      </c>
      <c r="B95" s="8" t="inlineStr">
        <is>
          <t>founder</t>
        </is>
      </c>
      <c r="C95" s="52">
        <f>Inputs!$C$60</f>
        <v/>
      </c>
      <c r="D95" s="53" t="n">
        <v>0</v>
      </c>
      <c r="E95" s="53" t="n">
        <v>0</v>
      </c>
      <c r="F95" s="54" t="n">
        <v>2</v>
      </c>
      <c r="G95" s="54" t="n">
        <v>1</v>
      </c>
      <c r="H95" s="54" t="n">
        <v>0.6</v>
      </c>
      <c r="I95" s="5" t="inlineStr">
        <is>
          <t>Campaign zero column (2 brands, 5 offices): receiving 3 = 2.0 + 0.5 x 2; drop day 5 h / 5 offices; checks 3 h / 5 offices.</t>
        </is>
      </c>
    </row>
    <row r="96">
      <c r="A96" s="28" t="inlineStr">
        <is>
          <t>model_table</t>
        </is>
      </c>
      <c r="B96" s="8" t="inlineStr">
        <is>
          <t>courier</t>
        </is>
      </c>
      <c r="C96" s="53" t="n">
        <v>0</v>
      </c>
      <c r="D96" s="52">
        <f>Inputs!$C$61</f>
        <v/>
      </c>
      <c r="E96" s="53" t="n">
        <v>0</v>
      </c>
      <c r="F96" s="54" t="n">
        <v>2.5</v>
      </c>
      <c r="G96" s="54" t="n">
        <v>0.8</v>
      </c>
      <c r="H96" s="54" t="n">
        <v>0.4</v>
      </c>
      <c r="I96" s="5" t="inlineStr">
        <is>
          <t>1-brand and 3-brand columns (10 offices): receiving 3 = 2.5 + 0.5 x 1 and 4 = 2.5 + 0.5 x 3; drop day 8 h / 10; checks 4 h / 10.</t>
        </is>
      </c>
    </row>
    <row r="97">
      <c r="A97" s="28" t="inlineStr">
        <is>
          <t>model_table</t>
        </is>
      </c>
      <c r="B97" s="8" t="inlineStr">
        <is>
          <t>direct-ship</t>
        </is>
      </c>
      <c r="C97" s="52">
        <f>Inputs!$C$62</f>
        <v/>
      </c>
      <c r="D97" s="53" t="n">
        <v>0</v>
      </c>
      <c r="E97" s="52">
        <f>Inputs!$C$63</f>
        <v/>
      </c>
      <c r="F97" s="54" t="n">
        <v>0.5</v>
      </c>
      <c r="G97" s="54" t="n">
        <v>0.3</v>
      </c>
      <c r="H97" s="54" t="n">
        <v>0.4</v>
      </c>
      <c r="I97" s="5" t="inlineStr">
        <is>
          <t>Direct-ship column (3 brands, 10 offices): receiving 2 = 0.5 + 0.5 x 3; drop day 3 h / 10; checks 4 h / 10.</t>
        </is>
      </c>
    </row>
    <row r="99">
      <c r="A99" s="3" t="inlineStr">
        <is>
          <t>8. Renewal, steady state and founder capital</t>
        </is>
      </c>
      <c r="B99" s="4" t="n"/>
      <c r="C99" s="4" t="n"/>
      <c r="D99" s="4" t="n"/>
      <c r="E99" s="4" t="n"/>
      <c r="F99" s="4" t="n"/>
      <c r="G99" s="4" t="n"/>
      <c r="H99" s="4" t="n"/>
      <c r="I99" s="4" t="n"/>
      <c r="J99" s="4" t="n"/>
      <c r="K99" s="4" t="n"/>
    </row>
    <row r="100">
      <c r="A100" s="10" t="inlineStr">
        <is>
          <t>key</t>
        </is>
      </c>
      <c r="B100" s="10" t="inlineStr">
        <is>
          <t>Assumption</t>
        </is>
      </c>
      <c r="C100" s="10" t="inlineStr">
        <is>
          <t>Value</t>
        </is>
      </c>
      <c r="D100" s="10" t="inlineStr">
        <is>
          <t>Unit</t>
        </is>
      </c>
      <c r="E100" s="10" t="inlineStr">
        <is>
          <t>Low</t>
        </is>
      </c>
      <c r="F100" s="10" t="inlineStr">
        <is>
          <t>High</t>
        </is>
      </c>
      <c r="G100" s="10" t="inlineStr">
        <is>
          <t>Status</t>
        </is>
      </c>
      <c r="H100" s="10" t="inlineStr">
        <is>
          <t>Source</t>
        </is>
      </c>
      <c r="I100" s="10" t="inlineStr">
        <is>
          <t>Notes</t>
        </is>
      </c>
      <c r="J100" s="10" t="inlineStr">
        <is>
          <t>Plan default</t>
        </is>
      </c>
      <c r="K100" s="10" t="inlineStr">
        <is>
          <t>Changed?</t>
        </is>
      </c>
    </row>
    <row r="101">
      <c r="A101" s="35" t="inlineStr">
        <is>
          <t>renewal_rate_base</t>
        </is>
      </c>
      <c r="B101" s="5" t="inlineStr">
        <is>
          <t>Brands that renew within 90 days</t>
        </is>
      </c>
      <c r="C101" s="47" t="n">
        <v>0.4</v>
      </c>
      <c r="D101" s="37" t="inlineStr">
        <is>
          <t>share</t>
        </is>
      </c>
      <c r="E101" s="37" t="n"/>
      <c r="F101" s="37" t="n"/>
      <c r="G101" s="37" t="inlineStr">
        <is>
          <t>planning estimate</t>
        </is>
      </c>
      <c r="H101" s="5" t="inlineStr">
        <is>
          <t>plan.md, What has to be true #3</t>
        </is>
      </c>
      <c r="I101" s="5" t="inlineStr">
        <is>
          <t>Used by the 'Plan base' scenario. Renewals cost 2 hours instead of 6, which is why they matter more than price.</t>
        </is>
      </c>
      <c r="J101" s="48" t="n">
        <v>0.4</v>
      </c>
      <c r="K101" s="38">
        <f>IF(C101&amp;""=J101&amp;"","","changed")</f>
        <v/>
      </c>
    </row>
    <row r="102">
      <c r="A102" s="35" t="inlineStr">
        <is>
          <t>plan_ss_drops</t>
        </is>
      </c>
      <c r="B102" s="5" t="inlineStr">
        <is>
          <t>Drops per month in the plan's monthly picture</t>
        </is>
      </c>
      <c r="C102" s="36" t="n">
        <v>2</v>
      </c>
      <c r="D102" s="37" t="inlineStr">
        <is>
          <t>drops per month</t>
        </is>
      </c>
      <c r="E102" s="37" t="n"/>
      <c r="F102" s="37" t="n"/>
      <c r="G102" s="37" t="inlineStr">
        <is>
          <t>planning estimate</t>
        </is>
      </c>
      <c r="H102" s="5" t="inlineStr">
        <is>
          <t>plan.md, Monthly picture at steady state</t>
        </is>
      </c>
      <c r="I102" s="5" t="inlineStr"/>
      <c r="J102" s="35" t="n">
        <v>2</v>
      </c>
      <c r="K102" s="38">
        <f>IF(C102&amp;""=J102&amp;"","","changed")</f>
        <v/>
      </c>
    </row>
    <row r="103">
      <c r="A103" s="35" t="inlineStr">
        <is>
          <t>ss_model</t>
        </is>
      </c>
      <c r="B103" s="5" t="inlineStr">
        <is>
          <t>Steady-state delivery model</t>
        </is>
      </c>
      <c r="C103" s="36" t="inlineStr">
        <is>
          <t>courier</t>
        </is>
      </c>
      <c r="D103" s="37" t="inlineStr">
        <is>
          <t>list</t>
        </is>
      </c>
      <c r="E103" s="37" t="n"/>
      <c r="F103" s="37" t="n"/>
      <c r="G103" s="37" t="inlineStr">
        <is>
          <t>setting</t>
        </is>
      </c>
      <c r="H103" s="5" t="inlineStr">
        <is>
          <t>Plan reading (e)</t>
        </is>
      </c>
      <c r="I103" s="5" t="inlineStr">
        <is>
          <t>The plan's monthly picture is two three-brand courier drops. Direct-ship lifts contribution per hour.</t>
        </is>
      </c>
      <c r="J103" s="35" t="inlineStr">
        <is>
          <t>courier</t>
        </is>
      </c>
      <c r="K103" s="38">
        <f>IF(C103&amp;""=J103&amp;"","","changed")</f>
        <v/>
      </c>
    </row>
    <row r="104">
      <c r="A104" s="35" t="inlineStr">
        <is>
          <t>ss_offices</t>
        </is>
      </c>
      <c r="B104" s="5" t="inlineStr">
        <is>
          <t>Steady-state offices per drop</t>
        </is>
      </c>
      <c r="C104" s="36" t="n">
        <v>10</v>
      </c>
      <c r="D104" s="37" t="inlineStr">
        <is>
          <t>offices</t>
        </is>
      </c>
      <c r="E104" s="37" t="n"/>
      <c r="F104" s="37" t="n"/>
      <c r="G104" s="37" t="inlineStr">
        <is>
          <t>planning estimate</t>
        </is>
      </c>
      <c r="H104" s="5" t="inlineStr">
        <is>
          <t>plan.md, Monthly picture at steady state</t>
        </is>
      </c>
      <c r="I104" s="5" t="inlineStr"/>
      <c r="J104" s="35" t="n">
        <v>10</v>
      </c>
      <c r="K104" s="38">
        <f>IF(C104&amp;""=J104&amp;"","","changed")</f>
        <v/>
      </c>
    </row>
    <row r="105">
      <c r="A105" s="35" t="inlineStr">
        <is>
          <t>founder_cash</t>
        </is>
      </c>
      <c r="B105" s="5" t="inlineStr">
        <is>
          <t>Cash the founder commits to the first six months</t>
        </is>
      </c>
      <c r="C105" s="43" t="n"/>
      <c r="D105" s="37" t="inlineStr">
        <is>
          <t>USD</t>
        </is>
      </c>
      <c r="E105" s="37" t="n"/>
      <c r="F105" s="37" t="n"/>
      <c r="G105" s="37" t="inlineStr">
        <is>
          <t>needs founder decision</t>
        </is>
      </c>
      <c r="H105" s="5" t="inlineStr">
        <is>
          <t>plan.md, What I need from you #7</t>
        </is>
      </c>
      <c r="I105" s="5" t="inlineStr">
        <is>
          <t>Blank until you decide. The plan's range is $3,360 to $6,510.</t>
        </is>
      </c>
      <c r="J105" s="44" t="n"/>
      <c r="K105" s="38">
        <f>IF(C105&amp;""=J105&amp;"","","changed")</f>
        <v/>
      </c>
    </row>
    <row r="106">
      <c r="A106" s="35" t="inlineStr">
        <is>
          <t>founder_cash_date</t>
        </is>
      </c>
      <c r="B106" s="5" t="inlineStr">
        <is>
          <t>Founder cash goes in on</t>
        </is>
      </c>
      <c r="C106" s="39" t="n">
        <v>46321</v>
      </c>
      <c r="D106" s="37" t="inlineStr">
        <is>
          <t>date</t>
        </is>
      </c>
      <c r="E106" s="37" t="n"/>
      <c r="F106" s="37" t="n"/>
      <c r="G106" s="37" t="inlineStr">
        <is>
          <t>setting</t>
        </is>
      </c>
      <c r="H106" s="5" t="inlineStr">
        <is>
          <t>Model setting</t>
        </is>
      </c>
      <c r="I106" s="5" t="inlineStr"/>
      <c r="J106" s="40" t="n">
        <v>46321</v>
      </c>
      <c r="K106" s="38">
        <f>IF(C106&amp;""=J106&amp;"","","changed")</f>
        <v/>
      </c>
    </row>
    <row r="107">
      <c r="A107" s="35" t="inlineStr">
        <is>
          <t>reserve_usd</t>
        </is>
      </c>
      <c r="B107" s="5" t="inlineStr">
        <is>
          <t>Reserve held back (not spent)</t>
        </is>
      </c>
      <c r="C107" s="43" t="n">
        <v>1000</v>
      </c>
      <c r="D107" s="37" t="inlineStr">
        <is>
          <t>USD</t>
        </is>
      </c>
      <c r="E107" s="37" t="n"/>
      <c r="F107" s="37" t="n"/>
      <c r="G107" s="37" t="inlineStr">
        <is>
          <t>planning estimate</t>
        </is>
      </c>
      <c r="H107" s="5" t="inlineStr">
        <is>
          <t>plan.md, Economics: Capital to the first six months</t>
        </is>
      </c>
      <c r="I107" s="5" t="inlineStr"/>
      <c r="J107" s="44" t="n">
        <v>1000</v>
      </c>
      <c r="K107" s="38">
        <f>IF(C107&amp;""=J107&amp;"","","changed")</f>
        <v/>
      </c>
    </row>
    <row r="109">
      <c r="A109" s="3" t="inlineStr">
        <is>
          <t>9. Gate thresholds, decision rule and six-month goals</t>
        </is>
      </c>
      <c r="B109" s="4" t="n"/>
      <c r="C109" s="4" t="n"/>
      <c r="D109" s="4" t="n"/>
      <c r="E109" s="4" t="n"/>
      <c r="F109" s="4" t="n"/>
      <c r="G109" s="4" t="n"/>
      <c r="H109" s="4" t="n"/>
      <c r="I109" s="4" t="n"/>
      <c r="J109" s="4" t="n"/>
      <c r="K109" s="4" t="n"/>
    </row>
    <row r="110">
      <c r="A110" s="10" t="inlineStr">
        <is>
          <t>key</t>
        </is>
      </c>
      <c r="B110" s="10" t="inlineStr">
        <is>
          <t>Assumption</t>
        </is>
      </c>
      <c r="C110" s="10" t="inlineStr">
        <is>
          <t>Value</t>
        </is>
      </c>
      <c r="D110" s="10" t="inlineStr">
        <is>
          <t>Unit</t>
        </is>
      </c>
      <c r="E110" s="10" t="inlineStr">
        <is>
          <t>Low</t>
        </is>
      </c>
      <c r="F110" s="10" t="inlineStr">
        <is>
          <t>High</t>
        </is>
      </c>
      <c r="G110" s="10" t="inlineStr">
        <is>
          <t>Status</t>
        </is>
      </c>
      <c r="H110" s="10" t="inlineStr">
        <is>
          <t>Source</t>
        </is>
      </c>
      <c r="I110" s="10" t="inlineStr">
        <is>
          <t>Notes</t>
        </is>
      </c>
      <c r="J110" s="10" t="inlineStr">
        <is>
          <t>Plan default</t>
        </is>
      </c>
      <c r="K110" s="10" t="inlineStr">
        <is>
          <t>Changed?</t>
        </is>
      </c>
    </row>
    <row r="111">
      <c r="A111" s="35" t="inlineStr">
        <is>
          <t>g0_office_yes</t>
        </is>
      </c>
      <c r="B111" s="5" t="inlineStr">
        <is>
          <t>Gate 0: offices yes in principle</t>
        </is>
      </c>
      <c r="C111" s="36" t="n">
        <v>5</v>
      </c>
      <c r="D111" s="37" t="inlineStr">
        <is>
          <t>offices</t>
        </is>
      </c>
      <c r="E111" s="37" t="n"/>
      <c r="F111" s="37" t="n"/>
      <c r="G111" s="37" t="inlineStr">
        <is>
          <t>planning estimate</t>
        </is>
      </c>
      <c r="H111" s="5" t="inlineStr">
        <is>
          <t>plan.md, Gate 0</t>
        </is>
      </c>
      <c r="I111" s="5" t="inlineStr">
        <is>
          <t>Of 15 conversations, with a pantry owner and receiving window named.</t>
        </is>
      </c>
      <c r="J111" s="35" t="n">
        <v>5</v>
      </c>
      <c r="K111" s="38">
        <f>IF(C111&amp;""=J111&amp;"","","changed")</f>
        <v/>
      </c>
    </row>
    <row r="112">
      <c r="A112" s="35" t="inlineStr">
        <is>
          <t>g0_office_conv</t>
        </is>
      </c>
      <c r="B112" s="5" t="inlineStr">
        <is>
          <t>Gate 0: office conversations planned</t>
        </is>
      </c>
      <c r="C112" s="36" t="n">
        <v>15</v>
      </c>
      <c r="D112" s="37" t="inlineStr">
        <is>
          <t>conversations</t>
        </is>
      </c>
      <c r="E112" s="37" t="n"/>
      <c r="F112" s="37" t="n"/>
      <c r="G112" s="37" t="inlineStr">
        <is>
          <t>planning estimate</t>
        </is>
      </c>
      <c r="H112" s="5" t="inlineStr">
        <is>
          <t>plan.md, Phase 0</t>
        </is>
      </c>
      <c r="I112" s="5" t="inlineStr"/>
      <c r="J112" s="35" t="n">
        <v>15</v>
      </c>
      <c r="K112" s="38">
        <f>IF(C112&amp;""=J112&amp;"","","changed")</f>
        <v/>
      </c>
    </row>
    <row r="113">
      <c r="A113" s="35" t="inlineStr">
        <is>
          <t>g0_brand_yes</t>
        </is>
      </c>
      <c r="B113" s="5" t="inlineStr">
        <is>
          <t>Gate 0: brands that would pay the threshold and control the budget</t>
        </is>
      </c>
      <c r="C113" s="36" t="n">
        <v>3</v>
      </c>
      <c r="D113" s="37" t="inlineStr">
        <is>
          <t>brands</t>
        </is>
      </c>
      <c r="E113" s="37" t="n"/>
      <c r="F113" s="37" t="n"/>
      <c r="G113" s="37" t="inlineStr">
        <is>
          <t>planning estimate</t>
        </is>
      </c>
      <c r="H113" s="5" t="inlineStr">
        <is>
          <t>plan.md, Gate 0</t>
        </is>
      </c>
      <c r="I113" s="5" t="inlineStr"/>
      <c r="J113" s="35" t="n">
        <v>3</v>
      </c>
      <c r="K113" s="38">
        <f>IF(C113&amp;""=J113&amp;"","","changed")</f>
        <v/>
      </c>
    </row>
    <row r="114">
      <c r="A114" s="35" t="inlineStr">
        <is>
          <t>g0_brand_usd</t>
        </is>
      </c>
      <c r="B114" s="5" t="inlineStr">
        <is>
          <t>Gate 0: brand willingness-to-pay threshold</t>
        </is>
      </c>
      <c r="C114" s="43" t="n">
        <v>500</v>
      </c>
      <c r="D114" s="37" t="inlineStr">
        <is>
          <t>USD per campaign</t>
        </is>
      </c>
      <c r="E114" s="37" t="n"/>
      <c r="F114" s="37" t="n"/>
      <c r="G114" s="37" t="inlineStr">
        <is>
          <t>planning estimate</t>
        </is>
      </c>
      <c r="H114" s="5" t="inlineStr">
        <is>
          <t>plan.md, Gate 0</t>
        </is>
      </c>
      <c r="I114" s="5" t="inlineStr"/>
      <c r="J114" s="44" t="n">
        <v>500</v>
      </c>
      <c r="K114" s="38">
        <f>IF(C114&amp;""=J114&amp;"","","changed")</f>
        <v/>
      </c>
    </row>
    <row r="115">
      <c r="A115" s="35" t="inlineStr">
        <is>
          <t>g0_brand_conv</t>
        </is>
      </c>
      <c r="B115" s="5" t="inlineStr">
        <is>
          <t>Gate 0: brand conversations planned</t>
        </is>
      </c>
      <c r="C115" s="36" t="n">
        <v>15</v>
      </c>
      <c r="D115" s="37" t="inlineStr">
        <is>
          <t>conversations</t>
        </is>
      </c>
      <c r="E115" s="37" t="n"/>
      <c r="F115" s="37" t="n"/>
      <c r="G115" s="37" t="inlineStr">
        <is>
          <t>planning estimate</t>
        </is>
      </c>
      <c r="H115" s="5" t="inlineStr">
        <is>
          <t>plan.md, Phase 0</t>
        </is>
      </c>
      <c r="I115" s="5" t="inlineStr"/>
      <c r="J115" s="35" t="n">
        <v>15</v>
      </c>
      <c r="K115" s="38">
        <f>IF(C115&amp;""=J115&amp;"","","changed")</f>
        <v/>
      </c>
    </row>
    <row r="116">
      <c r="A116" s="35" t="inlineStr">
        <is>
          <t>g1_offices</t>
        </is>
      </c>
      <c r="B116" s="5" t="inlineStr">
        <is>
          <t>Gate 1: signed offices</t>
        </is>
      </c>
      <c r="C116" s="36" t="n">
        <v>5</v>
      </c>
      <c r="D116" s="37" t="inlineStr">
        <is>
          <t>offices</t>
        </is>
      </c>
      <c r="E116" s="37" t="n"/>
      <c r="F116" s="37" t="n"/>
      <c r="G116" s="37" t="inlineStr">
        <is>
          <t>planning estimate</t>
        </is>
      </c>
      <c r="H116" s="5" t="inlineStr">
        <is>
          <t>plan.md, Gate 1</t>
        </is>
      </c>
      <c r="I116" s="5" t="inlineStr"/>
      <c r="J116" s="35" t="n">
        <v>5</v>
      </c>
      <c r="K116" s="38">
        <f>IF(C116&amp;""=J116&amp;"","","changed")</f>
        <v/>
      </c>
    </row>
    <row r="117">
      <c r="A117" s="35" t="inlineStr">
        <is>
          <t>g1_headcount</t>
        </is>
      </c>
      <c r="B117" s="5" t="inlineStr">
        <is>
          <t>Gate 1: combined Tuesday headcount of signed offices</t>
        </is>
      </c>
      <c r="C117" s="36" t="n">
        <v>350</v>
      </c>
      <c r="D117" s="37" t="inlineStr">
        <is>
          <t>people</t>
        </is>
      </c>
      <c r="E117" s="37" t="n"/>
      <c r="F117" s="37" t="n"/>
      <c r="G117" s="37" t="inlineStr">
        <is>
          <t>planning estimate</t>
        </is>
      </c>
      <c r="H117" s="5" t="inlineStr">
        <is>
          <t>plan.md, Gate 1</t>
        </is>
      </c>
      <c r="I117" s="5" t="inlineStr"/>
      <c r="J117" s="35" t="n">
        <v>350</v>
      </c>
      <c r="K117" s="38">
        <f>IF(C117&amp;""=J117&amp;"","","changed")</f>
        <v/>
      </c>
    </row>
    <row r="118">
      <c r="A118" s="35" t="inlineStr">
        <is>
          <t>g1_brands_paid</t>
        </is>
      </c>
      <c r="B118" s="5" t="inlineStr">
        <is>
          <t>Gate 1: brands paid in full</t>
        </is>
      </c>
      <c r="C118" s="36" t="n">
        <v>2</v>
      </c>
      <c r="D118" s="37" t="inlineStr">
        <is>
          <t>brands</t>
        </is>
      </c>
      <c r="E118" s="37" t="n"/>
      <c r="F118" s="37" t="n"/>
      <c r="G118" s="37" t="inlineStr">
        <is>
          <t>planning estimate</t>
        </is>
      </c>
      <c r="H118" s="5" t="inlineStr">
        <is>
          <t>plan.md, Gate 1</t>
        </is>
      </c>
      <c r="I118" s="5" t="inlineStr"/>
      <c r="J118" s="35" t="n">
        <v>2</v>
      </c>
      <c r="K118" s="38">
        <f>IF(C118&amp;""=J118&amp;"","","changed")</f>
        <v/>
      </c>
    </row>
    <row r="119">
      <c r="A119" s="35" t="inlineStr">
        <is>
          <t>g2_drop_id</t>
        </is>
      </c>
      <c r="B119" s="5" t="inlineStr">
        <is>
          <t>Gate 2: drop tested (campaign zero)</t>
        </is>
      </c>
      <c r="C119" s="36" t="inlineStr">
        <is>
          <t>DRP-001</t>
        </is>
      </c>
      <c r="D119" s="37" t="inlineStr">
        <is>
          <t>drop_id</t>
        </is>
      </c>
      <c r="E119" s="37" t="n"/>
      <c r="F119" s="37" t="n"/>
      <c r="G119" s="37" t="inlineStr">
        <is>
          <t>setting</t>
        </is>
      </c>
      <c r="H119" s="5" t="inlineStr">
        <is>
          <t>plan.md, Gate 2</t>
        </is>
      </c>
      <c r="I119" s="5" t="inlineStr"/>
      <c r="J119" s="35" t="inlineStr">
        <is>
          <t>DRP-001</t>
        </is>
      </c>
      <c r="K119" s="38">
        <f>IF(C119&amp;""=J119&amp;"","","changed")</f>
        <v/>
      </c>
    </row>
    <row r="120">
      <c r="A120" s="35" t="inlineStr">
        <is>
          <t>g2_placed</t>
        </is>
      </c>
      <c r="B120" s="5" t="inlineStr">
        <is>
          <t>Gate 2: units placed within one business day</t>
        </is>
      </c>
      <c r="C120" s="47" t="n">
        <v>0.8</v>
      </c>
      <c r="D120" s="37" t="inlineStr">
        <is>
          <t>share of delivered</t>
        </is>
      </c>
      <c r="E120" s="37" t="n"/>
      <c r="F120" s="37" t="n"/>
      <c r="G120" s="37" t="inlineStr">
        <is>
          <t>planning estimate</t>
        </is>
      </c>
      <c r="H120" s="5" t="inlineStr">
        <is>
          <t>plan.md, Gate 2</t>
        </is>
      </c>
      <c r="I120" s="5" t="inlineStr"/>
      <c r="J120" s="48" t="n">
        <v>0.8</v>
      </c>
      <c r="K120" s="38">
        <f>IF(C120&amp;""=J120&amp;"","","changed")</f>
        <v/>
      </c>
    </row>
    <row r="121">
      <c r="A121" s="35" t="inlineStr">
        <is>
          <t>g2_responses</t>
        </is>
      </c>
      <c r="B121" s="5" t="inlineStr">
        <is>
          <t>Gate 2: survey responses per office</t>
        </is>
      </c>
      <c r="C121" s="36" t="n">
        <v>5</v>
      </c>
      <c r="D121" s="37" t="inlineStr">
        <is>
          <t>responses</t>
        </is>
      </c>
      <c r="E121" s="37" t="n"/>
      <c r="F121" s="37" t="n"/>
      <c r="G121" s="37" t="inlineStr">
        <is>
          <t>planning estimate</t>
        </is>
      </c>
      <c r="H121" s="5" t="inlineStr">
        <is>
          <t>plan.md, Gate 2</t>
        </is>
      </c>
      <c r="I121" s="5" t="inlineStr"/>
      <c r="J121" s="35" t="n">
        <v>5</v>
      </c>
      <c r="K121" s="38">
        <f>IF(C121&amp;""=J121&amp;"","","changed")</f>
        <v/>
      </c>
    </row>
    <row r="122">
      <c r="A122" s="35" t="inlineStr">
        <is>
          <t>g2_report_bd</t>
        </is>
      </c>
      <c r="B122" s="5" t="inlineStr">
        <is>
          <t>Gate 2: report delivered within</t>
        </is>
      </c>
      <c r="C122" s="36" t="n">
        <v>7</v>
      </c>
      <c r="D122" s="37" t="inlineStr">
        <is>
          <t>business days</t>
        </is>
      </c>
      <c r="E122" s="37" t="n"/>
      <c r="F122" s="37" t="n"/>
      <c r="G122" s="37" t="inlineStr">
        <is>
          <t>planning estimate</t>
        </is>
      </c>
      <c r="H122" s="5" t="inlineStr">
        <is>
          <t>plan.md, Gate 2; CONTRACTS s3 (T+7)</t>
        </is>
      </c>
      <c r="I122" s="5" t="inlineStr"/>
      <c r="J122" s="35" t="n">
        <v>7</v>
      </c>
      <c r="K122" s="38">
        <f>IF(C122&amp;""=J122&amp;"","","changed")</f>
        <v/>
      </c>
    </row>
    <row r="123">
      <c r="A123" s="35" t="inlineStr">
        <is>
          <t>g2_rebuy</t>
        </is>
      </c>
      <c r="B123" s="5" t="inlineStr">
        <is>
          <t>Gate 2: brands that would buy again</t>
        </is>
      </c>
      <c r="C123" s="36" t="n">
        <v>1</v>
      </c>
      <c r="D123" s="37" t="inlineStr">
        <is>
          <t>brands</t>
        </is>
      </c>
      <c r="E123" s="37" t="n"/>
      <c r="F123" s="37" t="n"/>
      <c r="G123" s="37" t="inlineStr">
        <is>
          <t>planning estimate</t>
        </is>
      </c>
      <c r="H123" s="5" t="inlineStr">
        <is>
          <t>plan.md, Gate 2</t>
        </is>
      </c>
      <c r="I123" s="5" t="inlineStr"/>
      <c r="J123" s="35" t="n">
        <v>1</v>
      </c>
      <c r="K123" s="38">
        <f>IF(C123&amp;""=J123&amp;"","","changed")</f>
        <v/>
      </c>
    </row>
    <row r="124">
      <c r="A124" s="35" t="inlineStr">
        <is>
          <t>g3_renewals</t>
        </is>
      </c>
      <c r="B124" s="5" t="inlineStr">
        <is>
          <t>Gate 3: renewals at the threshold price</t>
        </is>
      </c>
      <c r="C124" s="36" t="n">
        <v>1</v>
      </c>
      <c r="D124" s="37" t="inlineStr">
        <is>
          <t>renewals</t>
        </is>
      </c>
      <c r="E124" s="37" t="n"/>
      <c r="F124" s="37" t="n"/>
      <c r="G124" s="37" t="inlineStr">
        <is>
          <t>planning estimate</t>
        </is>
      </c>
      <c r="H124" s="5" t="inlineStr">
        <is>
          <t>plan.md, Gate 3</t>
        </is>
      </c>
      <c r="I124" s="5" t="inlineStr"/>
      <c r="J124" s="35" t="n">
        <v>1</v>
      </c>
      <c r="K124" s="38">
        <f>IF(C124&amp;""=J124&amp;"","","changed")</f>
        <v/>
      </c>
    </row>
    <row r="125">
      <c r="A125" s="35" t="inlineStr">
        <is>
          <t>g3_renewal_usd</t>
        </is>
      </c>
      <c r="B125" s="5" t="inlineStr">
        <is>
          <t>Gate 3: renewal price threshold</t>
        </is>
      </c>
      <c r="C125" s="43" t="n">
        <v>1500</v>
      </c>
      <c r="D125" s="37" t="inlineStr">
        <is>
          <t>USD</t>
        </is>
      </c>
      <c r="E125" s="37" t="n"/>
      <c r="F125" s="37" t="n"/>
      <c r="G125" s="37" t="inlineStr">
        <is>
          <t>planning estimate</t>
        </is>
      </c>
      <c r="H125" s="5" t="inlineStr">
        <is>
          <t>plan.md, Gate 3</t>
        </is>
      </c>
      <c r="I125" s="5" t="inlineStr"/>
      <c r="J125" s="44" t="n">
        <v>1500</v>
      </c>
      <c r="K125" s="38">
        <f>IF(C125&amp;""=J125&amp;"","","changed")</f>
        <v/>
      </c>
    </row>
    <row r="126">
      <c r="A126" s="35" t="inlineStr">
        <is>
          <t>g3_per_hour</t>
        </is>
      </c>
      <c r="B126" s="5" t="inlineStr">
        <is>
          <t>Gate 3: contribution per founder hour</t>
        </is>
      </c>
      <c r="C126" s="43" t="n">
        <v>50</v>
      </c>
      <c r="D126" s="37" t="inlineStr">
        <is>
          <t>USD per hour</t>
        </is>
      </c>
      <c r="E126" s="37" t="n"/>
      <c r="F126" s="37" t="n"/>
      <c r="G126" s="37" t="inlineStr">
        <is>
          <t>planning estimate</t>
        </is>
      </c>
      <c r="H126" s="5" t="inlineStr">
        <is>
          <t>plan.md, Gate 3</t>
        </is>
      </c>
      <c r="I126" s="5" t="inlineStr"/>
      <c r="J126" s="44" t="n">
        <v>50</v>
      </c>
      <c r="K126" s="38">
        <f>IF(C126&amp;""=J126&amp;"","","changed")</f>
        <v/>
      </c>
    </row>
    <row r="127">
      <c r="A127" s="35" t="inlineStr">
        <is>
          <t>dr_scale_renewal</t>
        </is>
      </c>
      <c r="B127" s="5" t="inlineStr">
        <is>
          <t>Decision rule: scale if renewal at least</t>
        </is>
      </c>
      <c r="C127" s="47" t="n">
        <v>0.4</v>
      </c>
      <c r="D127" s="37" t="inlineStr">
        <is>
          <t>share</t>
        </is>
      </c>
      <c r="E127" s="37" t="n"/>
      <c r="F127" s="37" t="n"/>
      <c r="G127" s="37" t="inlineStr">
        <is>
          <t>planning estimate</t>
        </is>
      </c>
      <c r="H127" s="5" t="inlineStr">
        <is>
          <t>plan.md, decision rule</t>
        </is>
      </c>
      <c r="I127" s="5" t="inlineStr"/>
      <c r="J127" s="48" t="n">
        <v>0.4</v>
      </c>
      <c r="K127" s="38">
        <f>IF(C127&amp;""=J127&amp;"","","changed")</f>
        <v/>
      </c>
    </row>
    <row r="128">
      <c r="A128" s="35" t="inlineStr">
        <is>
          <t>dr_switch_offices</t>
        </is>
      </c>
      <c r="B128" s="5" t="inlineStr">
        <is>
          <t>Decision rule: offices that named the office-paid threshold</t>
        </is>
      </c>
      <c r="C128" s="36" t="n">
        <v>5</v>
      </c>
      <c r="D128" s="37" t="inlineStr">
        <is>
          <t>offices</t>
        </is>
      </c>
      <c r="E128" s="37" t="n"/>
      <c r="F128" s="37" t="n"/>
      <c r="G128" s="37" t="inlineStr">
        <is>
          <t>planning estimate</t>
        </is>
      </c>
      <c r="H128" s="5" t="inlineStr">
        <is>
          <t>plan.md, decision rule</t>
        </is>
      </c>
      <c r="I128" s="5" t="inlineStr"/>
      <c r="J128" s="35" t="n">
        <v>5</v>
      </c>
      <c r="K128" s="38">
        <f>IF(C128&amp;""=J128&amp;"","","changed")</f>
        <v/>
      </c>
    </row>
    <row r="129">
      <c r="A129" s="35" t="inlineStr">
        <is>
          <t>dr_switch_usd</t>
        </is>
      </c>
      <c r="B129" s="5" t="inlineStr">
        <is>
          <t>Decision rule: office-paid threshold</t>
        </is>
      </c>
      <c r="C129" s="43" t="n">
        <v>100</v>
      </c>
      <c r="D129" s="37" t="inlineStr">
        <is>
          <t>USD per month</t>
        </is>
      </c>
      <c r="E129" s="37" t="n"/>
      <c r="F129" s="37" t="n"/>
      <c r="G129" s="37" t="inlineStr">
        <is>
          <t>planning estimate</t>
        </is>
      </c>
      <c r="H129" s="5" t="inlineStr">
        <is>
          <t>plan.md, decision rule</t>
        </is>
      </c>
      <c r="I129" s="5" t="inlineStr"/>
      <c r="J129" s="44" t="n">
        <v>100</v>
      </c>
      <c r="K129" s="38">
        <f>IF(C129&amp;""=J129&amp;"","","changed")</f>
        <v/>
      </c>
    </row>
    <row r="130">
      <c r="A130" s="35" t="inlineStr">
        <is>
          <t>dr_switch_renewal</t>
        </is>
      </c>
      <c r="B130" s="5" t="inlineStr">
        <is>
          <t>Decision rule: switch if renewal under</t>
        </is>
      </c>
      <c r="C130" s="47" t="n">
        <v>0.3</v>
      </c>
      <c r="D130" s="37" t="inlineStr">
        <is>
          <t>share</t>
        </is>
      </c>
      <c r="E130" s="37" t="n"/>
      <c r="F130" s="37" t="n"/>
      <c r="G130" s="37" t="inlineStr">
        <is>
          <t>planning estimate</t>
        </is>
      </c>
      <c r="H130" s="5" t="inlineStr">
        <is>
          <t>plan.md, decision rule</t>
        </is>
      </c>
      <c r="I130" s="5" t="inlineStr"/>
      <c r="J130" s="48" t="n">
        <v>0.3</v>
      </c>
      <c r="K130" s="38">
        <f>IF(C130&amp;""=J130&amp;"","","changed")</f>
        <v/>
      </c>
    </row>
    <row r="131">
      <c r="A131" s="35" t="inlineStr">
        <is>
          <t>dr_extra_drops</t>
        </is>
      </c>
      <c r="B131" s="5" t="inlineStr">
        <is>
          <t>Decision rule: extra drops before switching</t>
        </is>
      </c>
      <c r="C131" s="36" t="n">
        <v>2</v>
      </c>
      <c r="D131" s="37" t="inlineStr">
        <is>
          <t>drops</t>
        </is>
      </c>
      <c r="E131" s="37" t="n"/>
      <c r="F131" s="37" t="n"/>
      <c r="G131" s="37" t="inlineStr">
        <is>
          <t>planning estimate</t>
        </is>
      </c>
      <c r="H131" s="5" t="inlineStr">
        <is>
          <t>plan.md, decision rule</t>
        </is>
      </c>
      <c r="I131" s="5" t="inlineStr"/>
      <c r="J131" s="35" t="n">
        <v>2</v>
      </c>
      <c r="K131" s="38">
        <f>IF(C131&amp;""=J131&amp;"","","changed")</f>
        <v/>
      </c>
    </row>
    <row r="132">
      <c r="A132" s="35" t="inlineStr">
        <is>
          <t>sc_c_misses</t>
        </is>
      </c>
      <c r="B132" s="5" t="inlineStr">
        <is>
          <t>Scenario C signal: drops with placement under the threshold</t>
        </is>
      </c>
      <c r="C132" s="36" t="n">
        <v>2</v>
      </c>
      <c r="D132" s="37" t="inlineStr">
        <is>
          <t>drops</t>
        </is>
      </c>
      <c r="E132" s="37" t="n"/>
      <c r="F132" s="37" t="n"/>
      <c r="G132" s="37" t="inlineStr">
        <is>
          <t>planning estimate</t>
        </is>
      </c>
      <c r="H132" s="5" t="inlineStr">
        <is>
          <t>plan.md, scenario C: 'Placement under 80% twice'</t>
        </is>
      </c>
      <c r="I132" s="5" t="inlineStr"/>
      <c r="J132" s="35" t="n">
        <v>2</v>
      </c>
      <c r="K132" s="38">
        <f>IF(C132&amp;""=J132&amp;"","","changed")</f>
        <v/>
      </c>
    </row>
    <row r="133">
      <c r="A133" s="35" t="inlineStr">
        <is>
          <t>goal_campaigns</t>
        </is>
      </c>
      <c r="B133" s="5" t="inlineStr">
        <is>
          <t>Six-month goal: paid campaigns</t>
        </is>
      </c>
      <c r="C133" s="36" t="n">
        <v>6</v>
      </c>
      <c r="D133" s="37" t="inlineStr">
        <is>
          <t>campaigns</t>
        </is>
      </c>
      <c r="E133" s="37" t="n"/>
      <c r="F133" s="37" t="n"/>
      <c r="G133" s="37" t="inlineStr">
        <is>
          <t>planning estimate</t>
        </is>
      </c>
      <c r="H133" s="5" t="inlineStr">
        <is>
          <t>plan.md, business on one page</t>
        </is>
      </c>
      <c r="I133" s="5" t="inlineStr"/>
      <c r="J133" s="35" t="n">
        <v>6</v>
      </c>
      <c r="K133" s="38">
        <f>IF(C133&amp;""=J133&amp;"","","changed")</f>
        <v/>
      </c>
    </row>
    <row r="134">
      <c r="A134" s="35" t="inlineStr">
        <is>
          <t>goal_renewals</t>
        </is>
      </c>
      <c r="B134" s="5" t="inlineStr">
        <is>
          <t>Six-month goal: renewals</t>
        </is>
      </c>
      <c r="C134" s="36" t="n">
        <v>2</v>
      </c>
      <c r="D134" s="37" t="inlineStr">
        <is>
          <t>renewals</t>
        </is>
      </c>
      <c r="E134" s="37" t="n"/>
      <c r="F134" s="37" t="n"/>
      <c r="G134" s="37" t="inlineStr">
        <is>
          <t>planning estimate</t>
        </is>
      </c>
      <c r="H134" s="5" t="inlineStr">
        <is>
          <t>plan.md, business on one page</t>
        </is>
      </c>
      <c r="I134" s="5" t="inlineStr"/>
      <c r="J134" s="35" t="n">
        <v>2</v>
      </c>
      <c r="K134" s="38">
        <f>IF(C134&amp;""=J134&amp;"","","changed")</f>
        <v/>
      </c>
    </row>
    <row r="135">
      <c r="A135" s="35" t="inlineStr">
        <is>
          <t>goal_offices</t>
        </is>
      </c>
      <c r="B135" s="5" t="inlineStr">
        <is>
          <t>Six-month goal: active offices</t>
        </is>
      </c>
      <c r="C135" s="36" t="n">
        <v>12</v>
      </c>
      <c r="D135" s="37" t="inlineStr">
        <is>
          <t>offices</t>
        </is>
      </c>
      <c r="E135" s="37" t="n"/>
      <c r="F135" s="37" t="n"/>
      <c r="G135" s="37" t="inlineStr">
        <is>
          <t>planning estimate</t>
        </is>
      </c>
      <c r="H135" s="5" t="inlineStr">
        <is>
          <t>plan.md, business on one page</t>
        </is>
      </c>
      <c r="I135" s="5" t="inlineStr"/>
      <c r="J135" s="35" t="n">
        <v>12</v>
      </c>
      <c r="K135" s="38">
        <f>IF(C135&amp;""=J135&amp;"","","changed")</f>
        <v/>
      </c>
    </row>
    <row r="137">
      <c r="A137" s="3" t="inlineStr">
        <is>
          <t>10. Sensitivity axes</t>
        </is>
      </c>
      <c r="B137" s="4" t="n"/>
      <c r="C137" s="4" t="n"/>
      <c r="D137" s="4" t="n"/>
      <c r="E137" s="4" t="n"/>
      <c r="F137" s="4" t="n"/>
      <c r="G137" s="4" t="n"/>
      <c r="H137" s="4" t="n"/>
      <c r="I137" s="4" t="n"/>
      <c r="J137" s="4" t="n"/>
      <c r="K137" s="4" t="n"/>
    </row>
    <row r="138">
      <c r="A138" s="10" t="inlineStr">
        <is>
          <t>key</t>
        </is>
      </c>
      <c r="B138" s="10" t="inlineStr">
        <is>
          <t>Assumption</t>
        </is>
      </c>
      <c r="C138" s="10" t="inlineStr">
        <is>
          <t>Value</t>
        </is>
      </c>
      <c r="D138" s="10" t="inlineStr">
        <is>
          <t>Unit</t>
        </is>
      </c>
      <c r="E138" s="10" t="inlineStr">
        <is>
          <t>Low</t>
        </is>
      </c>
      <c r="F138" s="10" t="inlineStr">
        <is>
          <t>High</t>
        </is>
      </c>
      <c r="G138" s="10" t="inlineStr">
        <is>
          <t>Status</t>
        </is>
      </c>
      <c r="H138" s="10" t="inlineStr">
        <is>
          <t>Source</t>
        </is>
      </c>
      <c r="I138" s="10" t="inlineStr">
        <is>
          <t>Notes</t>
        </is>
      </c>
      <c r="J138" s="10" t="inlineStr">
        <is>
          <t>Plan default</t>
        </is>
      </c>
      <c r="K138" s="10" t="inlineStr">
        <is>
          <t>Changed?</t>
        </is>
      </c>
    </row>
    <row r="139">
      <c r="A139" s="35" t="inlineStr">
        <is>
          <t>sens_price_start</t>
        </is>
      </c>
      <c r="B139" s="5" t="inlineStr">
        <is>
          <t>Price per office: first row</t>
        </is>
      </c>
      <c r="C139" s="43" t="n">
        <v>100</v>
      </c>
      <c r="D139" s="37" t="inlineStr">
        <is>
          <t>USD per office</t>
        </is>
      </c>
      <c r="E139" s="37" t="n"/>
      <c r="F139" s="37" t="n"/>
      <c r="G139" s="37" t="inlineStr">
        <is>
          <t>setting</t>
        </is>
      </c>
      <c r="H139" s="5" t="inlineStr">
        <is>
          <t>Model setting</t>
        </is>
      </c>
      <c r="I139" s="5" t="inlineStr"/>
      <c r="J139" s="44" t="n">
        <v>100</v>
      </c>
      <c r="K139" s="38">
        <f>IF(C139&amp;""=J139&amp;"","","changed")</f>
        <v/>
      </c>
    </row>
    <row r="140">
      <c r="A140" s="35" t="inlineStr">
        <is>
          <t>sens_price_step</t>
        </is>
      </c>
      <c r="B140" s="5" t="inlineStr">
        <is>
          <t>Price per office: step</t>
        </is>
      </c>
      <c r="C140" s="43" t="n">
        <v>25</v>
      </c>
      <c r="D140" s="37" t="inlineStr">
        <is>
          <t>USD per office</t>
        </is>
      </c>
      <c r="E140" s="37" t="n"/>
      <c r="F140" s="37" t="n"/>
      <c r="G140" s="37" t="inlineStr">
        <is>
          <t>setting</t>
        </is>
      </c>
      <c r="H140" s="5" t="inlineStr">
        <is>
          <t>Model setting</t>
        </is>
      </c>
      <c r="I140" s="5" t="inlineStr"/>
      <c r="J140" s="44" t="n">
        <v>25</v>
      </c>
      <c r="K140" s="38">
        <f>IF(C140&amp;""=J140&amp;"","","changed")</f>
        <v/>
      </c>
    </row>
    <row r="141">
      <c r="A141" s="35" t="inlineStr">
        <is>
          <t>sens_brands_start</t>
        </is>
      </c>
      <c r="B141" s="5" t="inlineStr">
        <is>
          <t>Brands per drop: first column</t>
        </is>
      </c>
      <c r="C141" s="36" t="n">
        <v>1</v>
      </c>
      <c r="D141" s="37" t="inlineStr">
        <is>
          <t>brands</t>
        </is>
      </c>
      <c r="E141" s="37" t="n"/>
      <c r="F141" s="37" t="n"/>
      <c r="G141" s="37" t="inlineStr">
        <is>
          <t>setting</t>
        </is>
      </c>
      <c r="H141" s="5" t="inlineStr">
        <is>
          <t>Model setting</t>
        </is>
      </c>
      <c r="I141" s="5" t="inlineStr"/>
      <c r="J141" s="35" t="n">
        <v>1</v>
      </c>
      <c r="K141" s="38">
        <f>IF(C141&amp;""=J141&amp;"","","changed")</f>
        <v/>
      </c>
    </row>
    <row r="142">
      <c r="A142" s="35" t="inlineStr">
        <is>
          <t>sens_brands_step</t>
        </is>
      </c>
      <c r="B142" s="5" t="inlineStr">
        <is>
          <t>Brands per drop: step</t>
        </is>
      </c>
      <c r="C142" s="36" t="n">
        <v>1</v>
      </c>
      <c r="D142" s="37" t="inlineStr">
        <is>
          <t>brands</t>
        </is>
      </c>
      <c r="E142" s="37" t="n"/>
      <c r="F142" s="37" t="n"/>
      <c r="G142" s="37" t="inlineStr">
        <is>
          <t>setting</t>
        </is>
      </c>
      <c r="H142" s="5" t="inlineStr">
        <is>
          <t>Model setting</t>
        </is>
      </c>
      <c r="I142" s="5" t="inlineStr"/>
      <c r="J142" s="35" t="n">
        <v>1</v>
      </c>
      <c r="K142" s="38">
        <f>IF(C142&amp;""=J142&amp;"","","changed")</f>
        <v/>
      </c>
    </row>
    <row r="143">
      <c r="A143" s="35" t="inlineStr">
        <is>
          <t>sens_renew_start</t>
        </is>
      </c>
      <c r="B143" s="5" t="inlineStr">
        <is>
          <t>Renewal rate: first row</t>
        </is>
      </c>
      <c r="C143" s="47" t="n">
        <v>0</v>
      </c>
      <c r="D143" s="37" t="inlineStr">
        <is>
          <t>share</t>
        </is>
      </c>
      <c r="E143" s="37" t="n"/>
      <c r="F143" s="37" t="n"/>
      <c r="G143" s="37" t="inlineStr">
        <is>
          <t>setting</t>
        </is>
      </c>
      <c r="H143" s="5" t="inlineStr">
        <is>
          <t>Model setting</t>
        </is>
      </c>
      <c r="I143" s="5" t="inlineStr"/>
      <c r="J143" s="48" t="n">
        <v>0</v>
      </c>
      <c r="K143" s="38">
        <f>IF(C143&amp;""=J143&amp;"","","changed")</f>
        <v/>
      </c>
    </row>
    <row r="144">
      <c r="A144" s="35" t="inlineStr">
        <is>
          <t>sens_renew_step</t>
        </is>
      </c>
      <c r="B144" s="5" t="inlineStr">
        <is>
          <t>Renewal rate: step</t>
        </is>
      </c>
      <c r="C144" s="47" t="n">
        <v>0.1</v>
      </c>
      <c r="D144" s="37" t="inlineStr">
        <is>
          <t>share</t>
        </is>
      </c>
      <c r="E144" s="37" t="n"/>
      <c r="F144" s="37" t="n"/>
      <c r="G144" s="37" t="inlineStr">
        <is>
          <t>setting</t>
        </is>
      </c>
      <c r="H144" s="5" t="inlineStr">
        <is>
          <t>Model setting</t>
        </is>
      </c>
      <c r="I144" s="5" t="inlineStr"/>
      <c r="J144" s="48" t="n">
        <v>0.1</v>
      </c>
      <c r="K144" s="38">
        <f>IF(C144&amp;""=J144&amp;"","","changed")</f>
        <v/>
      </c>
    </row>
    <row r="146">
      <c r="A146" s="3" t="inlineStr">
        <is>
          <t>11. Startup outlays (one-time, paid at their timing in the cash flow). Formation, publication, licence, professional and filing figures come from the legal pack.</t>
        </is>
      </c>
      <c r="B146" s="4" t="n"/>
      <c r="C146" s="4" t="n"/>
      <c r="D146" s="4" t="n"/>
      <c r="E146" s="4" t="n"/>
      <c r="F146" s="4" t="n"/>
      <c r="G146" s="4" t="n"/>
      <c r="H146" s="4" t="n"/>
      <c r="I146" s="4" t="n"/>
      <c r="J146" s="4" t="n"/>
      <c r="K146" s="4" t="n"/>
      <c r="L146" s="4" t="n"/>
      <c r="M146" s="4" t="n"/>
      <c r="N146" s="4" t="n"/>
      <c r="O146" s="4" t="n"/>
      <c r="P146" s="4" t="n"/>
      <c r="Q146" s="4" t="n"/>
      <c r="R146" s="4" t="n"/>
      <c r="S146" s="4" t="n"/>
      <c r="T146" s="4" t="n"/>
    </row>
    <row r="147" ht="32" customHeight="1">
      <c r="A147" s="10" t="inlineStr">
        <is>
          <t>key</t>
        </is>
      </c>
      <c r="B147" s="10" t="inlineStr">
        <is>
          <t>Item</t>
        </is>
      </c>
      <c r="C147" s="10" t="inlineStr">
        <is>
          <t>Working (USD)</t>
        </is>
      </c>
      <c r="D147" s="10" t="inlineStr">
        <is>
          <t>Unit</t>
        </is>
      </c>
      <c r="E147" s="10" t="inlineStr">
        <is>
          <t>Low</t>
        </is>
      </c>
      <c r="F147" s="10" t="inlineStr">
        <is>
          <t>High</t>
        </is>
      </c>
      <c r="G147" s="10" t="inlineStr">
        <is>
          <t>Status</t>
        </is>
      </c>
      <c r="H147" s="10" t="inlineStr">
        <is>
          <t>Source</t>
        </is>
      </c>
      <c r="I147" s="10" t="inlineStr">
        <is>
          <t>Notes</t>
        </is>
      </c>
      <c r="J147" s="10" t="inlineStr">
        <is>
          <t>Plan default</t>
        </is>
      </c>
      <c r="K147" s="10" t="inlineStr">
        <is>
          <t>Changed?</t>
        </is>
      </c>
      <c r="L147" s="10" t="inlineStr">
        <is>
          <t>Timing (date)</t>
        </is>
      </c>
      <c r="M147" s="10" t="inlineStr">
        <is>
          <t>Timing basis</t>
        </is>
      </c>
      <c r="N147" s="10" t="inlineStr">
        <is>
          <t>Include (Y/N)</t>
        </is>
      </c>
      <c r="O147" s="10" t="inlineStr">
        <is>
          <t>Actual paid (USD)</t>
        </is>
      </c>
      <c r="P147" s="10" t="inlineStr">
        <is>
          <t>Actual paid date</t>
        </is>
      </c>
      <c r="Q147" s="10" t="inlineStr">
        <is>
          <t>Cash amount used</t>
        </is>
      </c>
      <c r="R147" s="10" t="inlineStr">
        <is>
          <t>Cash date used</t>
        </is>
      </c>
      <c r="S147" s="10" t="inlineStr">
        <is>
          <t>Default include</t>
        </is>
      </c>
      <c r="T147" s="10" t="inlineStr">
        <is>
          <t>Default timing</t>
        </is>
      </c>
    </row>
    <row r="148">
      <c r="A148" s="28" t="inlineStr">
        <is>
          <t>su_llc</t>
        </is>
      </c>
      <c r="B148" s="5" t="inlineStr">
        <is>
          <t>LLC Articles of Organization (state filing fee)</t>
        </is>
      </c>
      <c r="C148" s="53" t="n">
        <v>200</v>
      </c>
      <c r="D148" t="inlineStr">
        <is>
          <t>USD one-time</t>
        </is>
      </c>
      <c r="E148" s="31" t="n">
        <v>200</v>
      </c>
      <c r="F148" s="31" t="n">
        <v>200</v>
      </c>
      <c r="G148" t="inlineStr">
        <is>
          <t>verified 2026-10-23 (legal pack)</t>
        </is>
      </c>
      <c r="H148" s="5" t="inlineStr">
        <is>
          <t>desk-drop-legal-pack/figures.csv (read 2026-10-24); https://dos.ny.gov/limited-liability-company-articles-organization</t>
        </is>
      </c>
      <c r="I148" s="5" t="inlineStr">
        <is>
          <t>Plan capital table: $200 plus $50.</t>
        </is>
      </c>
      <c r="J148" s="55" t="n">
        <v>200</v>
      </c>
      <c r="K148" s="56">
        <f>IF(AND(C148&amp;""=J148&amp;"",N148&amp;""=S148&amp;"",L148&amp;""=T148&amp;""),"","changed")</f>
        <v/>
      </c>
      <c r="L148" s="57" t="n">
        <v>46339</v>
      </c>
      <c r="M148" s="5" t="inlineStr">
        <is>
          <t>Day 0 = first verbal brand yes, expected near Gate 0 (legal pack timing)</t>
        </is>
      </c>
      <c r="N148" s="58" t="inlineStr">
        <is>
          <t>Y</t>
        </is>
      </c>
      <c r="O148" s="53" t="n"/>
      <c r="P148" s="57" t="n"/>
      <c r="Q148" s="59">
        <f>IF(P148&lt;&gt;"",N(O148),IF(N148="Y",N(C148),0))</f>
        <v/>
      </c>
      <c r="R148" s="60">
        <f>IF(P148&lt;&gt;"",P148,L148)</f>
        <v/>
      </c>
      <c r="S148" s="28" t="inlineStr">
        <is>
          <t>Y</t>
        </is>
      </c>
      <c r="T148" s="61" t="n">
        <v>46339</v>
      </c>
    </row>
    <row r="149">
      <c r="A149" s="28" t="inlineStr">
        <is>
          <t>su_cert</t>
        </is>
      </c>
      <c r="B149" s="5" t="inlineStr">
        <is>
          <t>Certificate of Publication filing</t>
        </is>
      </c>
      <c r="C149" s="53" t="n">
        <v>50</v>
      </c>
      <c r="D149" t="inlineStr">
        <is>
          <t>USD one-time</t>
        </is>
      </c>
      <c r="E149" s="31" t="n">
        <v>50</v>
      </c>
      <c r="F149" s="31" t="n">
        <v>50</v>
      </c>
      <c r="G149" t="inlineStr">
        <is>
          <t>verified 2026-10-23 (legal pack)</t>
        </is>
      </c>
      <c r="H149" s="5" t="inlineStr">
        <is>
          <t>desk-drop-legal-pack/figures.csv (read 2026-10-24); https://dos.ny.gov/certificate-publication-domestic-limited-liability-company-0</t>
        </is>
      </c>
      <c r="I149" s="5" t="inlineStr"/>
      <c r="J149" s="55" t="n">
        <v>50</v>
      </c>
      <c r="K149" s="56">
        <f>IF(AND(C149&amp;""=J149&amp;"",N149&amp;""=S149&amp;"",L149&amp;""=T149&amp;""),"","changed")</f>
        <v/>
      </c>
      <c r="L149" s="57" t="n">
        <v>46398</v>
      </c>
      <c r="M149" s="5" t="inlineStr">
        <is>
          <t>After the sixth weekly run: order by 2026-11-30, six runs (derived from the legal pack's timing; legal limit day 120)</t>
        </is>
      </c>
      <c r="N149" s="58" t="inlineStr">
        <is>
          <t>Y</t>
        </is>
      </c>
      <c r="O149" s="53" t="n"/>
      <c r="P149" s="57" t="n"/>
      <c r="Q149" s="59">
        <f>IF(P149&lt;&gt;"",N(O149),IF(N149="Y",N(C149),0))</f>
        <v/>
      </c>
      <c r="R149" s="60">
        <f>IF(P149&lt;&gt;"",P149,L149)</f>
        <v/>
      </c>
      <c r="S149" s="28" t="inlineStr">
        <is>
          <t>Y</t>
        </is>
      </c>
      <c r="T149" s="61" t="n">
        <v>46398</v>
      </c>
    </row>
    <row r="150">
      <c r="A150" s="28" t="inlineStr">
        <is>
          <t>su_pub</t>
        </is>
      </c>
      <c r="B150" s="5" t="inlineStr">
        <is>
          <t>Newspaper publication (two papers, six weeks), county not chosen</t>
        </is>
      </c>
      <c r="C150" s="53" t="n">
        <v>1745</v>
      </c>
      <c r="D150" t="inlineStr">
        <is>
          <t>USD one-time</t>
        </is>
      </c>
      <c r="E150" s="31" t="n">
        <v>200</v>
      </c>
      <c r="F150" s="31" t="n">
        <v>2000</v>
      </c>
      <c r="G150" t="inlineStr">
        <is>
          <t>needs quote (legal pack)</t>
        </is>
      </c>
      <c r="H150" s="5" t="inlineStr">
        <is>
          <t>desk-drop-legal-pack/figures.csv (read 2026-10-24); https://www.llcpublishers.com/pricing</t>
        </is>
      </c>
      <c r="I150" s="5" t="inlineStr">
        <is>
          <t>Legal pack working figure = New York County ($1,795 all-in less the $50 state fee). $345 if the attorney confirms Albany County. Plan table: $250 to $2,000.</t>
        </is>
      </c>
      <c r="J150" s="55" t="n">
        <v>1745</v>
      </c>
      <c r="K150" s="56">
        <f>IF(AND(C150&amp;""=J150&amp;"",N150&amp;""=S150&amp;"",L150&amp;""=T150&amp;""),"","changed")</f>
        <v/>
      </c>
      <c r="L150" s="57" t="n">
        <v>46356</v>
      </c>
      <c r="M150" s="5" t="inlineStr">
        <is>
          <t>Ordered within 10 business days of filing (legal pack): 2026-11-30</t>
        </is>
      </c>
      <c r="N150" s="58" t="inlineStr">
        <is>
          <t>Y</t>
        </is>
      </c>
      <c r="O150" s="53" t="n"/>
      <c r="P150" s="57" t="n"/>
      <c r="Q150" s="59">
        <f>IF(P150&lt;&gt;"",N(O150),IF(N150="Y",N(C150),0))</f>
        <v/>
      </c>
      <c r="R150" s="60">
        <f>IF(P150&lt;&gt;"",P150,L150)</f>
        <v/>
      </c>
      <c r="S150" s="28" t="inlineStr">
        <is>
          <t>Y</t>
        </is>
      </c>
      <c r="T150" s="61" t="n">
        <v>46356</v>
      </c>
    </row>
    <row r="151">
      <c r="A151" s="28" t="inlineStr">
        <is>
          <t>su_license</t>
        </is>
      </c>
      <c r="B151" s="5" t="inlineStr">
        <is>
          <t>Food warehouse license (Article 28-D, two years), if required</t>
        </is>
      </c>
      <c r="C151" s="53" t="n">
        <v>400</v>
      </c>
      <c r="D151" t="inlineStr">
        <is>
          <t>USD one-time</t>
        </is>
      </c>
      <c r="E151" s="31" t="n">
        <v>0</v>
      </c>
      <c r="F151" s="31" t="n">
        <v>400</v>
      </c>
      <c r="G151" t="inlineStr">
        <is>
          <t>fee verified 2026-10-23; need unknown (legal pack)</t>
        </is>
      </c>
      <c r="H151" s="5" t="inlineStr">
        <is>
          <t>desk-drop-legal-pack/figures.csv (read 2026-10-24); https://www.nysenate.gov/legislation/laws/AGM/500-B</t>
        </is>
      </c>
      <c r="I151" s="5" t="inlineStr">
        <is>
          <t>Zero if the state says sealed cases at home need no license, or if brands ship direct.</t>
        </is>
      </c>
      <c r="J151" s="55" t="n">
        <v>400</v>
      </c>
      <c r="K151" s="56">
        <f>IF(AND(C151&amp;""=J151&amp;"",N151&amp;""=S151&amp;"",L151&amp;""=T151&amp;""),"","changed")</f>
        <v/>
      </c>
      <c r="L151" s="57" t="n">
        <v>46367</v>
      </c>
      <c r="M151" s="5" t="inlineStr">
        <is>
          <t>Before any brand ships (legal pack: latest 2026-12-21); plan: Gate 1</t>
        </is>
      </c>
      <c r="N151" s="58" t="inlineStr">
        <is>
          <t>Y</t>
        </is>
      </c>
      <c r="O151" s="53" t="n"/>
      <c r="P151" s="57" t="n"/>
      <c r="Q151" s="59">
        <f>IF(P151&lt;&gt;"",N(O151),IF(N151="Y",N(C151),0))</f>
        <v/>
      </c>
      <c r="R151" s="60">
        <f>IF(P151&lt;&gt;"",P151,L151)</f>
        <v/>
      </c>
      <c r="S151" s="28" t="inlineStr">
        <is>
          <t>Y</t>
        </is>
      </c>
      <c r="T151" s="61" t="n">
        <v>46367</v>
      </c>
    </row>
    <row r="152">
      <c r="A152" s="28" t="inlineStr">
        <is>
          <t>su_print</t>
        </is>
      </c>
      <c r="B152" s="5" t="inlineStr">
        <is>
          <t>Printing and materials (hand truck, supplies, first card runs)</t>
        </is>
      </c>
      <c r="C152" s="53" t="n">
        <v>300</v>
      </c>
      <c r="D152" t="inlineStr">
        <is>
          <t>USD one-time</t>
        </is>
      </c>
      <c r="E152" s="31" t="n">
        <v>300</v>
      </c>
      <c r="F152" s="31" t="n">
        <v>300</v>
      </c>
      <c r="G152" t="inlineStr">
        <is>
          <t>planning estimate</t>
        </is>
      </c>
      <c r="H152" s="5" t="inlineStr">
        <is>
          <t>plan.md, Economics: Capital to the first six months</t>
        </is>
      </c>
      <c r="I152" s="5" t="inlineStr">
        <is>
          <t>Read as startup supplies; per-drop kits are the $8 per office line.</t>
        </is>
      </c>
      <c r="J152" s="55" t="n">
        <v>300</v>
      </c>
      <c r="K152" s="56">
        <f>IF(AND(C152&amp;""=J152&amp;"",N152&amp;""=S152&amp;"",L152&amp;""=T152&amp;""),"","changed")</f>
        <v/>
      </c>
      <c r="L152" s="57" t="n">
        <v>46367</v>
      </c>
      <c r="M152" s="5" t="inlineStr">
        <is>
          <t>Gate 1 pass: hand truck, supplies and first card run (plan setup checklist)</t>
        </is>
      </c>
      <c r="N152" s="58" t="inlineStr">
        <is>
          <t>Y</t>
        </is>
      </c>
      <c r="O152" s="53" t="n"/>
      <c r="P152" s="57" t="n"/>
      <c r="Q152" s="59">
        <f>IF(P152&lt;&gt;"",N(O152),IF(N152="Y",N(C152),0))</f>
        <v/>
      </c>
      <c r="R152" s="60">
        <f>IF(P152&lt;&gt;"",P152,L152)</f>
        <v/>
      </c>
      <c r="S152" s="28" t="inlineStr">
        <is>
          <t>Y</t>
        </is>
      </c>
      <c r="T152" s="61" t="n">
        <v>46367</v>
      </c>
    </row>
    <row r="153">
      <c r="A153" s="28" t="inlineStr">
        <is>
          <t>su_domain</t>
        </is>
      </c>
      <c r="B153" s="5" t="inlineStr">
        <is>
          <t>Domain and email setup</t>
        </is>
      </c>
      <c r="C153" s="53" t="n">
        <v>100</v>
      </c>
      <c r="D153" t="inlineStr">
        <is>
          <t>USD one-time</t>
        </is>
      </c>
      <c r="E153" s="31" t="n">
        <v>100</v>
      </c>
      <c r="F153" s="31" t="n">
        <v>100</v>
      </c>
      <c r="G153" t="inlineStr">
        <is>
          <t>planning estimate</t>
        </is>
      </c>
      <c r="H153" s="5" t="inlineStr">
        <is>
          <t>plan.md, Economics: Capital to the first six months</t>
        </is>
      </c>
      <c r="I153" s="5" t="inlineStr"/>
      <c r="J153" s="55" t="n">
        <v>100</v>
      </c>
      <c r="K153" s="56">
        <f>IF(AND(C153&amp;""=J153&amp;"",N153&amp;""=S153&amp;"",L153&amp;""=T153&amp;""),"","changed")</f>
        <v/>
      </c>
      <c r="L153" s="57" t="n">
        <v>46321</v>
      </c>
      <c r="M153" s="5" t="inlineStr">
        <is>
          <t>Week 1, days 1 and 2 (plan)</t>
        </is>
      </c>
      <c r="N153" s="58" t="inlineStr">
        <is>
          <t>Y</t>
        </is>
      </c>
      <c r="O153" s="53" t="n"/>
      <c r="P153" s="57" t="n"/>
      <c r="Q153" s="59">
        <f>IF(P153&lt;&gt;"",N(O153),IF(N153="Y",N(C153),0))</f>
        <v/>
      </c>
      <c r="R153" s="60">
        <f>IF(P153&lt;&gt;"",P153,L153)</f>
        <v/>
      </c>
      <c r="S153" s="28" t="inlineStr">
        <is>
          <t>Y</t>
        </is>
      </c>
      <c r="T153" s="61" t="n">
        <v>46321</v>
      </c>
    </row>
    <row r="154">
      <c r="A154" s="28" t="inlineStr">
        <is>
          <t>su_attorney</t>
        </is>
      </c>
      <c r="B154" s="5" t="inlineStr">
        <is>
          <t>Attorney hour (both agreements, name and formation questions)</t>
        </is>
      </c>
      <c r="C154" s="53" t="n">
        <v>400</v>
      </c>
      <c r="D154" t="inlineStr">
        <is>
          <t>USD one-time</t>
        </is>
      </c>
      <c r="E154" s="31" t="n">
        <v>300</v>
      </c>
      <c r="F154" s="31" t="n">
        <v>500</v>
      </c>
      <c r="G154" t="inlineStr">
        <is>
          <t>plan estimate (legal pack)</t>
        </is>
      </c>
      <c r="H154" s="5" t="inlineStr">
        <is>
          <t>desk-drop-legal-pack/figures.csv (read 2026-10-24); plan.md Legal table</t>
        </is>
      </c>
      <c r="I154" s="5" t="inlineStr">
        <is>
          <t>Not in the plan's capital table. Plan question 8 puts both hours at about $700.</t>
        </is>
      </c>
      <c r="J154" s="55" t="n">
        <v>400</v>
      </c>
      <c r="K154" s="56">
        <f>IF(AND(C154&amp;""=J154&amp;"",N154&amp;""=S154&amp;"",L154&amp;""=T154&amp;""),"","changed")</f>
        <v/>
      </c>
      <c r="L154" s="57" t="n">
        <v>46339</v>
      </c>
      <c r="M154" s="5" t="inlineStr">
        <is>
          <t>Booked at Gate 0; held before the first invoice (legal pack)</t>
        </is>
      </c>
      <c r="N154" s="58" t="inlineStr">
        <is>
          <t>Y</t>
        </is>
      </c>
      <c r="O154" s="53" t="n"/>
      <c r="P154" s="57" t="n"/>
      <c r="Q154" s="59">
        <f>IF(P154&lt;&gt;"",N(O154),IF(N154="Y",N(C154),0))</f>
        <v/>
      </c>
      <c r="R154" s="60">
        <f>IF(P154&lt;&gt;"",P154,L154)</f>
        <v/>
      </c>
      <c r="S154" s="28" t="inlineStr">
        <is>
          <t>Y</t>
        </is>
      </c>
      <c r="T154" s="61" t="n">
        <v>46339</v>
      </c>
    </row>
    <row r="155">
      <c r="A155" s="28" t="inlineStr">
        <is>
          <t>su_accountant</t>
        </is>
      </c>
      <c r="B155" s="5" t="inlineStr">
        <is>
          <t>Accountant hour (sales tax, UBT, estimates)</t>
        </is>
      </c>
      <c r="C155" s="53" t="n">
        <v>300</v>
      </c>
      <c r="D155" t="inlineStr">
        <is>
          <t>USD one-time</t>
        </is>
      </c>
      <c r="E155" s="31" t="n">
        <v>200</v>
      </c>
      <c r="F155" s="31" t="n">
        <v>400</v>
      </c>
      <c r="G155" t="inlineStr">
        <is>
          <t>plan estimate (legal pack)</t>
        </is>
      </c>
      <c r="H155" s="5" t="inlineStr">
        <is>
          <t>desk-drop-legal-pack/figures.csv (read 2026-10-24); plan.md Legal table</t>
        </is>
      </c>
      <c r="I155" s="5" t="inlineStr">
        <is>
          <t>Not in the plan's capital table.</t>
        </is>
      </c>
      <c r="J155" s="55" t="n">
        <v>300</v>
      </c>
      <c r="K155" s="56">
        <f>IF(AND(C155&amp;""=J155&amp;"",N155&amp;""=S155&amp;"",L155&amp;""=T155&amp;""),"","changed")</f>
        <v/>
      </c>
      <c r="L155" s="57" t="n">
        <v>46339</v>
      </c>
      <c r="M155" s="5" t="inlineStr">
        <is>
          <t>Booked at Gate 0; held before the first invoice (legal pack)</t>
        </is>
      </c>
      <c r="N155" s="58" t="inlineStr">
        <is>
          <t>Y</t>
        </is>
      </c>
      <c r="O155" s="53" t="n"/>
      <c r="P155" s="57" t="n"/>
      <c r="Q155" s="59">
        <f>IF(P155&lt;&gt;"",N(O155),IF(N155="Y",N(C155),0))</f>
        <v/>
      </c>
      <c r="R155" s="60">
        <f>IF(P155&lt;&gt;"",P155,L155)</f>
        <v/>
      </c>
      <c r="S155" s="28" t="inlineStr">
        <is>
          <t>Y</t>
        </is>
      </c>
      <c r="T155" s="61" t="n">
        <v>46339</v>
      </c>
    </row>
    <row r="156">
      <c r="A156" s="28" t="inlineStr">
        <is>
          <t>su_it204</t>
        </is>
      </c>
      <c r="B156" s="5" t="inlineStr">
        <is>
          <t>NYS LLC annual filing fee (IT-204-LL), single-member</t>
        </is>
      </c>
      <c r="C156" s="53" t="n">
        <v>25</v>
      </c>
      <c r="D156" t="inlineStr">
        <is>
          <t>USD one-time</t>
        </is>
      </c>
      <c r="E156" s="31" t="n">
        <v>25</v>
      </c>
      <c r="F156" s="31" t="n">
        <v>25</v>
      </c>
      <c r="G156" t="inlineStr">
        <is>
          <t>verified 2026-10-23 (legal pack)</t>
        </is>
      </c>
      <c r="H156" s="5" t="inlineStr">
        <is>
          <t>desk-drop-legal-pack/figures.csv (read 2026-10-24); https://www.tax.ny.gov/pdf/current_forms/it/it204lli.pdf</t>
        </is>
      </c>
      <c r="I156" s="5" t="inlineStr">
        <is>
          <t>Accountant confirms whether 2026 is owed. Not in the plan.</t>
        </is>
      </c>
      <c r="J156" s="55" t="n">
        <v>25</v>
      </c>
      <c r="K156" s="56">
        <f>IF(AND(C156&amp;""=J156&amp;"",N156&amp;""=S156&amp;"",L156&amp;""=T156&amp;""),"","changed")</f>
        <v/>
      </c>
      <c r="L156" s="57" t="n">
        <v>46461</v>
      </c>
      <c r="M156" s="5" t="inlineStr">
        <is>
          <t>First possibly Mon 2027-03-15 for 2026 (legal pack)</t>
        </is>
      </c>
      <c r="N156" s="58" t="inlineStr">
        <is>
          <t>Y</t>
        </is>
      </c>
      <c r="O156" s="53" t="n"/>
      <c r="P156" s="57" t="n"/>
      <c r="Q156" s="59">
        <f>IF(P156&lt;&gt;"",N(O156),IF(N156="Y",N(C156),0))</f>
        <v/>
      </c>
      <c r="R156" s="60">
        <f>IF(P156&lt;&gt;"",P156,L156)</f>
        <v/>
      </c>
      <c r="S156" s="28" t="inlineStr">
        <is>
          <t>Y</t>
        </is>
      </c>
      <c r="T156" s="61" t="n">
        <v>46461</v>
      </c>
    </row>
    <row r="157">
      <c r="A157" s="28" t="inlineStr">
        <is>
          <t>su_hnoa</t>
        </is>
      </c>
      <c r="B157" s="5" t="inlineStr">
        <is>
          <t>Hired and non-owned auto add-on to the liability policy</t>
        </is>
      </c>
      <c r="C157" s="53" t="n"/>
      <c r="D157" t="inlineStr">
        <is>
          <t>USD one-time</t>
        </is>
      </c>
      <c r="E157" s="31" t="n"/>
      <c r="F157" s="31" t="n"/>
      <c r="G157" t="inlineStr">
        <is>
          <t>needs quote (legal pack)</t>
        </is>
      </c>
      <c r="H157" s="5" t="inlineStr">
        <is>
          <t>desk-drop-legal-pack/figures.csv (read 2026-10-24); plan.md Legal table ('Small add-on. Ask the carrier.')</t>
        </is>
      </c>
      <c r="I157" s="5" t="inlineStr">
        <is>
          <t>Needed if car rides, a car service or a rented van carry product (campaign zero does). Blank counts as $0.</t>
        </is>
      </c>
      <c r="J157" s="55" t="n"/>
      <c r="K157" s="56">
        <f>IF(AND(C157&amp;""=J157&amp;"",N157&amp;""=S157&amp;"",L157&amp;""=T157&amp;""),"","changed")</f>
        <v/>
      </c>
      <c r="L157" s="57" t="n">
        <v>46367</v>
      </c>
      <c r="M157" s="5" t="inlineStr">
        <is>
          <t>With the general liability bind</t>
        </is>
      </c>
      <c r="N157" s="58" t="inlineStr">
        <is>
          <t>Y</t>
        </is>
      </c>
      <c r="O157" s="53" t="n"/>
      <c r="P157" s="57" t="n"/>
      <c r="Q157" s="59">
        <f>IF(P157&lt;&gt;"",N(O157),IF(N157="Y",N(C157),0))</f>
        <v/>
      </c>
      <c r="R157" s="60">
        <f>IF(P157&lt;&gt;"",P157,L157)</f>
        <v/>
      </c>
      <c r="S157" s="28" t="inlineStr">
        <is>
          <t>Y</t>
        </is>
      </c>
      <c r="T157" s="61" t="n">
        <v>46367</v>
      </c>
    </row>
    <row r="158">
      <c r="A158" s="28" t="inlineStr">
        <is>
          <t>su_addl_insured</t>
        </is>
      </c>
      <c r="B158" s="5" t="inlineStr">
        <is>
          <t>Additional-insured endorsements for buildings that require them</t>
        </is>
      </c>
      <c r="C158" s="53" t="n"/>
      <c r="D158" t="inlineStr">
        <is>
          <t>USD one-time</t>
        </is>
      </c>
      <c r="E158" s="31" t="n"/>
      <c r="F158" s="31" t="n"/>
      <c r="G158" t="inlineStr">
        <is>
          <t>needs quote (legal pack)</t>
        </is>
      </c>
      <c r="H158" s="5" t="inlineStr">
        <is>
          <t>desk-drop-legal-pack/figures.csv (read 2026-10-24)</t>
        </is>
      </c>
      <c r="I158" s="5" t="inlineStr">
        <is>
          <t>Zero if the policy has a blanket additional-insured endorsement. Blank counts as $0.</t>
        </is>
      </c>
      <c r="J158" s="55" t="n"/>
      <c r="K158" s="56">
        <f>IF(AND(C158&amp;""=J158&amp;"",N158&amp;""=S158&amp;"",L158&amp;""=T158&amp;""),"","changed")</f>
        <v/>
      </c>
      <c r="L158" s="57" t="n">
        <v>46367</v>
      </c>
      <c r="M158" s="5" t="inlineStr">
        <is>
          <t>Before each such building's first drop</t>
        </is>
      </c>
      <c r="N158" s="58" t="inlineStr">
        <is>
          <t>Y</t>
        </is>
      </c>
      <c r="O158" s="53" t="n"/>
      <c r="P158" s="57" t="n"/>
      <c r="Q158" s="59">
        <f>IF(P158&lt;&gt;"",N(O158),IF(N158="Y",N(C158),0))</f>
        <v/>
      </c>
      <c r="R158" s="60">
        <f>IF(P158&lt;&gt;"",P158,L158)</f>
        <v/>
      </c>
      <c r="S158" s="28" t="inlineStr">
        <is>
          <t>Y</t>
        </is>
      </c>
      <c r="T158" s="61" t="n">
        <v>46367</v>
      </c>
    </row>
    <row r="159">
      <c r="A159" s="28" t="inlineStr">
        <is>
          <t>su_tm</t>
        </is>
      </c>
      <c r="B159" s="5" t="inlineStr">
        <is>
          <t>Federal trademark application (one class)</t>
        </is>
      </c>
      <c r="C159" s="53" t="n">
        <v>350</v>
      </c>
      <c r="D159" t="inlineStr">
        <is>
          <t>USD one-time</t>
        </is>
      </c>
      <c r="E159" s="31" t="n">
        <v>350</v>
      </c>
      <c r="F159" s="31" t="n">
        <v>850</v>
      </c>
      <c r="G159" t="inlineStr">
        <is>
          <t>verified 2026-10-23 (legal pack)</t>
        </is>
      </c>
      <c r="H159" s="5" t="inlineStr">
        <is>
          <t>desk-drop-legal-pack/figures.csv (read 2026-10-24); https://www.uspto.gov/learning-and-resources/fees-and-payment/uspto-fee-schedule</t>
        </is>
      </c>
      <c r="I159" s="5" t="inlineStr">
        <is>
          <t>Excluded from the six months (Include = N): the legal pack times it after campaign zero passes and outside the first six months, and USPTO refused a prior DESK-DROP filing as descriptive. Set Y to include it at Gate 2.</t>
        </is>
      </c>
      <c r="J159" s="55" t="n">
        <v>350</v>
      </c>
      <c r="K159" s="56">
        <f>IF(AND(C159&amp;""=J159&amp;"",N159&amp;""=S159&amp;"",L159&amp;""=T159&amp;""),"","changed")</f>
        <v/>
      </c>
      <c r="L159" s="57" t="n">
        <v>46409</v>
      </c>
      <c r="M159" s="5" t="inlineStr">
        <is>
          <t>Only after campaign zero passes; attorney advises first (legal pack)</t>
        </is>
      </c>
      <c r="N159" s="58" t="inlineStr">
        <is>
          <t>N</t>
        </is>
      </c>
      <c r="O159" s="53" t="n"/>
      <c r="P159" s="57" t="n"/>
      <c r="Q159" s="59">
        <f>IF(P159&lt;&gt;"",N(O159),IF(N159="Y",N(C159),0))</f>
        <v/>
      </c>
      <c r="R159" s="60">
        <f>IF(P159&lt;&gt;"",P159,L159)</f>
        <v/>
      </c>
      <c r="S159" s="28" t="inlineStr">
        <is>
          <t>N</t>
        </is>
      </c>
      <c r="T159" s="61" t="n">
        <v>46409</v>
      </c>
    </row>
    <row r="160">
      <c r="B160" s="8" t="inlineStr">
        <is>
          <t>Total startup outlays (cash amounts used)</t>
        </is>
      </c>
      <c r="Q160" s="33">
        <f>SUM(Q148:Q159)</f>
        <v/>
      </c>
    </row>
    <row r="162">
      <c r="B162" s="8" t="inlineStr">
        <is>
          <t>Inputs changed from plan defaults</t>
        </is>
      </c>
      <c r="C162" s="19">
        <f>COUNTIF(K5:K159,"changed")+COUNTIF(Scenarios!$Q$10:$Q$21,"changed")</f>
        <v/>
      </c>
      <c r="D162" s="28" t="inlineStr">
        <is>
          <t>cells here and on Scenarios (the delivery-model rates in section 7 are not flagged; Plan_Check shows whether they still reproduce the plan)</t>
        </is>
      </c>
    </row>
  </sheetData>
  <mergeCells count="1">
    <mergeCell ref="A3:K3"/>
  </mergeCells>
  <dataValidations count="5">
    <dataValidation sqref="C29" showDropDown="0" showInputMessage="0" showErrorMessage="0" allowBlank="1" errorTitle="Not in the list" error="Pick a value from the list." type="list">
      <formula1>=Lists!$F$4:$F$8</formula1>
    </dataValidation>
    <dataValidation sqref="C65" showDropDown="0" showInputMessage="0" showErrorMessage="0" allowBlank="1" errorTitle="Not in the list" error="Pick a value from the list." type="list">
      <formula1>=Lists!$K$4:$K$5</formula1>
    </dataValidation>
    <dataValidation sqref="C72" showDropDown="0" showInputMessage="0" showErrorMessage="0" allowBlank="1" errorTitle="Not in the list" error="Pick a value from the list." type="list">
      <formula1>=Lists!$L$4:$L$5</formula1>
    </dataValidation>
    <dataValidation sqref="C103" showDropDown="0" showInputMessage="0" showErrorMessage="0" allowBlank="1" errorTitle="Not in the list" error="Pick a value from the list." type="list">
      <formula1>=Lists!$A$4:$A$6</formula1>
    </dataValidation>
    <dataValidation sqref="N148:N159"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4"/>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46" customWidth="1" min="2" max="2"/>
    <col width="18" customWidth="1" min="3" max="3"/>
    <col width="22" customWidth="1" min="4" max="4"/>
    <col width="22" customWidth="1" min="5" max="5"/>
    <col width="22" customWidth="1" min="6" max="6"/>
    <col width="18" customWidth="1" min="7" max="7"/>
    <col width="14" customWidth="1" min="8" max="8"/>
    <col width="14" customWidth="1" min="9" max="9"/>
    <col width="60" customWidth="1" min="10" max="10"/>
    <col width="3" customWidth="1" min="11" max="11"/>
    <col width="11" customWidth="1" min="12" max="12"/>
    <col width="11" customWidth="1" min="13" max="13"/>
    <col width="11" customWidth="1" min="14" max="14"/>
    <col width="11" customWidth="1" min="15" max="15"/>
    <col width="11" customWidth="1" min="16" max="16"/>
    <col width="10" customWidth="1" min="17" max="17"/>
  </cols>
  <sheetData>
    <row r="1">
      <c r="A1" s="1" t="inlineStr">
        <is>
          <t>Scenarios A to D</t>
        </is>
      </c>
    </row>
    <row r="2">
      <c r="A2" s="2" t="inlineStr">
        <is>
          <t>The plan's four decision situations as assumption sets. Pick one on Inputs ('Scenario in force'). The Active column feeds drops after Gate 3 and the steady state.</t>
        </is>
      </c>
    </row>
    <row r="3">
      <c r="A3" s="7" t="inlineStr">
        <is>
          <t>Planning estimates. Where a scenario does not name a figure, it uses the plan base and says so. Nothing here is a forecast of which scenario will happen.</t>
        </is>
      </c>
    </row>
    <row r="5" ht="30" customHeight="1">
      <c r="B5" s="10" t="inlineStr">
        <is>
          <t>Lever</t>
        </is>
      </c>
      <c r="C5" s="10" t="inlineStr">
        <is>
          <t>Plan base</t>
        </is>
      </c>
      <c r="D5" s="10" t="inlineStr">
        <is>
          <t>A</t>
        </is>
      </c>
      <c r="E5" s="10" t="inlineStr">
        <is>
          <t>B</t>
        </is>
      </c>
      <c r="F5" s="10" t="inlineStr">
        <is>
          <t>C</t>
        </is>
      </c>
      <c r="G5" s="10" t="inlineStr">
        <is>
          <t>D</t>
        </is>
      </c>
      <c r="H5" s="10" t="inlineStr">
        <is>
          <t>Active (in force)</t>
        </is>
      </c>
      <c r="I5" s="10" t="inlineStr">
        <is>
          <t>Unit</t>
        </is>
      </c>
      <c r="J5" s="10" t="inlineStr">
        <is>
          <t>Source and reading</t>
        </is>
      </c>
      <c r="L5" s="10" t="inlineStr">
        <is>
          <t>default: Plan base</t>
        </is>
      </c>
      <c r="M5" s="10" t="inlineStr">
        <is>
          <t>default: A</t>
        </is>
      </c>
      <c r="N5" s="10" t="inlineStr">
        <is>
          <t>default: B</t>
        </is>
      </c>
      <c r="O5" s="10" t="inlineStr">
        <is>
          <t>default: C</t>
        </is>
      </c>
      <c r="P5" s="10" t="inlineStr">
        <is>
          <t>default: D</t>
        </is>
      </c>
      <c r="Q5" s="10" t="inlineStr">
        <is>
          <t>Changed?</t>
        </is>
      </c>
    </row>
    <row r="6" ht="32" customHeight="1">
      <c r="B6" s="8" t="inlineStr">
        <is>
          <t>Situation</t>
        </is>
      </c>
      <c r="C6" s="6" t="inlineStr">
        <is>
          <t>What has to be true</t>
        </is>
      </c>
      <c r="D6" s="6" t="inlineStr">
        <is>
          <t>Both sides work</t>
        </is>
      </c>
      <c r="E6" s="6" t="inlineStr">
        <is>
          <t>Brands pay once, offices love it</t>
        </is>
      </c>
      <c r="F6" s="6" t="inlineStr">
        <is>
          <t>Brands willing, offices unreliable</t>
        </is>
      </c>
      <c r="G6" s="6" t="inlineStr">
        <is>
          <t>Neither converts</t>
        </is>
      </c>
    </row>
    <row r="7" ht="62" customHeight="1">
      <c r="B7" s="8" t="inlineStr">
        <is>
          <t>What the numbers show</t>
        </is>
      </c>
      <c r="C7" s="5" t="inlineStr">
        <is>
          <t>Three brands per drop, six hours or less per win, 40% renew, $1,500 holds</t>
        </is>
      </c>
      <c r="D7" s="5" t="inlineStr">
        <is>
          <t>40% or more of brands renew; placement above 80%; contribution above $50 an hour</t>
        </is>
      </c>
      <c r="E7" s="5" t="inlineStr">
        <is>
          <t>Renewal under 30%; offices asking when the next drop is</t>
        </is>
      </c>
      <c r="F7" s="5" t="inlineStr">
        <is>
          <t>Placement under 80% twice; photos missing; responses under five</t>
        </is>
      </c>
      <c r="G7" s="5" t="inlineStr">
        <is>
          <t>No renewal, weak placement</t>
        </is>
      </c>
    </row>
    <row r="8" ht="62" customHeight="1">
      <c r="B8" s="8" t="inlineStr">
        <is>
          <t>What to do next (plan)</t>
        </is>
      </c>
      <c r="C8" s="5" t="inlineStr">
        <is>
          <t>Run the plan</t>
        </is>
      </c>
      <c r="D8" s="5" t="inlineStr">
        <is>
          <t>Scale: second cluster, roster 20 to 30, price to $1,800 to $2,000, part-time delivery at about $25 an hour above two drops a month, launch-partner tier</t>
        </is>
      </c>
      <c r="E8" s="5" t="inlineStr">
        <is>
          <t>Fix the evidence, run two more drops; if renewal is still under 30%, switch to office-paid for offices that named $100 a month or more</t>
        </is>
      </c>
      <c r="F8" s="5" t="inlineStr">
        <is>
          <t>Replace the weakest offices, raise the commitment bar; if a third drop misses, stop</t>
        </is>
      </c>
      <c r="G8" s="5" t="inlineStr">
        <is>
          <t>Stop; write the post-mortem; keep office relationships warm</t>
        </is>
      </c>
    </row>
    <row r="10" ht="30" customHeight="1">
      <c r="B10" s="5" t="inlineStr">
        <is>
          <t>Post-Gate-3 drops that run in the six months (of the two scheduled)</t>
        </is>
      </c>
      <c r="C10" s="62" t="n">
        <v>2</v>
      </c>
      <c r="D10" s="62" t="n">
        <v>2</v>
      </c>
      <c r="E10" s="62" t="n">
        <v>2</v>
      </c>
      <c r="F10" s="62" t="n">
        <v>1</v>
      </c>
      <c r="G10" s="62" t="n">
        <v>0</v>
      </c>
      <c r="H10" s="63">
        <f>INDEX(C10:G10,MATCH(Inputs!$C$29,$C$5:$G$5,0))</f>
        <v/>
      </c>
      <c r="I10" t="inlineStr">
        <is>
          <t>drops</t>
        </is>
      </c>
      <c r="J10" s="5" t="inlineStr">
        <is>
          <t>Base and A: two drops a month. B: 'run two more drops'. C: 'if a third drop misses, stop', so one more. D: 'Stop'.</t>
        </is>
      </c>
      <c r="L10" s="64" t="n">
        <v>2</v>
      </c>
      <c r="M10" s="64" t="n">
        <v>2</v>
      </c>
      <c r="N10" s="64" t="n">
        <v>2</v>
      </c>
      <c r="O10" s="64" t="n">
        <v>1</v>
      </c>
      <c r="P10" s="64" t="n">
        <v>0</v>
      </c>
      <c r="Q10" s="56">
        <f>IF(AND(C10&amp;""=L10&amp;"",D10&amp;""=M10&amp;"",E10&amp;""=N10&amp;"",F10&amp;""=O10&amp;"",G10&amp;""=P10&amp;""),"","changed")</f>
        <v/>
      </c>
    </row>
    <row r="11" ht="30" customHeight="1">
      <c r="B11" s="5" t="inlineStr">
        <is>
          <t>Brands per drop after Gate 3</t>
        </is>
      </c>
      <c r="C11" s="62" t="n">
        <v>3</v>
      </c>
      <c r="D11" s="62" t="n">
        <v>3</v>
      </c>
      <c r="E11" s="62" t="n">
        <v>3</v>
      </c>
      <c r="F11" s="62" t="n">
        <v>3</v>
      </c>
      <c r="G11" s="62" t="n">
        <v>0</v>
      </c>
      <c r="H11" s="63">
        <f>INDEX(C11:G11,MATCH(Inputs!$C$29,$C$5:$G$5,0))</f>
        <v/>
      </c>
      <c r="I11" t="inlineStr">
        <is>
          <t>brands</t>
        </is>
      </c>
      <c r="J11" s="5" t="inlineStr">
        <is>
          <t>Plan: three brands per drop. D stops.</t>
        </is>
      </c>
      <c r="L11" s="64" t="n">
        <v>3</v>
      </c>
      <c r="M11" s="64" t="n">
        <v>3</v>
      </c>
      <c r="N11" s="64" t="n">
        <v>3</v>
      </c>
      <c r="O11" s="64" t="n">
        <v>3</v>
      </c>
      <c r="P11" s="64" t="n">
        <v>0</v>
      </c>
      <c r="Q11" s="56">
        <f>IF(AND(C11&amp;""=L11&amp;"",D11&amp;""=M11&amp;"",E11&amp;""=N11&amp;"",F11&amp;""=O11&amp;"",G11&amp;""=P11&amp;""),"","changed")</f>
        <v/>
      </c>
    </row>
    <row r="12" ht="30" customHeight="1">
      <c r="B12" s="5" t="inlineStr">
        <is>
          <t>Renewal rate (share of brand slots that are renewals)</t>
        </is>
      </c>
      <c r="C12" s="65">
        <f>Inputs!$C$101</f>
        <v/>
      </c>
      <c r="D12" s="65" t="n">
        <v>0.4</v>
      </c>
      <c r="E12" s="65" t="n">
        <v>0</v>
      </c>
      <c r="F12" s="65">
        <f>C12</f>
        <v/>
      </c>
      <c r="G12" s="65" t="n">
        <v>0</v>
      </c>
      <c r="H12" s="66">
        <f>INDEX(C12:G12,MATCH(Inputs!$C$29,$C$5:$G$5,0))</f>
        <v/>
      </c>
      <c r="I12" t="inlineStr">
        <is>
          <t>share</t>
        </is>
      </c>
      <c r="J12" s="5" t="inlineStr">
        <is>
          <t>A: '40% or more', low end. B: 'under 30%' and 'brands pay once': 0%, the low end of 0% to 29%. C: not named, plan base. D: 'No renewal'.</t>
        </is>
      </c>
      <c r="L12" s="67">
        <f>Inputs!$C$101</f>
        <v/>
      </c>
      <c r="M12" s="67" t="n">
        <v>0.4</v>
      </c>
      <c r="N12" s="67" t="n">
        <v>0</v>
      </c>
      <c r="O12" s="67">
        <f>C12</f>
        <v/>
      </c>
      <c r="P12" s="67" t="n">
        <v>0</v>
      </c>
      <c r="Q12" s="56">
        <f>IF(AND(C12&amp;""=L12&amp;"",D12&amp;""=M12&amp;"",E12&amp;""=N12&amp;"",F12&amp;""=O12&amp;"",G12&amp;""=P12&amp;""),"","changed")</f>
        <v/>
      </c>
    </row>
    <row r="13" ht="30" customHeight="1">
      <c r="B13" s="5" t="inlineStr">
        <is>
          <t>New offices recruited per post-Gate-3 drop</t>
        </is>
      </c>
      <c r="C13" s="62" t="n">
        <v>0</v>
      </c>
      <c r="D13" s="62" t="n">
        <v>0</v>
      </c>
      <c r="E13" s="62" t="n">
        <v>0</v>
      </c>
      <c r="F13" s="62" t="n"/>
      <c r="G13" s="62" t="n">
        <v>0</v>
      </c>
      <c r="H13" s="63">
        <f>INDEX(C13:G13,MATCH(Inputs!$C$29,$C$5:$G$5,0))</f>
        <v/>
      </c>
      <c r="I13" t="inlineStr">
        <is>
          <t>offices</t>
        </is>
      </c>
      <c r="J13" s="5" t="inlineStr">
        <is>
          <t>C: 'replace the weakest offices'; the plan gives no count. Blank = 0; founder to set.</t>
        </is>
      </c>
      <c r="L13" s="64" t="n">
        <v>0</v>
      </c>
      <c r="M13" s="64" t="n">
        <v>0</v>
      </c>
      <c r="N13" s="64" t="n">
        <v>0</v>
      </c>
      <c r="O13" s="64" t="n"/>
      <c r="P13" s="64" t="n">
        <v>0</v>
      </c>
      <c r="Q13" s="56">
        <f>IF(AND(C13&amp;""=L13&amp;"",D13&amp;""=M13&amp;"",E13&amp;""=N13&amp;"",F13&amp;""=O13&amp;"",G13&amp;""=P13&amp;""),"","changed")</f>
        <v/>
      </c>
    </row>
    <row r="14" ht="30" customHeight="1">
      <c r="B14" s="5" t="inlineStr">
        <is>
          <t>Standard price per office for drops after the decision date</t>
        </is>
      </c>
      <c r="C14" s="53">
        <f>Inputs!$C$33</f>
        <v/>
      </c>
      <c r="D14" s="53" t="n">
        <v>180</v>
      </c>
      <c r="E14" s="53">
        <f>Inputs!$C$33</f>
        <v/>
      </c>
      <c r="F14" s="53">
        <f>Inputs!$C$33</f>
        <v/>
      </c>
      <c r="G14" s="53">
        <f>Inputs!$C$33</f>
        <v/>
      </c>
      <c r="H14" s="68">
        <f>INDEX(C14:G14,MATCH(Inputs!$C$29,$C$5:$G$5,0))</f>
        <v/>
      </c>
      <c r="I14" t="inlineStr">
        <is>
          <t>USD per office</t>
        </is>
      </c>
      <c r="J14" s="5" t="inlineStr">
        <is>
          <t>A: 'raise the standard price to $1,800 to $2,000' = $180 to $200 per office; low end.</t>
        </is>
      </c>
      <c r="L14" s="55">
        <f>Inputs!$C$33</f>
        <v/>
      </c>
      <c r="M14" s="55" t="n">
        <v>180</v>
      </c>
      <c r="N14" s="55">
        <f>Inputs!$C$33</f>
        <v/>
      </c>
      <c r="O14" s="55">
        <f>Inputs!$C$33</f>
        <v/>
      </c>
      <c r="P14" s="55">
        <f>Inputs!$C$33</f>
        <v/>
      </c>
      <c r="Q14" s="56">
        <f>IF(AND(C14&amp;""=L14&amp;"",D14&amp;""=M14&amp;"",E14&amp;""=N14&amp;"",F14&amp;""=O14&amp;"",G14&amp;""=P14&amp;""),"","changed")</f>
        <v/>
      </c>
    </row>
    <row r="15" ht="30" customHeight="1">
      <c r="B15" s="5" t="inlineStr">
        <is>
          <t>Steady-state drops per month</t>
        </is>
      </c>
      <c r="C15" s="62">
        <f>Inputs!$C$102</f>
        <v/>
      </c>
      <c r="D15" s="62" t="n">
        <v>2</v>
      </c>
      <c r="E15" s="62" t="n">
        <v>2</v>
      </c>
      <c r="F15" s="62" t="n">
        <v>2</v>
      </c>
      <c r="G15" s="62" t="n">
        <v>0</v>
      </c>
      <c r="H15" s="63">
        <f>INDEX(C15:G15,MATCH(Inputs!$C$29,$C$5:$G$5,0))</f>
        <v/>
      </c>
      <c r="I15" t="inlineStr">
        <is>
          <t>drops per month</t>
        </is>
      </c>
      <c r="J15" s="5" t="inlineStr">
        <is>
          <t>Plan monthly picture: two drops a month.</t>
        </is>
      </c>
      <c r="L15" s="64">
        <f>Inputs!$C$102</f>
        <v/>
      </c>
      <c r="M15" s="64" t="n">
        <v>2</v>
      </c>
      <c r="N15" s="64" t="n">
        <v>2</v>
      </c>
      <c r="O15" s="64" t="n">
        <v>2</v>
      </c>
      <c r="P15" s="64" t="n">
        <v>0</v>
      </c>
      <c r="Q15" s="56">
        <f>IF(AND(C15&amp;""=L15&amp;"",D15&amp;""=M15&amp;"",E15&amp;""=N15&amp;"",F15&amp;""=O15&amp;"",G15&amp;""=P15&amp;""),"","changed")</f>
        <v/>
      </c>
    </row>
    <row r="16" ht="30" customHeight="1">
      <c r="B16" s="5" t="inlineStr">
        <is>
          <t>Steady-state brands per drop</t>
        </is>
      </c>
      <c r="C16" s="62" t="n">
        <v>3</v>
      </c>
      <c r="D16" s="62" t="n">
        <v>3</v>
      </c>
      <c r="E16" s="62" t="n">
        <v>3</v>
      </c>
      <c r="F16" s="62" t="n">
        <v>3</v>
      </c>
      <c r="G16" s="62" t="n">
        <v>0</v>
      </c>
      <c r="H16" s="63">
        <f>INDEX(C16:G16,MATCH(Inputs!$C$29,$C$5:$G$5,0))</f>
        <v/>
      </c>
      <c r="I16" t="inlineStr">
        <is>
          <t>brands</t>
        </is>
      </c>
      <c r="J16" s="5" t="inlineStr">
        <is>
          <t>Plan monthly picture: three-brand drops.</t>
        </is>
      </c>
      <c r="L16" s="64" t="n">
        <v>3</v>
      </c>
      <c r="M16" s="64" t="n">
        <v>3</v>
      </c>
      <c r="N16" s="64" t="n">
        <v>3</v>
      </c>
      <c r="O16" s="64" t="n">
        <v>3</v>
      </c>
      <c r="P16" s="64" t="n">
        <v>0</v>
      </c>
      <c r="Q16" s="56">
        <f>IF(AND(C16&amp;""=L16&amp;"",D16&amp;""=M16&amp;"",E16&amp;""=N16&amp;"",F16&amp;""=O16&amp;"",G16&amp;""=P16&amp;""),"","changed")</f>
        <v/>
      </c>
    </row>
    <row r="17" ht="30" customHeight="1">
      <c r="B17" s="5" t="inlineStr">
        <is>
          <t>Offices on an office-paid tier (steady state)</t>
        </is>
      </c>
      <c r="C17" s="62" t="n">
        <v>0</v>
      </c>
      <c r="D17" s="62" t="n">
        <v>0</v>
      </c>
      <c r="E17" s="62" t="n">
        <v>5</v>
      </c>
      <c r="F17" s="62" t="n">
        <v>0</v>
      </c>
      <c r="G17" s="62" t="n">
        <v>0</v>
      </c>
      <c r="H17" s="63">
        <f>INDEX(C17:G17,MATCH(Inputs!$C$29,$C$5:$G$5,0))</f>
        <v/>
      </c>
      <c r="I17" t="inlineStr">
        <is>
          <t>offices</t>
        </is>
      </c>
      <c r="J17" s="5" t="inlineStr">
        <is>
          <t>B: offices that named $100 a month or more; at least five.</t>
        </is>
      </c>
      <c r="L17" s="64" t="n">
        <v>0</v>
      </c>
      <c r="M17" s="64" t="n">
        <v>0</v>
      </c>
      <c r="N17" s="64" t="n">
        <v>5</v>
      </c>
      <c r="O17" s="64" t="n">
        <v>0</v>
      </c>
      <c r="P17" s="64" t="n">
        <v>0</v>
      </c>
      <c r="Q17" s="56">
        <f>IF(AND(C17&amp;""=L17&amp;"",D17&amp;""=M17&amp;"",E17&amp;""=N17&amp;"",F17&amp;""=O17&amp;"",G17&amp;""=P17&amp;""),"","changed")</f>
        <v/>
      </c>
    </row>
    <row r="18" ht="30" customHeight="1">
      <c r="B18" s="5" t="inlineStr">
        <is>
          <t>Office-paid fee per office per month</t>
        </is>
      </c>
      <c r="C18" s="53" t="n"/>
      <c r="D18" s="53" t="n"/>
      <c r="E18" s="53" t="n">
        <v>100</v>
      </c>
      <c r="F18" s="53" t="n"/>
      <c r="G18" s="53" t="n"/>
      <c r="H18" s="68">
        <f>INDEX(C18:G18,MATCH(Inputs!$C$29,$C$5:$G$5,0))</f>
        <v/>
      </c>
      <c r="I18" t="inlineStr">
        <is>
          <t>USD per month</t>
        </is>
      </c>
      <c r="J18" s="5" t="inlineStr">
        <is>
          <t>B: $100 to $200 a month; low end.</t>
        </is>
      </c>
      <c r="L18" s="55" t="n"/>
      <c r="M18" s="55" t="n"/>
      <c r="N18" s="55" t="n">
        <v>100</v>
      </c>
      <c r="O18" s="55" t="n"/>
      <c r="P18" s="55" t="n"/>
      <c r="Q18" s="56">
        <f>IF(AND(C18&amp;""=L18&amp;"",D18&amp;""=M18&amp;"",E18&amp;""=N18&amp;"",F18&amp;""=O18&amp;"",G18&amp;""=P18&amp;""),"","changed")</f>
        <v/>
      </c>
    </row>
    <row r="19" ht="30" customHeight="1">
      <c r="B19" s="5" t="inlineStr">
        <is>
          <t>Cost to serve one office-paid office per month</t>
        </is>
      </c>
      <c r="C19" s="53" t="n"/>
      <c r="D19" s="53" t="n"/>
      <c r="E19" s="53" t="n"/>
      <c r="F19" s="53" t="n"/>
      <c r="G19" s="53" t="n"/>
      <c r="H19" s="68">
        <f>INDEX(C19:G19,MATCH(Inputs!$C$29,$C$5:$G$5,0))</f>
        <v/>
      </c>
      <c r="I19" t="inlineStr">
        <is>
          <t>USD per month</t>
        </is>
      </c>
      <c r="J19" s="5" t="inlineStr">
        <is>
          <t>Needs quote. The plan prices no cost for guaranteed twice-monthly curated drops.</t>
        </is>
      </c>
      <c r="L19" s="55" t="n"/>
      <c r="M19" s="55" t="n"/>
      <c r="N19" s="55" t="n"/>
      <c r="O19" s="55" t="n"/>
      <c r="P19" s="55" t="n"/>
      <c r="Q19" s="56">
        <f>IF(AND(C19&amp;""=L19&amp;"",D19&amp;""=M19&amp;"",E19&amp;""=N19&amp;"",F19&amp;""=O19&amp;"",G19&amp;""=P19&amp;""),"","changed")</f>
        <v/>
      </c>
    </row>
    <row r="20" ht="30" customHeight="1">
      <c r="B20" s="5" t="inlineStr">
        <is>
          <t>Part-time delivery hire</t>
        </is>
      </c>
      <c r="C20" s="53" t="n">
        <v>25</v>
      </c>
      <c r="D20" s="53" t="n">
        <v>25</v>
      </c>
      <c r="E20" s="53" t="n"/>
      <c r="F20" s="53" t="n"/>
      <c r="G20" s="53" t="n"/>
      <c r="H20" s="68">
        <f>INDEX(C20:G20,MATCH(Inputs!$C$29,$C$5:$G$5,0))</f>
        <v/>
      </c>
      <c r="I20" t="inlineStr">
        <is>
          <t>USD per hour</t>
        </is>
      </c>
      <c r="J20" s="5" t="inlineStr">
        <is>
          <t>A: 'about $25 an hour once you run more than two drops a month'. It replaces drop-day hours (model reading).</t>
        </is>
      </c>
      <c r="L20" s="55" t="n">
        <v>25</v>
      </c>
      <c r="M20" s="55" t="n">
        <v>25</v>
      </c>
      <c r="N20" s="55" t="n"/>
      <c r="O20" s="55" t="n"/>
      <c r="P20" s="55" t="n"/>
      <c r="Q20" s="56">
        <f>IF(AND(C20&amp;""=L20&amp;"",D20&amp;""=M20&amp;"",E20&amp;""=N20&amp;"",F20&amp;""=O20&amp;"",G20&amp;""=P20&amp;""),"","changed")</f>
        <v/>
      </c>
    </row>
    <row r="21" ht="30" customHeight="1">
      <c r="B21" s="5" t="inlineStr">
        <is>
          <t>Hire once steady-state drops per month exceed</t>
        </is>
      </c>
      <c r="C21" s="62" t="n">
        <v>2</v>
      </c>
      <c r="D21" s="62" t="n">
        <v>2</v>
      </c>
      <c r="E21" s="62" t="n">
        <v>2</v>
      </c>
      <c r="F21" s="62" t="n">
        <v>2</v>
      </c>
      <c r="G21" s="62" t="n">
        <v>2</v>
      </c>
      <c r="H21" s="63">
        <f>INDEX(C21:G21,MATCH(Inputs!$C$29,$C$5:$G$5,0))</f>
        <v/>
      </c>
      <c r="I21" t="inlineStr">
        <is>
          <t>drops per month</t>
        </is>
      </c>
      <c r="J21" s="5" t="inlineStr">
        <is>
          <t>Plan: 'more than two drops a month'.</t>
        </is>
      </c>
      <c r="L21" s="64" t="n">
        <v>2</v>
      </c>
      <c r="M21" s="64" t="n">
        <v>2</v>
      </c>
      <c r="N21" s="64" t="n">
        <v>2</v>
      </c>
      <c r="O21" s="64" t="n">
        <v>2</v>
      </c>
      <c r="P21" s="64" t="n">
        <v>2</v>
      </c>
      <c r="Q21" s="56">
        <f>IF(AND(C21&amp;""=L21&amp;"",D21&amp;""=M21&amp;"",E21&amp;""=N21&amp;"",F21&amp;""=O21&amp;"",G21&amp;""=P21&amp;""),"","changed")</f>
        <v/>
      </c>
    </row>
    <row r="23">
      <c r="B23" s="8" t="inlineStr">
        <is>
          <t>How it works</t>
        </is>
      </c>
    </row>
    <row r="24" ht="48" customHeight="1">
      <c r="B24" s="5" t="inlineStr">
        <is>
          <t>The two decision-window drops on Schedule (DRP-004, DRP-005) take brands, renewals and new offices from the Active column. Type over those Schedule cells to replace the scenario with real plans. The steady-state view and the sensitivity tables use the Active column too. Drops before Gate 3 do not change with the scenario.</t>
        </is>
      </c>
    </row>
  </sheetData>
  <mergeCells count="2">
    <mergeCell ref="B24:J24"/>
    <mergeCell ref="A3:J3"/>
  </mergeCells>
  <pageMargins left="0.75" right="0.75" top="1" bottom="1" header="0.5" footer="0.5"/>
</worksheet>
</file>

<file path=xl/worksheets/sheet5.xml><?xml version="1.0" encoding="utf-8"?>
<worksheet xmlns="http://schemas.openxmlformats.org/spreadsheetml/2006/main">
  <sheetPr>
    <tabColor rgb="00F2C200"/>
    <outlinePr summaryBelow="1" summaryRight="1"/>
    <pageSetUpPr/>
  </sheetPr>
  <dimension ref="A1:AH21"/>
  <sheetViews>
    <sheetView zoomScale="90" workbookViewId="0">
      <pane xSplit="2" ySplit="6" topLeftCell="C7" activePane="bottomRight" state="frozen"/>
      <selection pane="topRight"/>
      <selection pane="bottomLeft"/>
      <selection pane="bottomRight" activeCell="A1" sqref="A1"/>
    </sheetView>
  </sheetViews>
  <sheetFormatPr baseColWidth="8" defaultRowHeight="15"/>
  <cols>
    <col width="10" customWidth="1" min="1" max="1"/>
    <col width="24" customWidth="1" min="2" max="2"/>
    <col width="20" customWidth="1" min="3" max="3"/>
    <col width="10" customWidth="1" min="4" max="4"/>
    <col width="12" customWidth="1" min="5" max="5"/>
    <col width="6" customWidth="1" min="6" max="6"/>
    <col width="12" customWidth="1" min="7" max="7"/>
    <col width="10" customWidth="1" min="8" max="8"/>
    <col width="8" customWidth="1" min="9" max="9"/>
    <col width="8" customWidth="1" min="10" max="10"/>
    <col width="8" customWidth="1" min="11" max="11"/>
    <col width="10" customWidth="1" min="12" max="12"/>
    <col width="12" customWidth="1" min="13" max="13"/>
    <col width="9" customWidth="1" min="14" max="14"/>
    <col width="50" customWidth="1" min="15" max="15"/>
    <col width="11" customWidth="1" min="16" max="16"/>
    <col width="15" customWidth="1" min="17" max="17"/>
    <col width="10" customWidth="1" min="18" max="18"/>
    <col width="12" customWidth="1" min="19" max="19"/>
    <col width="10" customWidth="1" min="20" max="20"/>
    <col width="12" customWidth="1" min="21" max="21"/>
    <col width="12" customWidth="1" min="22" max="22"/>
    <col width="24" customWidth="1" min="23" max="23"/>
    <col width="12" customWidth="1" min="24" max="24"/>
  </cols>
  <sheetData>
    <row r="1">
      <c r="A1" s="1" t="inlineStr">
        <is>
          <t>Drop schedule</t>
        </is>
      </c>
    </row>
    <row r="2">
      <c r="A2" s="2" t="inlineStr">
        <is>
          <t>One row per drop. Edit dates, delivery model, offices, brands and renewals. Rows marked derived are the simplest schedule that meets the plan; founder to confirm.</t>
        </is>
      </c>
    </row>
    <row r="3">
      <c r="A3" s="7" t="inlineStr">
        <is>
          <t>Drop days are Tuesday or Wednesday only; no window may overlap a blackout (Lists). Set 'Actuals in' to Y once a drop's actuals are pasted, and the model switches that drop from plan to actual.</t>
        </is>
      </c>
    </row>
    <row r="4">
      <c r="A4" s="28" t="inlineStr">
        <is>
          <t>Yellow = your input. Blue = follows the scenario in force (Scenarios tab); type over it to replace. Red 'changed' = the row no longer matches the derived default.</t>
        </is>
      </c>
    </row>
    <row r="5">
      <c r="AA5" s="28" t="inlineStr">
        <is>
          <t>Derived defaults (for the 'Changed' flag; do not edit)</t>
        </is>
      </c>
    </row>
    <row r="6" ht="45" customHeight="1">
      <c r="A6" s="10" t="inlineStr">
        <is>
          <t>drop_id</t>
        </is>
      </c>
      <c r="B6" s="10" t="inlineStr">
        <is>
          <t>Label</t>
        </is>
      </c>
      <c r="C6" s="10" t="inlineStr">
        <is>
          <t>Basis</t>
        </is>
      </c>
      <c r="D6" s="10" t="inlineStr">
        <is>
          <t>Post-Gate-3 sequence</t>
        </is>
      </c>
      <c r="E6" s="10" t="inlineStr">
        <is>
          <t>Drop date</t>
        </is>
      </c>
      <c r="F6" s="10" t="inlineStr">
        <is>
          <t>Day</t>
        </is>
      </c>
      <c r="G6" s="10" t="inlineStr">
        <is>
          <t>Delivery model</t>
        </is>
      </c>
      <c r="H6" s="10" t="inlineStr">
        <is>
          <t>Tier</t>
        </is>
      </c>
      <c r="I6" s="10" t="inlineStr">
        <is>
          <t>Offices</t>
        </is>
      </c>
      <c r="J6" s="10" t="inlineStr">
        <is>
          <t>New offices</t>
        </is>
      </c>
      <c r="K6" s="10" t="inlineStr">
        <is>
          <t>Brands</t>
        </is>
      </c>
      <c r="L6" s="10" t="inlineStr">
        <is>
          <t>of which renewals</t>
        </is>
      </c>
      <c r="M6" s="10" t="inlineStr">
        <is>
          <t>of which founding-rate renewals</t>
        </is>
      </c>
      <c r="N6" s="10" t="inlineStr">
        <is>
          <t>Actuals in (Y/N)</t>
        </is>
      </c>
      <c r="O6" s="10" t="inlineStr">
        <is>
          <t>Notes</t>
        </is>
      </c>
      <c r="P6" s="10" t="inlineStr">
        <is>
          <t>Tue or Wed?</t>
        </is>
      </c>
      <c r="Q6" s="10" t="inlineStr">
        <is>
          <t>Window closes (T+4)</t>
        </is>
      </c>
      <c r="R6" s="10" t="inlineStr">
        <is>
          <t>Blackout clash?</t>
        </is>
      </c>
      <c r="S6" s="10" t="inlineStr">
        <is>
          <t>Units brands ship (incl. reserve)</t>
        </is>
      </c>
      <c r="T6" s="10" t="inlineStr">
        <is>
          <t>Row check</t>
        </is>
      </c>
      <c r="U6" s="10" t="inlineStr">
        <is>
          <t>Office slots on drops in the last four weeks</t>
        </is>
      </c>
      <c r="V6" s="10" t="inlineStr">
        <is>
          <t>Roster to date (new offices so far)</t>
        </is>
      </c>
      <c r="W6" s="10" t="inlineStr">
        <is>
          <t>Office fatigue</t>
        </is>
      </c>
      <c r="X6" s="10" t="inlineStr">
        <is>
          <t>Changed from the derived default?</t>
        </is>
      </c>
      <c r="AA6" s="10" t="inlineStr">
        <is>
          <t>default date</t>
        </is>
      </c>
      <c r="AB6" s="10" t="inlineStr">
        <is>
          <t>default model</t>
        </is>
      </c>
      <c r="AC6" s="10" t="inlineStr">
        <is>
          <t>default tier</t>
        </is>
      </c>
      <c r="AD6" s="10" t="inlineStr">
        <is>
          <t>default offices</t>
        </is>
      </c>
      <c r="AE6" s="10" t="inlineStr">
        <is>
          <t>default new offices</t>
        </is>
      </c>
      <c r="AF6" s="10" t="inlineStr">
        <is>
          <t>default brands</t>
        </is>
      </c>
      <c r="AG6" s="10" t="inlineStr">
        <is>
          <t>default renewals</t>
        </is>
      </c>
      <c r="AH6" s="10" t="inlineStr">
        <is>
          <t>default founding renewals</t>
        </is>
      </c>
    </row>
    <row r="7" ht="42" customHeight="1">
      <c r="A7" s="69" t="inlineStr">
        <is>
          <t>DRP-001</t>
        </is>
      </c>
      <c r="B7" s="69" t="inlineStr">
        <is>
          <t>Campaign zero (founding)</t>
        </is>
      </c>
      <c r="C7" s="69" t="inlineStr">
        <is>
          <t>derived: CONTRACTS s3</t>
        </is>
      </c>
      <c r="D7" s="69" t="n"/>
      <c r="E7" s="70" t="n">
        <v>46399</v>
      </c>
      <c r="F7" s="5">
        <f>IF(E7="","",TEXT(E7,"ddd"))</f>
        <v/>
      </c>
      <c r="G7" s="69" t="inlineStr">
        <is>
          <t>founder</t>
        </is>
      </c>
      <c r="H7" s="69" t="inlineStr">
        <is>
          <t>founding</t>
        </is>
      </c>
      <c r="I7" s="69" t="n">
        <v>5</v>
      </c>
      <c r="J7" s="69" t="n">
        <v>5</v>
      </c>
      <c r="K7" s="69" t="n">
        <v>2</v>
      </c>
      <c r="L7" s="69" t="n">
        <v>0</v>
      </c>
      <c r="M7" s="69" t="n">
        <v>0</v>
      </c>
      <c r="N7" s="69" t="inlineStr">
        <is>
          <t>N</t>
        </is>
      </c>
      <c r="O7" s="69" t="inlineStr">
        <is>
          <t>Stretch option Tue 2026-12-08 only if both brands pay by 2026-11-20. Brands asked to ship by 2026-12-22.</t>
        </is>
      </c>
      <c r="P7" s="5">
        <f>IF(E7="","",IF(OR(WEEKDAY(E7)=Lists!$V$4,WEEKDAY(E7)=Lists!$V$5),"ok","not Tue/Wed"))</f>
        <v/>
      </c>
      <c r="Q7" s="71">
        <f>IF(E7="","",WORKDAY(E7,Inputs!$C$23-1,Lists!$N$4:$N$30))</f>
        <v/>
      </c>
      <c r="R7" s="5">
        <f>IF(E7="","",IF(COUNTIFS(Lists!$Q$4:$Q$12,"&lt;="&amp;Q7,Lists!$R$4:$R$12,"&gt;="&amp;E7)&gt;0,"clash","ok"))</f>
        <v/>
      </c>
      <c r="S7" s="72">
        <f>IF(E7="","",N(K7)*N(I7)*Inputs!$C$53*(1+Inputs!$C$54))</f>
        <v/>
      </c>
      <c r="T7" s="5">
        <f>IF(E7="",IF(N(K7)&gt;0,"date missing",""),IF(AND(P7="ok",R7="ok",N(J7)&lt;=N(I7),N(L7)&lt;=N(K7),N(M7)&lt;=N(L7),OR(N(K7)=0,N(I7)&gt;0),G7&lt;&gt;"",H7&lt;&gt;""),"ok","check"))</f>
        <v/>
      </c>
      <c r="U7" s="5">
        <f>IF(OR(E7="",N(K7)=0),"",SUMIFS($I$7:$I$18,$E$7:$E$18,"&gt;"&amp;E7-Inputs!$C$25,$E$7:$E$18,"&lt;="&amp;E7,$K$7:$K$18,"&gt;0"))</f>
        <v/>
      </c>
      <c r="V7" s="5">
        <f>IF(E7="","",SUMIFS($J$7:$J$18,$E$7:$E$18,"&lt;="&amp;E7))</f>
        <v/>
      </c>
      <c r="W7" s="5">
        <f>IF(U7="","",IF(U7&gt;V7,"some offices get a second drop within four weeks","ok"))</f>
        <v/>
      </c>
      <c r="X7" s="73">
        <f>IF(AND(E7&amp;""=AA7&amp;"",G7&amp;""=AB7&amp;"",H7&amp;""=AC7&amp;"",I7&amp;""=AD7&amp;"",J7&amp;""=AE7&amp;"",K7&amp;""=AF7&amp;"",L7&amp;""=AG7&amp;"",M7&amp;""=AH7&amp;""),"","changed")</f>
        <v/>
      </c>
      <c r="AA7" s="61" t="n">
        <v>46399</v>
      </c>
      <c r="AB7" s="28" t="inlineStr">
        <is>
          <t>founder</t>
        </is>
      </c>
      <c r="AC7" s="28" t="inlineStr">
        <is>
          <t>founding</t>
        </is>
      </c>
      <c r="AD7" s="28" t="n">
        <v>5</v>
      </c>
      <c r="AE7" s="28" t="n">
        <v>5</v>
      </c>
      <c r="AF7" s="28" t="n">
        <v>2</v>
      </c>
      <c r="AG7" s="28" t="n">
        <v>0</v>
      </c>
      <c r="AH7" s="28" t="n">
        <v>0</v>
      </c>
    </row>
    <row r="8" ht="42" customHeight="1">
      <c r="A8" s="69" t="inlineStr">
        <is>
          <t>DRP-002</t>
        </is>
      </c>
      <c r="B8" s="69" t="inlineStr">
        <is>
          <t>Standard run 1</t>
        </is>
      </c>
      <c r="C8" s="69" t="inlineStr">
        <is>
          <t>derived: CONTRACTS s3</t>
        </is>
      </c>
      <c r="D8" s="69" t="n"/>
      <c r="E8" s="70" t="n">
        <v>46427</v>
      </c>
      <c r="F8" s="5">
        <f>IF(E8="","",TEXT(E8,"ddd"))</f>
        <v/>
      </c>
      <c r="G8" s="69" t="inlineStr">
        <is>
          <t>courier</t>
        </is>
      </c>
      <c r="H8" s="69" t="inlineStr">
        <is>
          <t>standard</t>
        </is>
      </c>
      <c r="I8" s="69" t="n">
        <v>10</v>
      </c>
      <c r="J8" s="69" t="n">
        <v>5</v>
      </c>
      <c r="K8" s="69" t="n">
        <v>3</v>
      </c>
      <c r="L8" s="69" t="n">
        <v>0</v>
      </c>
      <c r="M8" s="69" t="n">
        <v>0</v>
      </c>
      <c r="N8" s="69" t="inlineStr">
        <is>
          <t>N</t>
        </is>
      </c>
      <c r="O8" s="69" t="inlineStr">
        <is>
          <t>Campaigns one and two: founder plus courier (plan). Five new offices take the roster from 5 to 10.</t>
        </is>
      </c>
      <c r="P8" s="5">
        <f>IF(E8="","",IF(OR(WEEKDAY(E8)=Lists!$V$4,WEEKDAY(E8)=Lists!$V$5),"ok","not Tue/Wed"))</f>
        <v/>
      </c>
      <c r="Q8" s="71">
        <f>IF(E8="","",WORKDAY(E8,Inputs!$C$23-1,Lists!$N$4:$N$30))</f>
        <v/>
      </c>
      <c r="R8" s="5">
        <f>IF(E8="","",IF(COUNTIFS(Lists!$Q$4:$Q$12,"&lt;="&amp;Q8,Lists!$R$4:$R$12,"&gt;="&amp;E8)&gt;0,"clash","ok"))</f>
        <v/>
      </c>
      <c r="S8" s="72">
        <f>IF(E8="","",N(K8)*N(I8)*Inputs!$C$53*(1+Inputs!$C$54))</f>
        <v/>
      </c>
      <c r="T8" s="5">
        <f>IF(E8="",IF(N(K8)&gt;0,"date missing",""),IF(AND(P8="ok",R8="ok",N(J8)&lt;=N(I8),N(L8)&lt;=N(K8),N(M8)&lt;=N(L8),OR(N(K8)=0,N(I8)&gt;0),G8&lt;&gt;"",H8&lt;&gt;""),"ok","check"))</f>
        <v/>
      </c>
      <c r="U8" s="5">
        <f>IF(OR(E8="",N(K8)=0),"",SUMIFS($I$7:$I$18,$E$7:$E$18,"&gt;"&amp;E8-Inputs!$C$25,$E$7:$E$18,"&lt;="&amp;E8,$K$7:$K$18,"&gt;0"))</f>
        <v/>
      </c>
      <c r="V8" s="5">
        <f>IF(E8="","",SUMIFS($J$7:$J$18,$E$7:$E$18,"&lt;="&amp;E8))</f>
        <v/>
      </c>
      <c r="W8" s="5">
        <f>IF(U8="","",IF(U8&gt;V8,"some offices get a second drop within four weeks","ok"))</f>
        <v/>
      </c>
      <c r="X8" s="73">
        <f>IF(AND(E8&amp;""=AA8&amp;"",G8&amp;""=AB8&amp;"",H8&amp;""=AC8&amp;"",I8&amp;""=AD8&amp;"",J8&amp;""=AE8&amp;"",K8&amp;""=AF8&amp;"",L8&amp;""=AG8&amp;"",M8&amp;""=AH8&amp;""),"","changed")</f>
        <v/>
      </c>
      <c r="AA8" s="61" t="n">
        <v>46427</v>
      </c>
      <c r="AB8" s="28" t="inlineStr">
        <is>
          <t>courier</t>
        </is>
      </c>
      <c r="AC8" s="28" t="inlineStr">
        <is>
          <t>standard</t>
        </is>
      </c>
      <c r="AD8" s="28" t="n">
        <v>10</v>
      </c>
      <c r="AE8" s="28" t="n">
        <v>5</v>
      </c>
      <c r="AF8" s="28" t="n">
        <v>3</v>
      </c>
      <c r="AG8" s="28" t="n">
        <v>0</v>
      </c>
      <c r="AH8" s="28" t="n">
        <v>0</v>
      </c>
    </row>
    <row r="9" ht="42" customHeight="1">
      <c r="A9" s="69" t="inlineStr">
        <is>
          <t>DRP-003</t>
        </is>
      </c>
      <c r="B9" s="69" t="inlineStr">
        <is>
          <t>Standard run 2</t>
        </is>
      </c>
      <c r="C9" s="69" t="inlineStr">
        <is>
          <t>derived: CONTRACTS s3</t>
        </is>
      </c>
      <c r="D9" s="69" t="n"/>
      <c r="E9" s="70" t="n">
        <v>46441</v>
      </c>
      <c r="F9" s="5">
        <f>IF(E9="","",TEXT(E9,"ddd"))</f>
        <v/>
      </c>
      <c r="G9" s="69" t="inlineStr">
        <is>
          <t>courier</t>
        </is>
      </c>
      <c r="H9" s="69" t="inlineStr">
        <is>
          <t>standard</t>
        </is>
      </c>
      <c r="I9" s="69" t="n">
        <v>10</v>
      </c>
      <c r="J9" s="69" t="n">
        <v>2</v>
      </c>
      <c r="K9" s="69" t="n">
        <v>3</v>
      </c>
      <c r="L9" s="69" t="n">
        <v>0</v>
      </c>
      <c r="M9" s="69" t="n">
        <v>0</v>
      </c>
      <c r="N9" s="69" t="inlineStr">
        <is>
          <t>N</t>
        </is>
      </c>
      <c r="O9" s="69" t="inlineStr">
        <is>
          <t>Two new offices reach the six-month goal of 12 active offices. Two weeks after run 1, so most offices get two drops in February.</t>
        </is>
      </c>
      <c r="P9" s="5">
        <f>IF(E9="","",IF(OR(WEEKDAY(E9)=Lists!$V$4,WEEKDAY(E9)=Lists!$V$5),"ok","not Tue/Wed"))</f>
        <v/>
      </c>
      <c r="Q9" s="71">
        <f>IF(E9="","",WORKDAY(E9,Inputs!$C$23-1,Lists!$N$4:$N$30))</f>
        <v/>
      </c>
      <c r="R9" s="5">
        <f>IF(E9="","",IF(COUNTIFS(Lists!$Q$4:$Q$12,"&lt;="&amp;Q9,Lists!$R$4:$R$12,"&gt;="&amp;E9)&gt;0,"clash","ok"))</f>
        <v/>
      </c>
      <c r="S9" s="72">
        <f>IF(E9="","",N(K9)*N(I9)*Inputs!$C$53*(1+Inputs!$C$54))</f>
        <v/>
      </c>
      <c r="T9" s="5">
        <f>IF(E9="",IF(N(K9)&gt;0,"date missing",""),IF(AND(P9="ok",R9="ok",N(J9)&lt;=N(I9),N(L9)&lt;=N(K9),N(M9)&lt;=N(L9),OR(N(K9)=0,N(I9)&gt;0),G9&lt;&gt;"",H9&lt;&gt;""),"ok","check"))</f>
        <v/>
      </c>
      <c r="U9" s="5">
        <f>IF(OR(E9="",N(K9)=0),"",SUMIFS($I$7:$I$18,$E$7:$E$18,"&gt;"&amp;E9-Inputs!$C$25,$E$7:$E$18,"&lt;="&amp;E9,$K$7:$K$18,"&gt;0"))</f>
        <v/>
      </c>
      <c r="V9" s="5">
        <f>IF(E9="","",SUMIFS($J$7:$J$18,$E$7:$E$18,"&lt;="&amp;E9))</f>
        <v/>
      </c>
      <c r="W9" s="5">
        <f>IF(U9="","",IF(U9&gt;V9,"some offices get a second drop within four weeks","ok"))</f>
        <v/>
      </c>
      <c r="X9" s="73">
        <f>IF(AND(E9&amp;""=AA9&amp;"",G9&amp;""=AB9&amp;"",H9&amp;""=AC9&amp;"",I9&amp;""=AD9&amp;"",J9&amp;""=AE9&amp;"",K9&amp;""=AF9&amp;"",L9&amp;""=AG9&amp;"",M9&amp;""=AH9&amp;""),"","changed")</f>
        <v/>
      </c>
      <c r="AA9" s="61" t="n">
        <v>46441</v>
      </c>
      <c r="AB9" s="28" t="inlineStr">
        <is>
          <t>courier</t>
        </is>
      </c>
      <c r="AC9" s="28" t="inlineStr">
        <is>
          <t>standard</t>
        </is>
      </c>
      <c r="AD9" s="28" t="n">
        <v>10</v>
      </c>
      <c r="AE9" s="28" t="n">
        <v>2</v>
      </c>
      <c r="AF9" s="28" t="n">
        <v>3</v>
      </c>
      <c r="AG9" s="28" t="n">
        <v>0</v>
      </c>
      <c r="AH9" s="28" t="n">
        <v>0</v>
      </c>
    </row>
    <row r="10" ht="42" customHeight="1">
      <c r="A10" s="69" t="inlineStr">
        <is>
          <t>DRP-004</t>
        </is>
      </c>
      <c r="B10" s="69" t="inlineStr">
        <is>
          <t>Decision window drop 1</t>
        </is>
      </c>
      <c r="C10" s="69" t="inlineStr">
        <is>
          <t>derived: scenario</t>
        </is>
      </c>
      <c r="D10" s="69" t="n">
        <v>1</v>
      </c>
      <c r="E10" s="70" t="n">
        <v>46469</v>
      </c>
      <c r="F10" s="5">
        <f>IF(E10="","",TEXT(E10,"ddd"))</f>
        <v/>
      </c>
      <c r="G10" s="69" t="inlineStr">
        <is>
          <t>direct-ship</t>
        </is>
      </c>
      <c r="H10" s="69" t="inlineStr">
        <is>
          <t>standard</t>
        </is>
      </c>
      <c r="I10" s="69" t="n">
        <v>10</v>
      </c>
      <c r="J10" s="74">
        <f>IF(K10&gt;0,N(Scenarios!$H$13),0)</f>
        <v/>
      </c>
      <c r="K10" s="74">
        <f>IF(D10&lt;=Scenarios!$H$10,Scenarios!$H$11,0)</f>
        <v/>
      </c>
      <c r="L10" s="74">
        <f>ROUND(Scenarios!$H$12*K10,0)</f>
        <v/>
      </c>
      <c r="M10" s="69" t="n">
        <v>0</v>
      </c>
      <c r="N10" s="69" t="inlineStr">
        <is>
          <t>N</t>
        </is>
      </c>
      <c r="O10" s="69" t="inlineStr">
        <is>
          <t>Campaign three onward: brands ship direct (plan). Brands, renewals and new offices follow the scenario in force.</t>
        </is>
      </c>
      <c r="P10" s="5">
        <f>IF(E10="","",IF(OR(WEEKDAY(E10)=Lists!$V$4,WEEKDAY(E10)=Lists!$V$5),"ok","not Tue/Wed"))</f>
        <v/>
      </c>
      <c r="Q10" s="71">
        <f>IF(E10="","",WORKDAY(E10,Inputs!$C$23-1,Lists!$N$4:$N$30))</f>
        <v/>
      </c>
      <c r="R10" s="5">
        <f>IF(E10="","",IF(COUNTIFS(Lists!$Q$4:$Q$12,"&lt;="&amp;Q10,Lists!$R$4:$R$12,"&gt;="&amp;E10)&gt;0,"clash","ok"))</f>
        <v/>
      </c>
      <c r="S10" s="72">
        <f>IF(E10="","",N(K10)*N(I10)*Inputs!$C$53*(1+Inputs!$C$54))</f>
        <v/>
      </c>
      <c r="T10" s="5">
        <f>IF(E10="",IF(N(K10)&gt;0,"date missing",""),IF(AND(P10="ok",R10="ok",N(J10)&lt;=N(I10),N(L10)&lt;=N(K10),N(M10)&lt;=N(L10),OR(N(K10)=0,N(I10)&gt;0),G10&lt;&gt;"",H10&lt;&gt;""),"ok","check"))</f>
        <v/>
      </c>
      <c r="U10" s="5">
        <f>IF(OR(E10="",N(K10)=0),"",SUMIFS($I$7:$I$18,$E$7:$E$18,"&gt;"&amp;E10-Inputs!$C$25,$E$7:$E$18,"&lt;="&amp;E10,$K$7:$K$18,"&gt;0"))</f>
        <v/>
      </c>
      <c r="V10" s="5">
        <f>IF(E10="","",SUMIFS($J$7:$J$18,$E$7:$E$18,"&lt;="&amp;E10))</f>
        <v/>
      </c>
      <c r="W10" s="5">
        <f>IF(U10="","",IF(U10&gt;V10,"some offices get a second drop within four weeks","ok"))</f>
        <v/>
      </c>
      <c r="X10" s="73">
        <f>IF(AND(E10&amp;""=AA10&amp;"",G10&amp;""=AB10&amp;"",H10&amp;""=AC10&amp;"",I10&amp;""=AD10&amp;"",J10&amp;""=AE10&amp;"",K10&amp;""=AF10&amp;"",L10&amp;""=AG10&amp;"",M10&amp;""=AH10&amp;""),"","changed")</f>
        <v/>
      </c>
      <c r="AA10" s="61" t="n">
        <v>46469</v>
      </c>
      <c r="AB10" s="28" t="inlineStr">
        <is>
          <t>direct-ship</t>
        </is>
      </c>
      <c r="AC10" s="28" t="inlineStr">
        <is>
          <t>standard</t>
        </is>
      </c>
      <c r="AD10" s="28" t="n">
        <v>10</v>
      </c>
      <c r="AE10" s="28">
        <f>IF(K10&gt;0,N(Scenarios!$H$13),0)</f>
        <v/>
      </c>
      <c r="AF10" s="28">
        <f>IF(D10&lt;=Scenarios!$H$10,Scenarios!$H$11,0)</f>
        <v/>
      </c>
      <c r="AG10" s="28">
        <f>ROUND(Scenarios!$H$12*K10,0)</f>
        <v/>
      </c>
      <c r="AH10" s="28" t="n">
        <v>0</v>
      </c>
    </row>
    <row r="11" ht="42" customHeight="1">
      <c r="A11" s="69" t="inlineStr">
        <is>
          <t>DRP-005</t>
        </is>
      </c>
      <c r="B11" s="69" t="inlineStr">
        <is>
          <t>Decision window drop 2</t>
        </is>
      </c>
      <c r="C11" s="69" t="inlineStr">
        <is>
          <t>derived: scenario</t>
        </is>
      </c>
      <c r="D11" s="69" t="n">
        <v>2</v>
      </c>
      <c r="E11" s="70" t="n">
        <v>46483</v>
      </c>
      <c r="F11" s="5">
        <f>IF(E11="","",TEXT(E11,"ddd"))</f>
        <v/>
      </c>
      <c r="G11" s="69" t="inlineStr">
        <is>
          <t>direct-ship</t>
        </is>
      </c>
      <c r="H11" s="69" t="inlineStr">
        <is>
          <t>standard</t>
        </is>
      </c>
      <c r="I11" s="69" t="n">
        <v>10</v>
      </c>
      <c r="J11" s="74">
        <f>IF(K11&gt;0,N(Scenarios!$H$13),0)</f>
        <v/>
      </c>
      <c r="K11" s="74">
        <f>IF(D11&lt;=Scenarios!$H$10,Scenarios!$H$11,0)</f>
        <v/>
      </c>
      <c r="L11" s="74">
        <f>ROUND(Scenarios!$H$12*K11,0)</f>
        <v/>
      </c>
      <c r="M11" s="69" t="n">
        <v>0</v>
      </c>
      <c r="N11" s="69" t="inlineStr">
        <is>
          <t>N</t>
        </is>
      </c>
      <c r="O11" s="69" t="inlineStr">
        <is>
          <t>Second extra drop before the decision (scenario B's 'two more drops'; two drops a month in the base).</t>
        </is>
      </c>
      <c r="P11" s="5">
        <f>IF(E11="","",IF(OR(WEEKDAY(E11)=Lists!$V$4,WEEKDAY(E11)=Lists!$V$5),"ok","not Tue/Wed"))</f>
        <v/>
      </c>
      <c r="Q11" s="71">
        <f>IF(E11="","",WORKDAY(E11,Inputs!$C$23-1,Lists!$N$4:$N$30))</f>
        <v/>
      </c>
      <c r="R11" s="5">
        <f>IF(E11="","",IF(COUNTIFS(Lists!$Q$4:$Q$12,"&lt;="&amp;Q11,Lists!$R$4:$R$12,"&gt;="&amp;E11)&gt;0,"clash","ok"))</f>
        <v/>
      </c>
      <c r="S11" s="72">
        <f>IF(E11="","",N(K11)*N(I11)*Inputs!$C$53*(1+Inputs!$C$54))</f>
        <v/>
      </c>
      <c r="T11" s="5">
        <f>IF(E11="",IF(N(K11)&gt;0,"date missing",""),IF(AND(P11="ok",R11="ok",N(J11)&lt;=N(I11),N(L11)&lt;=N(K11),N(M11)&lt;=N(L11),OR(N(K11)=0,N(I11)&gt;0),G11&lt;&gt;"",H11&lt;&gt;""),"ok","check"))</f>
        <v/>
      </c>
      <c r="U11" s="5">
        <f>IF(OR(E11="",N(K11)=0),"",SUMIFS($I$7:$I$18,$E$7:$E$18,"&gt;"&amp;E11-Inputs!$C$25,$E$7:$E$18,"&lt;="&amp;E11,$K$7:$K$18,"&gt;0"))</f>
        <v/>
      </c>
      <c r="V11" s="5">
        <f>IF(E11="","",SUMIFS($J$7:$J$18,$E$7:$E$18,"&lt;="&amp;E11))</f>
        <v/>
      </c>
      <c r="W11" s="5">
        <f>IF(U11="","",IF(U11&gt;V11,"some offices get a second drop within four weeks","ok"))</f>
        <v/>
      </c>
      <c r="X11" s="73">
        <f>IF(AND(E11&amp;""=AA11&amp;"",G11&amp;""=AB11&amp;"",H11&amp;""=AC11&amp;"",I11&amp;""=AD11&amp;"",J11&amp;""=AE11&amp;"",K11&amp;""=AF11&amp;"",L11&amp;""=AG11&amp;"",M11&amp;""=AH11&amp;""),"","changed")</f>
        <v/>
      </c>
      <c r="AA11" s="61" t="n">
        <v>46483</v>
      </c>
      <c r="AB11" s="28" t="inlineStr">
        <is>
          <t>direct-ship</t>
        </is>
      </c>
      <c r="AC11" s="28" t="inlineStr">
        <is>
          <t>standard</t>
        </is>
      </c>
      <c r="AD11" s="28" t="n">
        <v>10</v>
      </c>
      <c r="AE11" s="28">
        <f>IF(K11&gt;0,N(Scenarios!$H$13),0)</f>
        <v/>
      </c>
      <c r="AF11" s="28">
        <f>IF(D11&lt;=Scenarios!$H$10,Scenarios!$H$11,0)</f>
        <v/>
      </c>
      <c r="AG11" s="28">
        <f>ROUND(Scenarios!$H$12*K11,0)</f>
        <v/>
      </c>
      <c r="AH11" s="28" t="n">
        <v>0</v>
      </c>
    </row>
    <row r="12" ht="42" customHeight="1">
      <c r="A12" s="69" t="inlineStr">
        <is>
          <t>DRP-006</t>
        </is>
      </c>
      <c r="B12" s="69" t="n"/>
      <c r="C12" s="69" t="inlineStr">
        <is>
          <t>founder entry</t>
        </is>
      </c>
      <c r="D12" s="69" t="n"/>
      <c r="E12" s="70" t="n"/>
      <c r="F12" s="5">
        <f>IF(E12="","",TEXT(E12,"ddd"))</f>
        <v/>
      </c>
      <c r="G12" s="69" t="n"/>
      <c r="H12" s="69" t="n"/>
      <c r="I12" s="69" t="n"/>
      <c r="J12" s="69" t="n"/>
      <c r="K12" s="69" t="n"/>
      <c r="L12" s="69" t="n"/>
      <c r="M12" s="69" t="n"/>
      <c r="N12" s="69" t="inlineStr">
        <is>
          <t>N</t>
        </is>
      </c>
      <c r="O12" s="69" t="n"/>
      <c r="P12" s="5">
        <f>IF(E12="","",IF(OR(WEEKDAY(E12)=Lists!$V$4,WEEKDAY(E12)=Lists!$V$5),"ok","not Tue/Wed"))</f>
        <v/>
      </c>
      <c r="Q12" s="71">
        <f>IF(E12="","",WORKDAY(E12,Inputs!$C$23-1,Lists!$N$4:$N$30))</f>
        <v/>
      </c>
      <c r="R12" s="5">
        <f>IF(E12="","",IF(COUNTIFS(Lists!$Q$4:$Q$12,"&lt;="&amp;Q12,Lists!$R$4:$R$12,"&gt;="&amp;E12)&gt;0,"clash","ok"))</f>
        <v/>
      </c>
      <c r="S12" s="72">
        <f>IF(E12="","",N(K12)*N(I12)*Inputs!$C$53*(1+Inputs!$C$54))</f>
        <v/>
      </c>
      <c r="T12" s="5">
        <f>IF(E12="",IF(N(K12)&gt;0,"date missing",""),IF(AND(P12="ok",R12="ok",N(J12)&lt;=N(I12),N(L12)&lt;=N(K12),N(M12)&lt;=N(L12),OR(N(K12)=0,N(I12)&gt;0),G12&lt;&gt;"",H12&lt;&gt;""),"ok","check"))</f>
        <v/>
      </c>
      <c r="U12" s="5">
        <f>IF(OR(E12="",N(K12)=0),"",SUMIFS($I$7:$I$18,$E$7:$E$18,"&gt;"&amp;E12-Inputs!$C$25,$E$7:$E$18,"&lt;="&amp;E12,$K$7:$K$18,"&gt;0"))</f>
        <v/>
      </c>
      <c r="V12" s="5">
        <f>IF(E12="","",SUMIFS($J$7:$J$18,$E$7:$E$18,"&lt;="&amp;E12))</f>
        <v/>
      </c>
      <c r="W12" s="5">
        <f>IF(U12="","",IF(U12&gt;V12,"some offices get a second drop within four weeks","ok"))</f>
        <v/>
      </c>
      <c r="X12" s="73">
        <f>IF(AND(E12&amp;""=AA12&amp;"",G12&amp;""=AB12&amp;"",H12&amp;""=AC12&amp;"",I12&amp;""=AD12&amp;"",J12&amp;""=AE12&amp;"",K12&amp;""=AF12&amp;"",L12&amp;""=AG12&amp;"",M12&amp;""=AH12&amp;""),"","changed")</f>
        <v/>
      </c>
      <c r="AA12" s="61" t="n"/>
      <c r="AB12" s="28" t="n"/>
      <c r="AC12" s="28" t="n"/>
      <c r="AD12" s="28" t="n"/>
      <c r="AE12" s="28" t="n"/>
      <c r="AF12" s="28" t="n"/>
      <c r="AG12" s="28" t="n"/>
      <c r="AH12" s="28" t="n"/>
    </row>
    <row r="13" ht="42" customHeight="1">
      <c r="A13" s="69" t="inlineStr">
        <is>
          <t>DRP-007</t>
        </is>
      </c>
      <c r="B13" s="69" t="n"/>
      <c r="C13" s="69" t="inlineStr">
        <is>
          <t>founder entry</t>
        </is>
      </c>
      <c r="D13" s="69" t="n"/>
      <c r="E13" s="70" t="n"/>
      <c r="F13" s="5">
        <f>IF(E13="","",TEXT(E13,"ddd"))</f>
        <v/>
      </c>
      <c r="G13" s="69" t="n"/>
      <c r="H13" s="69" t="n"/>
      <c r="I13" s="69" t="n"/>
      <c r="J13" s="69" t="n"/>
      <c r="K13" s="69" t="n"/>
      <c r="L13" s="69" t="n"/>
      <c r="M13" s="69" t="n"/>
      <c r="N13" s="69" t="inlineStr">
        <is>
          <t>N</t>
        </is>
      </c>
      <c r="O13" s="69" t="n"/>
      <c r="P13" s="5">
        <f>IF(E13="","",IF(OR(WEEKDAY(E13)=Lists!$V$4,WEEKDAY(E13)=Lists!$V$5),"ok","not Tue/Wed"))</f>
        <v/>
      </c>
      <c r="Q13" s="71">
        <f>IF(E13="","",WORKDAY(E13,Inputs!$C$23-1,Lists!$N$4:$N$30))</f>
        <v/>
      </c>
      <c r="R13" s="5">
        <f>IF(E13="","",IF(COUNTIFS(Lists!$Q$4:$Q$12,"&lt;="&amp;Q13,Lists!$R$4:$R$12,"&gt;="&amp;E13)&gt;0,"clash","ok"))</f>
        <v/>
      </c>
      <c r="S13" s="72">
        <f>IF(E13="","",N(K13)*N(I13)*Inputs!$C$53*(1+Inputs!$C$54))</f>
        <v/>
      </c>
      <c r="T13" s="5">
        <f>IF(E13="",IF(N(K13)&gt;0,"date missing",""),IF(AND(P13="ok",R13="ok",N(J13)&lt;=N(I13),N(L13)&lt;=N(K13),N(M13)&lt;=N(L13),OR(N(K13)=0,N(I13)&gt;0),G13&lt;&gt;"",H13&lt;&gt;""),"ok","check"))</f>
        <v/>
      </c>
      <c r="U13" s="5">
        <f>IF(OR(E13="",N(K13)=0),"",SUMIFS($I$7:$I$18,$E$7:$E$18,"&gt;"&amp;E13-Inputs!$C$25,$E$7:$E$18,"&lt;="&amp;E13,$K$7:$K$18,"&gt;0"))</f>
        <v/>
      </c>
      <c r="V13" s="5">
        <f>IF(E13="","",SUMIFS($J$7:$J$18,$E$7:$E$18,"&lt;="&amp;E13))</f>
        <v/>
      </c>
      <c r="W13" s="5">
        <f>IF(U13="","",IF(U13&gt;V13,"some offices get a second drop within four weeks","ok"))</f>
        <v/>
      </c>
      <c r="X13" s="73">
        <f>IF(AND(E13&amp;""=AA13&amp;"",G13&amp;""=AB13&amp;"",H13&amp;""=AC13&amp;"",I13&amp;""=AD13&amp;"",J13&amp;""=AE13&amp;"",K13&amp;""=AF13&amp;"",L13&amp;""=AG13&amp;"",M13&amp;""=AH13&amp;""),"","changed")</f>
        <v/>
      </c>
      <c r="AA13" s="61" t="n"/>
      <c r="AB13" s="28" t="n"/>
      <c r="AC13" s="28" t="n"/>
      <c r="AD13" s="28" t="n"/>
      <c r="AE13" s="28" t="n"/>
      <c r="AF13" s="28" t="n"/>
      <c r="AG13" s="28" t="n"/>
      <c r="AH13" s="28" t="n"/>
    </row>
    <row r="14" ht="42" customHeight="1">
      <c r="A14" s="69" t="inlineStr">
        <is>
          <t>DRP-008</t>
        </is>
      </c>
      <c r="B14" s="69" t="n"/>
      <c r="C14" s="69" t="inlineStr">
        <is>
          <t>founder entry</t>
        </is>
      </c>
      <c r="D14" s="69" t="n"/>
      <c r="E14" s="70" t="n"/>
      <c r="F14" s="5">
        <f>IF(E14="","",TEXT(E14,"ddd"))</f>
        <v/>
      </c>
      <c r="G14" s="69" t="n"/>
      <c r="H14" s="69" t="n"/>
      <c r="I14" s="69" t="n"/>
      <c r="J14" s="69" t="n"/>
      <c r="K14" s="69" t="n"/>
      <c r="L14" s="69" t="n"/>
      <c r="M14" s="69" t="n"/>
      <c r="N14" s="69" t="inlineStr">
        <is>
          <t>N</t>
        </is>
      </c>
      <c r="O14" s="69" t="n"/>
      <c r="P14" s="5">
        <f>IF(E14="","",IF(OR(WEEKDAY(E14)=Lists!$V$4,WEEKDAY(E14)=Lists!$V$5),"ok","not Tue/Wed"))</f>
        <v/>
      </c>
      <c r="Q14" s="71">
        <f>IF(E14="","",WORKDAY(E14,Inputs!$C$23-1,Lists!$N$4:$N$30))</f>
        <v/>
      </c>
      <c r="R14" s="5">
        <f>IF(E14="","",IF(COUNTIFS(Lists!$Q$4:$Q$12,"&lt;="&amp;Q14,Lists!$R$4:$R$12,"&gt;="&amp;E14)&gt;0,"clash","ok"))</f>
        <v/>
      </c>
      <c r="S14" s="72">
        <f>IF(E14="","",N(K14)*N(I14)*Inputs!$C$53*(1+Inputs!$C$54))</f>
        <v/>
      </c>
      <c r="T14" s="5">
        <f>IF(E14="",IF(N(K14)&gt;0,"date missing",""),IF(AND(P14="ok",R14="ok",N(J14)&lt;=N(I14),N(L14)&lt;=N(K14),N(M14)&lt;=N(L14),OR(N(K14)=0,N(I14)&gt;0),G14&lt;&gt;"",H14&lt;&gt;""),"ok","check"))</f>
        <v/>
      </c>
      <c r="U14" s="5">
        <f>IF(OR(E14="",N(K14)=0),"",SUMIFS($I$7:$I$18,$E$7:$E$18,"&gt;"&amp;E14-Inputs!$C$25,$E$7:$E$18,"&lt;="&amp;E14,$K$7:$K$18,"&gt;0"))</f>
        <v/>
      </c>
      <c r="V14" s="5">
        <f>IF(E14="","",SUMIFS($J$7:$J$18,$E$7:$E$18,"&lt;="&amp;E14))</f>
        <v/>
      </c>
      <c r="W14" s="5">
        <f>IF(U14="","",IF(U14&gt;V14,"some offices get a second drop within four weeks","ok"))</f>
        <v/>
      </c>
      <c r="X14" s="73">
        <f>IF(AND(E14&amp;""=AA14&amp;"",G14&amp;""=AB14&amp;"",H14&amp;""=AC14&amp;"",I14&amp;""=AD14&amp;"",J14&amp;""=AE14&amp;"",K14&amp;""=AF14&amp;"",L14&amp;""=AG14&amp;"",M14&amp;""=AH14&amp;""),"","changed")</f>
        <v/>
      </c>
      <c r="AA14" s="61" t="n"/>
      <c r="AB14" s="28" t="n"/>
      <c r="AC14" s="28" t="n"/>
      <c r="AD14" s="28" t="n"/>
      <c r="AE14" s="28" t="n"/>
      <c r="AF14" s="28" t="n"/>
      <c r="AG14" s="28" t="n"/>
      <c r="AH14" s="28" t="n"/>
    </row>
    <row r="15" ht="42" customHeight="1">
      <c r="A15" s="69" t="inlineStr">
        <is>
          <t>DRP-009</t>
        </is>
      </c>
      <c r="B15" s="69" t="n"/>
      <c r="C15" s="69" t="inlineStr">
        <is>
          <t>founder entry</t>
        </is>
      </c>
      <c r="D15" s="69" t="n"/>
      <c r="E15" s="70" t="n"/>
      <c r="F15" s="5">
        <f>IF(E15="","",TEXT(E15,"ddd"))</f>
        <v/>
      </c>
      <c r="G15" s="69" t="n"/>
      <c r="H15" s="69" t="n"/>
      <c r="I15" s="69" t="n"/>
      <c r="J15" s="69" t="n"/>
      <c r="K15" s="69" t="n"/>
      <c r="L15" s="69" t="n"/>
      <c r="M15" s="69" t="n"/>
      <c r="N15" s="69" t="inlineStr">
        <is>
          <t>N</t>
        </is>
      </c>
      <c r="O15" s="69" t="n"/>
      <c r="P15" s="5">
        <f>IF(E15="","",IF(OR(WEEKDAY(E15)=Lists!$V$4,WEEKDAY(E15)=Lists!$V$5),"ok","not Tue/Wed"))</f>
        <v/>
      </c>
      <c r="Q15" s="71">
        <f>IF(E15="","",WORKDAY(E15,Inputs!$C$23-1,Lists!$N$4:$N$30))</f>
        <v/>
      </c>
      <c r="R15" s="5">
        <f>IF(E15="","",IF(COUNTIFS(Lists!$Q$4:$Q$12,"&lt;="&amp;Q15,Lists!$R$4:$R$12,"&gt;="&amp;E15)&gt;0,"clash","ok"))</f>
        <v/>
      </c>
      <c r="S15" s="72">
        <f>IF(E15="","",N(K15)*N(I15)*Inputs!$C$53*(1+Inputs!$C$54))</f>
        <v/>
      </c>
      <c r="T15" s="5">
        <f>IF(E15="",IF(N(K15)&gt;0,"date missing",""),IF(AND(P15="ok",R15="ok",N(J15)&lt;=N(I15),N(L15)&lt;=N(K15),N(M15)&lt;=N(L15),OR(N(K15)=0,N(I15)&gt;0),G15&lt;&gt;"",H15&lt;&gt;""),"ok","check"))</f>
        <v/>
      </c>
      <c r="U15" s="5">
        <f>IF(OR(E15="",N(K15)=0),"",SUMIFS($I$7:$I$18,$E$7:$E$18,"&gt;"&amp;E15-Inputs!$C$25,$E$7:$E$18,"&lt;="&amp;E15,$K$7:$K$18,"&gt;0"))</f>
        <v/>
      </c>
      <c r="V15" s="5">
        <f>IF(E15="","",SUMIFS($J$7:$J$18,$E$7:$E$18,"&lt;="&amp;E15))</f>
        <v/>
      </c>
      <c r="W15" s="5">
        <f>IF(U15="","",IF(U15&gt;V15,"some offices get a second drop within four weeks","ok"))</f>
        <v/>
      </c>
      <c r="X15" s="73">
        <f>IF(AND(E15&amp;""=AA15&amp;"",G15&amp;""=AB15&amp;"",H15&amp;""=AC15&amp;"",I15&amp;""=AD15&amp;"",J15&amp;""=AE15&amp;"",K15&amp;""=AF15&amp;"",L15&amp;""=AG15&amp;"",M15&amp;""=AH15&amp;""),"","changed")</f>
        <v/>
      </c>
      <c r="AA15" s="61" t="n"/>
      <c r="AB15" s="28" t="n"/>
      <c r="AC15" s="28" t="n"/>
      <c r="AD15" s="28" t="n"/>
      <c r="AE15" s="28" t="n"/>
      <c r="AF15" s="28" t="n"/>
      <c r="AG15" s="28" t="n"/>
      <c r="AH15" s="28" t="n"/>
    </row>
    <row r="16" ht="42" customHeight="1">
      <c r="A16" s="69" t="inlineStr">
        <is>
          <t>DRP-010</t>
        </is>
      </c>
      <c r="B16" s="69" t="n"/>
      <c r="C16" s="69" t="inlineStr">
        <is>
          <t>founder entry</t>
        </is>
      </c>
      <c r="D16" s="69" t="n"/>
      <c r="E16" s="70" t="n"/>
      <c r="F16" s="5">
        <f>IF(E16="","",TEXT(E16,"ddd"))</f>
        <v/>
      </c>
      <c r="G16" s="69" t="n"/>
      <c r="H16" s="69" t="n"/>
      <c r="I16" s="69" t="n"/>
      <c r="J16" s="69" t="n"/>
      <c r="K16" s="69" t="n"/>
      <c r="L16" s="69" t="n"/>
      <c r="M16" s="69" t="n"/>
      <c r="N16" s="69" t="inlineStr">
        <is>
          <t>N</t>
        </is>
      </c>
      <c r="O16" s="69" t="n"/>
      <c r="P16" s="5">
        <f>IF(E16="","",IF(OR(WEEKDAY(E16)=Lists!$V$4,WEEKDAY(E16)=Lists!$V$5),"ok","not Tue/Wed"))</f>
        <v/>
      </c>
      <c r="Q16" s="71">
        <f>IF(E16="","",WORKDAY(E16,Inputs!$C$23-1,Lists!$N$4:$N$30))</f>
        <v/>
      </c>
      <c r="R16" s="5">
        <f>IF(E16="","",IF(COUNTIFS(Lists!$Q$4:$Q$12,"&lt;="&amp;Q16,Lists!$R$4:$R$12,"&gt;="&amp;E16)&gt;0,"clash","ok"))</f>
        <v/>
      </c>
      <c r="S16" s="72">
        <f>IF(E16="","",N(K16)*N(I16)*Inputs!$C$53*(1+Inputs!$C$54))</f>
        <v/>
      </c>
      <c r="T16" s="5">
        <f>IF(E16="",IF(N(K16)&gt;0,"date missing",""),IF(AND(P16="ok",R16="ok",N(J16)&lt;=N(I16),N(L16)&lt;=N(K16),N(M16)&lt;=N(L16),OR(N(K16)=0,N(I16)&gt;0),G16&lt;&gt;"",H16&lt;&gt;""),"ok","check"))</f>
        <v/>
      </c>
      <c r="U16" s="5">
        <f>IF(OR(E16="",N(K16)=0),"",SUMIFS($I$7:$I$18,$E$7:$E$18,"&gt;"&amp;E16-Inputs!$C$25,$E$7:$E$18,"&lt;="&amp;E16,$K$7:$K$18,"&gt;0"))</f>
        <v/>
      </c>
      <c r="V16" s="5">
        <f>IF(E16="","",SUMIFS($J$7:$J$18,$E$7:$E$18,"&lt;="&amp;E16))</f>
        <v/>
      </c>
      <c r="W16" s="5">
        <f>IF(U16="","",IF(U16&gt;V16,"some offices get a second drop within four weeks","ok"))</f>
        <v/>
      </c>
      <c r="X16" s="73">
        <f>IF(AND(E16&amp;""=AA16&amp;"",G16&amp;""=AB16&amp;"",H16&amp;""=AC16&amp;"",I16&amp;""=AD16&amp;"",J16&amp;""=AE16&amp;"",K16&amp;""=AF16&amp;"",L16&amp;""=AG16&amp;"",M16&amp;""=AH16&amp;""),"","changed")</f>
        <v/>
      </c>
      <c r="AA16" s="61" t="n"/>
      <c r="AB16" s="28" t="n"/>
      <c r="AC16" s="28" t="n"/>
      <c r="AD16" s="28" t="n"/>
      <c r="AE16" s="28" t="n"/>
      <c r="AF16" s="28" t="n"/>
      <c r="AG16" s="28" t="n"/>
      <c r="AH16" s="28" t="n"/>
    </row>
    <row r="17" ht="42" customHeight="1">
      <c r="A17" s="69" t="inlineStr">
        <is>
          <t>DRP-011</t>
        </is>
      </c>
      <c r="B17" s="69" t="n"/>
      <c r="C17" s="69" t="inlineStr">
        <is>
          <t>founder entry</t>
        </is>
      </c>
      <c r="D17" s="69" t="n"/>
      <c r="E17" s="70" t="n"/>
      <c r="F17" s="5">
        <f>IF(E17="","",TEXT(E17,"ddd"))</f>
        <v/>
      </c>
      <c r="G17" s="69" t="n"/>
      <c r="H17" s="69" t="n"/>
      <c r="I17" s="69" t="n"/>
      <c r="J17" s="69" t="n"/>
      <c r="K17" s="69" t="n"/>
      <c r="L17" s="69" t="n"/>
      <c r="M17" s="69" t="n"/>
      <c r="N17" s="69" t="inlineStr">
        <is>
          <t>N</t>
        </is>
      </c>
      <c r="O17" s="69" t="n"/>
      <c r="P17" s="5">
        <f>IF(E17="","",IF(OR(WEEKDAY(E17)=Lists!$V$4,WEEKDAY(E17)=Lists!$V$5),"ok","not Tue/Wed"))</f>
        <v/>
      </c>
      <c r="Q17" s="71">
        <f>IF(E17="","",WORKDAY(E17,Inputs!$C$23-1,Lists!$N$4:$N$30))</f>
        <v/>
      </c>
      <c r="R17" s="5">
        <f>IF(E17="","",IF(COUNTIFS(Lists!$Q$4:$Q$12,"&lt;="&amp;Q17,Lists!$R$4:$R$12,"&gt;="&amp;E17)&gt;0,"clash","ok"))</f>
        <v/>
      </c>
      <c r="S17" s="72">
        <f>IF(E17="","",N(K17)*N(I17)*Inputs!$C$53*(1+Inputs!$C$54))</f>
        <v/>
      </c>
      <c r="T17" s="5">
        <f>IF(E17="",IF(N(K17)&gt;0,"date missing",""),IF(AND(P17="ok",R17="ok",N(J17)&lt;=N(I17),N(L17)&lt;=N(K17),N(M17)&lt;=N(L17),OR(N(K17)=0,N(I17)&gt;0),G17&lt;&gt;"",H17&lt;&gt;""),"ok","check"))</f>
        <v/>
      </c>
      <c r="U17" s="5">
        <f>IF(OR(E17="",N(K17)=0),"",SUMIFS($I$7:$I$18,$E$7:$E$18,"&gt;"&amp;E17-Inputs!$C$25,$E$7:$E$18,"&lt;="&amp;E17,$K$7:$K$18,"&gt;0"))</f>
        <v/>
      </c>
      <c r="V17" s="5">
        <f>IF(E17="","",SUMIFS($J$7:$J$18,$E$7:$E$18,"&lt;="&amp;E17))</f>
        <v/>
      </c>
      <c r="W17" s="5">
        <f>IF(U17="","",IF(U17&gt;V17,"some offices get a second drop within four weeks","ok"))</f>
        <v/>
      </c>
      <c r="X17" s="73">
        <f>IF(AND(E17&amp;""=AA17&amp;"",G17&amp;""=AB17&amp;"",H17&amp;""=AC17&amp;"",I17&amp;""=AD17&amp;"",J17&amp;""=AE17&amp;"",K17&amp;""=AF17&amp;"",L17&amp;""=AG17&amp;"",M17&amp;""=AH17&amp;""),"","changed")</f>
        <v/>
      </c>
      <c r="AA17" s="61" t="n"/>
      <c r="AB17" s="28" t="n"/>
      <c r="AC17" s="28" t="n"/>
      <c r="AD17" s="28" t="n"/>
      <c r="AE17" s="28" t="n"/>
      <c r="AF17" s="28" t="n"/>
      <c r="AG17" s="28" t="n"/>
      <c r="AH17" s="28" t="n"/>
    </row>
    <row r="18" ht="42" customHeight="1">
      <c r="A18" s="69" t="inlineStr">
        <is>
          <t>DRP-012</t>
        </is>
      </c>
      <c r="B18" s="69" t="n"/>
      <c r="C18" s="69" t="inlineStr">
        <is>
          <t>founder entry</t>
        </is>
      </c>
      <c r="D18" s="69" t="n"/>
      <c r="E18" s="70" t="n"/>
      <c r="F18" s="5">
        <f>IF(E18="","",TEXT(E18,"ddd"))</f>
        <v/>
      </c>
      <c r="G18" s="69" t="n"/>
      <c r="H18" s="69" t="n"/>
      <c r="I18" s="69" t="n"/>
      <c r="J18" s="69" t="n"/>
      <c r="K18" s="69" t="n"/>
      <c r="L18" s="69" t="n"/>
      <c r="M18" s="69" t="n"/>
      <c r="N18" s="69" t="inlineStr">
        <is>
          <t>N</t>
        </is>
      </c>
      <c r="O18" s="69" t="n"/>
      <c r="P18" s="5">
        <f>IF(E18="","",IF(OR(WEEKDAY(E18)=Lists!$V$4,WEEKDAY(E18)=Lists!$V$5),"ok","not Tue/Wed"))</f>
        <v/>
      </c>
      <c r="Q18" s="71">
        <f>IF(E18="","",WORKDAY(E18,Inputs!$C$23-1,Lists!$N$4:$N$30))</f>
        <v/>
      </c>
      <c r="R18" s="5">
        <f>IF(E18="","",IF(COUNTIFS(Lists!$Q$4:$Q$12,"&lt;="&amp;Q18,Lists!$R$4:$R$12,"&gt;="&amp;E18)&gt;0,"clash","ok"))</f>
        <v/>
      </c>
      <c r="S18" s="72">
        <f>IF(E18="","",N(K18)*N(I18)*Inputs!$C$53*(1+Inputs!$C$54))</f>
        <v/>
      </c>
      <c r="T18" s="5">
        <f>IF(E18="",IF(N(K18)&gt;0,"date missing",""),IF(AND(P18="ok",R18="ok",N(J18)&lt;=N(I18),N(L18)&lt;=N(K18),N(M18)&lt;=N(L18),OR(N(K18)=0,N(I18)&gt;0),G18&lt;&gt;"",H18&lt;&gt;""),"ok","check"))</f>
        <v/>
      </c>
      <c r="U18" s="5">
        <f>IF(OR(E18="",N(K18)=0),"",SUMIFS($I$7:$I$18,$E$7:$E$18,"&gt;"&amp;E18-Inputs!$C$25,$E$7:$E$18,"&lt;="&amp;E18,$K$7:$K$18,"&gt;0"))</f>
        <v/>
      </c>
      <c r="V18" s="5">
        <f>IF(E18="","",SUMIFS($J$7:$J$18,$E$7:$E$18,"&lt;="&amp;E18))</f>
        <v/>
      </c>
      <c r="W18" s="5">
        <f>IF(U18="","",IF(U18&gt;V18,"some offices get a second drop within four weeks","ok"))</f>
        <v/>
      </c>
      <c r="X18" s="73">
        <f>IF(AND(E18&amp;""=AA18&amp;"",G18&amp;""=AB18&amp;"",H18&amp;""=AC18&amp;"",I18&amp;""=AD18&amp;"",J18&amp;""=AE18&amp;"",K18&amp;""=AF18&amp;"",L18&amp;""=AG18&amp;"",M18&amp;""=AH18&amp;""),"","changed")</f>
        <v/>
      </c>
      <c r="AA18" s="61" t="n"/>
      <c r="AB18" s="28" t="n"/>
      <c r="AC18" s="28" t="n"/>
      <c r="AD18" s="28" t="n"/>
      <c r="AE18" s="28" t="n"/>
      <c r="AF18" s="28" t="n"/>
      <c r="AG18" s="28" t="n"/>
      <c r="AH18" s="28" t="n"/>
    </row>
    <row r="19">
      <c r="B19" s="8" t="inlineStr">
        <is>
          <t>Totals</t>
        </is>
      </c>
      <c r="I19" s="8">
        <f>SUM(I7:I18)</f>
        <v/>
      </c>
      <c r="J19" s="8">
        <f>SUM(J7:J18)</f>
        <v/>
      </c>
      <c r="K19" s="8">
        <f>SUM(K7:K18)</f>
        <v/>
      </c>
      <c r="L19" s="8">
        <f>SUM(L7:L18)</f>
        <v/>
      </c>
      <c r="M19" s="8">
        <f>SUM(M7:M18)</f>
        <v/>
      </c>
      <c r="S19" s="23">
        <f>SUM(S7:S18)</f>
        <v/>
      </c>
    </row>
    <row r="21" ht="45" customHeight="1">
      <c r="B21" s="5" t="inlineStr">
        <is>
          <t>Offices column counts every office on the drop; New offices counts the ones visiting for the first time (4 hours each instead of 1). Brands counts brand campaigns on the drop; renewals are part of that count (2 hours each instead of 6 or 10). Tier sets the price of the new brands; founding-rate renewals pay the founding rate per office.</t>
        </is>
      </c>
    </row>
  </sheetData>
  <mergeCells count="2">
    <mergeCell ref="A3:T3"/>
    <mergeCell ref="B21:O21"/>
  </mergeCells>
  <conditionalFormatting sqref="P7:P18">
    <cfRule type="cellIs" priority="1" operator="equal" dxfId="0">
      <formula>"ok"</formula>
    </cfRule>
    <cfRule type="cellIs" priority="2" operator="equal" dxfId="6">
      <formula>"not Tue/Wed"</formula>
    </cfRule>
  </conditionalFormatting>
  <conditionalFormatting sqref="R7:R18">
    <cfRule type="cellIs" priority="3" operator="equal" dxfId="0">
      <formula>"ok"</formula>
    </cfRule>
    <cfRule type="cellIs" priority="4" operator="equal" dxfId="6">
      <formula>"clash"</formula>
    </cfRule>
  </conditionalFormatting>
  <conditionalFormatting sqref="T7:T18">
    <cfRule type="cellIs" priority="5" operator="equal" dxfId="0">
      <formula>"ok"</formula>
    </cfRule>
    <cfRule type="cellIs" priority="6" operator="equal" dxfId="6">
      <formula>"check"</formula>
    </cfRule>
    <cfRule type="cellIs" priority="7" operator="equal" dxfId="6">
      <formula>"date missing"</formula>
    </cfRule>
  </conditionalFormatting>
  <conditionalFormatting sqref="W7:W18">
    <cfRule type="cellIs" priority="8" operator="equal" dxfId="0">
      <formula>"ok"</formula>
    </cfRule>
    <cfRule type="expression" priority="9" dxfId="5">
      <formula>LEFT(W7,LEN("some"))="some"</formula>
    </cfRule>
  </conditionalFormatting>
  <dataValidations count="3">
    <dataValidation sqref="G7:G18" showDropDown="0" showInputMessage="0" showErrorMessage="0" allowBlank="1" errorTitle="Not in the list" error="Pick a value from the list." type="list">
      <formula1>=Lists!$A$4:$A$6</formula1>
    </dataValidation>
    <dataValidation sqref="H7:H18" showDropDown="0" showInputMessage="0" showErrorMessage="0" allowBlank="1" errorTitle="Not in the list" error="Pick a value from the list." type="list">
      <formula1>=Lists!$B$4:$B$5</formula1>
    </dataValidation>
    <dataValidation sqref="N7:N18"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40"/>
  <sheetViews>
    <sheetView zoomScale="90" workbookViewId="0">
      <selection activeCell="A1" sqref="A1"/>
    </sheetView>
  </sheetViews>
  <sheetFormatPr baseColWidth="8" defaultRowHeight="15"/>
  <cols>
    <col width="3" customWidth="1" min="1" max="1"/>
    <col width="44" customWidth="1" min="2" max="2"/>
    <col width="14" customWidth="1" min="3" max="3"/>
    <col width="3" customWidth="1" min="4" max="4"/>
    <col width="30" customWidth="1" min="5" max="5"/>
    <col width="16" customWidth="1" min="6" max="6"/>
    <col width="22"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Drop calculator</t>
        </is>
      </c>
    </row>
    <row r="2">
      <c r="A2" s="2" t="inlineStr">
        <is>
          <t>Pick any tier, delivery model, office count and brand count. It runs the same engine as the drops and does not change the model.</t>
        </is>
      </c>
    </row>
    <row r="3">
      <c r="A3" s="7" t="inlineStr">
        <is>
          <t>To test a price: type it in 'Standard price per office' below (or on Inputs to move the whole model). Read 'Contribution per founder hour'.</t>
        </is>
      </c>
    </row>
    <row r="5">
      <c r="B5" s="75" t="inlineStr">
        <is>
          <t>Your drop</t>
        </is>
      </c>
      <c r="E5" s="75" t="inlineStr">
        <is>
          <t>Result</t>
        </is>
      </c>
    </row>
    <row r="6" ht="30" customHeight="1">
      <c r="B6" t="inlineStr">
        <is>
          <t>Tier</t>
        </is>
      </c>
      <c r="C6" s="58" t="inlineStr">
        <is>
          <t>standard</t>
        </is>
      </c>
      <c r="E6" s="10" t="inlineStr">
        <is>
          <t>Line</t>
        </is>
      </c>
      <c r="F6" s="10" t="inlineStr">
        <is>
          <t>Whole drop</t>
        </is>
      </c>
      <c r="G6" s="10" t="inlineStr">
        <is>
          <t>Per brand (equal split of shared costs)</t>
        </is>
      </c>
    </row>
    <row r="7">
      <c r="B7" t="inlineStr">
        <is>
          <t>Delivery model</t>
        </is>
      </c>
      <c r="C7" s="58" t="inlineStr">
        <is>
          <t>courier</t>
        </is>
      </c>
      <c r="E7" s="8" t="inlineStr">
        <is>
          <t>Revenue</t>
        </is>
      </c>
      <c r="F7" s="33">
        <f>S40</f>
        <v/>
      </c>
      <c r="G7" s="31">
        <f>IF(G40&gt;0,F7/G40,"")</f>
        <v/>
      </c>
    </row>
    <row r="8">
      <c r="B8" t="inlineStr">
        <is>
          <t>Offices</t>
        </is>
      </c>
      <c r="C8" s="58" t="n">
        <v>10</v>
      </c>
      <c r="E8" t="inlineStr">
        <is>
          <t>Display kits</t>
        </is>
      </c>
      <c r="F8" s="31">
        <f>T40</f>
        <v/>
      </c>
      <c r="G8" s="31">
        <f>IF(G40&gt;0,F8/G40,"")</f>
        <v/>
      </c>
    </row>
    <row r="9">
      <c r="B9" t="inlineStr">
        <is>
          <t>of which new offices</t>
        </is>
      </c>
      <c r="C9" s="58" t="n">
        <v>0</v>
      </c>
      <c r="E9" t="inlineStr">
        <is>
          <t>Transport</t>
        </is>
      </c>
      <c r="F9" s="31">
        <f>U40</f>
        <v/>
      </c>
      <c r="G9" s="31">
        <f>IF(G40&gt;0,F9/G40,"")</f>
        <v/>
      </c>
    </row>
    <row r="10">
      <c r="B10" t="inlineStr">
        <is>
          <t>Brands</t>
        </is>
      </c>
      <c r="C10" s="58" t="n">
        <v>3</v>
      </c>
      <c r="E10" t="inlineStr">
        <is>
          <t>Kit mailing</t>
        </is>
      </c>
      <c r="F10" s="31">
        <f>V40</f>
        <v/>
      </c>
      <c r="G10" s="31">
        <f>IF(G40&gt;0,F10/G40,"")</f>
        <v/>
      </c>
    </row>
    <row r="11">
      <c r="B11" t="inlineStr">
        <is>
          <t>of which renewals</t>
        </is>
      </c>
      <c r="C11" s="58" t="n">
        <v>0</v>
      </c>
      <c r="E11" t="inlineStr">
        <is>
          <t>Card processing</t>
        </is>
      </c>
      <c r="F11" s="31">
        <f>W40</f>
        <v/>
      </c>
      <c r="G11" s="31">
        <f>IF(G40&gt;0,F11/G40,"")</f>
        <v/>
      </c>
    </row>
    <row r="12">
      <c r="B12" t="inlineStr">
        <is>
          <t>of which founding-rate renewals</t>
        </is>
      </c>
      <c r="C12" s="58" t="n">
        <v>0</v>
      </c>
      <c r="E12" t="inlineStr">
        <is>
          <t>Storage allocation</t>
        </is>
      </c>
      <c r="F12" s="31">
        <f>X40</f>
        <v/>
      </c>
      <c r="G12" s="31">
        <f>IF(G40&gt;0,F12/G40,"")</f>
        <v/>
      </c>
    </row>
    <row r="13">
      <c r="B13" t="inlineStr">
        <is>
          <t>Standard price per office (blank = Inputs)</t>
        </is>
      </c>
      <c r="C13" s="53" t="n"/>
      <c r="E13" t="inlineStr">
        <is>
          <t>Software allocation</t>
        </is>
      </c>
      <c r="F13" s="31">
        <f>Y40</f>
        <v/>
      </c>
      <c r="G13" s="31">
        <f>IF(G40&gt;0,F13/G40,"")</f>
        <v/>
      </c>
    </row>
    <row r="14">
      <c r="B14" t="inlineStr">
        <is>
          <t>Founding price per office (blank = Inputs)</t>
        </is>
      </c>
      <c r="C14" s="53" t="n"/>
      <c r="E14" t="inlineStr">
        <is>
          <t>Insurance allocation</t>
        </is>
      </c>
      <c r="F14" s="31">
        <f>Z40</f>
        <v/>
      </c>
      <c r="G14" s="31">
        <f>IF(G40&gt;0,F14/G40,"")</f>
        <v/>
      </c>
    </row>
    <row r="15">
      <c r="B15" t="inlineStr">
        <is>
          <t>Storage allocated? Y/N (blank = Inputs choice)</t>
        </is>
      </c>
      <c r="C15" s="58" t="n"/>
      <c r="E15" s="8" t="inlineStr">
        <is>
          <t>Hard costs</t>
        </is>
      </c>
      <c r="F15" s="33">
        <f>AA40</f>
        <v/>
      </c>
      <c r="G15" s="31">
        <f>IF(G40&gt;0,F15/G40,"")</f>
        <v/>
      </c>
    </row>
    <row r="16">
      <c r="B16" t="inlineStr">
        <is>
          <t>Card processing? Y/N (blank = Inputs toggle)</t>
        </is>
      </c>
      <c r="C16" s="58" t="n"/>
      <c r="E16" s="8" t="inlineStr">
        <is>
          <t>Contribution</t>
        </is>
      </c>
      <c r="F16" s="33">
        <f>AJ40</f>
        <v/>
      </c>
      <c r="G16" s="31">
        <f>IF(G40&gt;0,F16/G40,"")</f>
        <v/>
      </c>
    </row>
    <row r="17">
      <c r="E17" t="inlineStr">
        <is>
          <t>brand_sales (h)</t>
        </is>
      </c>
      <c r="F17" s="32">
        <f>AB40</f>
        <v/>
      </c>
      <c r="G17" s="32">
        <f>IF(G40&gt;0,F17/G40,"")</f>
        <v/>
      </c>
    </row>
    <row r="18">
      <c r="E18" t="inlineStr">
        <is>
          <t>office_coordination (h)</t>
        </is>
      </c>
      <c r="F18" s="32">
        <f>AC40</f>
        <v/>
      </c>
      <c r="G18" s="32">
        <f>IF(G40&gt;0,F18/G40,"")</f>
        <v/>
      </c>
    </row>
    <row r="19">
      <c r="E19" t="inlineStr">
        <is>
          <t>receiving_kitting (h)</t>
        </is>
      </c>
      <c r="F19" s="32">
        <f>AD40</f>
        <v/>
      </c>
      <c r="G19" s="32">
        <f>IF(G40&gt;0,F19/G40,"")</f>
        <v/>
      </c>
    </row>
    <row r="20">
      <c r="E20" t="inlineStr">
        <is>
          <t>drop_day (h)</t>
        </is>
      </c>
      <c r="F20" s="32">
        <f>AE40</f>
        <v/>
      </c>
      <c r="G20" s="32">
        <f>IF(G40&gt;0,F20/G40,"")</f>
        <v/>
      </c>
    </row>
    <row r="21">
      <c r="E21" t="inlineStr">
        <is>
          <t>checks_pickup (h)</t>
        </is>
      </c>
      <c r="F21" s="32">
        <f>AF40</f>
        <v/>
      </c>
      <c r="G21" s="32">
        <f>IF(G40&gt;0,F21/G40,"")</f>
        <v/>
      </c>
    </row>
    <row r="22">
      <c r="E22" t="inlineStr">
        <is>
          <t>reporting_debriefs (h)</t>
        </is>
      </c>
      <c r="F22" s="32">
        <f>AG40</f>
        <v/>
      </c>
      <c r="G22" s="32">
        <f>IF(G40&gt;0,F22/G40,"")</f>
        <v/>
      </c>
    </row>
    <row r="23">
      <c r="E23" t="inlineStr">
        <is>
          <t>admin_invoicing (h)</t>
        </is>
      </c>
      <c r="F23" s="32">
        <f>AH40</f>
        <v/>
      </c>
      <c r="G23" s="32">
        <f>IF(G40&gt;0,F23/G40,"")</f>
        <v/>
      </c>
    </row>
    <row r="24">
      <c r="E24" s="8" t="inlineStr">
        <is>
          <t>Founder hours</t>
        </is>
      </c>
      <c r="F24" s="34">
        <f>AI40</f>
        <v/>
      </c>
      <c r="G24" s="32">
        <f>IF(G40&gt;0,F24/G40,"")</f>
        <v/>
      </c>
    </row>
    <row r="25">
      <c r="E25" s="8" t="inlineStr">
        <is>
          <t>Contribution per founder hour</t>
        </is>
      </c>
      <c r="F25" s="12">
        <f>AK40</f>
        <v/>
      </c>
      <c r="G25" s="26">
        <f>F25</f>
        <v/>
      </c>
    </row>
    <row r="26">
      <c r="E26" t="inlineStr">
        <is>
          <t>Against the Gate 3 target</t>
        </is>
      </c>
      <c r="F26" s="8">
        <f>IF(ISNUMBER(F25),IF(F25&gt;=Inputs!$C$126,"at or above target","below target"),"n/a")</f>
        <v/>
      </c>
    </row>
    <row r="27">
      <c r="E27" t="inlineStr">
        <is>
          <t>Units each brand ships (incl. reserve)</t>
        </is>
      </c>
      <c r="F27" s="22">
        <f>E40*Inputs!$C$53*(1+Inputs!$C$54)</f>
        <v/>
      </c>
    </row>
    <row r="29" ht="60" customHeight="1">
      <c r="E29" s="5" t="inlineStr">
        <is>
          <t>Per-brand column: revenue and processing are averaged across brands, and shared costs and hours (kits, transport, allocations, office and drop-day time) are split equally. Brand sales and reporting hours are per brand already.</t>
        </is>
      </c>
    </row>
    <row r="37">
      <c r="A37" s="75" t="inlineStr">
        <is>
          <t>Engine row: the same formulas as every row on Drop_PnL. Read-only; the result table above reads it.</t>
        </is>
      </c>
    </row>
    <row r="39" ht="58" customHeight="1">
      <c r="A39" s="10" t="inlineStr">
        <is>
          <t>Drop or case</t>
        </is>
      </c>
      <c r="B39" s="10" t="inlineStr">
        <is>
          <t>Drop date</t>
        </is>
      </c>
      <c r="C39" s="10" t="inlineStr">
        <is>
          <t>Delivery model</t>
        </is>
      </c>
      <c r="D39" s="10" t="inlineStr">
        <is>
          <t>Tier</t>
        </is>
      </c>
      <c r="E39" s="10" t="inlineStr">
        <is>
          <t>Offices</t>
        </is>
      </c>
      <c r="F39" s="10" t="inlineStr">
        <is>
          <t>New offices</t>
        </is>
      </c>
      <c r="G39" s="10" t="inlineStr">
        <is>
          <t>Brands</t>
        </is>
      </c>
      <c r="H39" s="10" t="inlineStr">
        <is>
          <t>of which renewals</t>
        </is>
      </c>
      <c r="I39" s="10" t="inlineStr">
        <is>
          <t>of which founding-rate renewals</t>
        </is>
      </c>
      <c r="J39" s="10" t="inlineStr">
        <is>
          <t>Standard price per office</t>
        </is>
      </c>
      <c r="K39" s="10" t="inlineStr">
        <is>
          <t>Founding price per office</t>
        </is>
      </c>
      <c r="L39" s="10" t="inlineStr">
        <is>
          <t>Storage allocated (1/0)</t>
        </is>
      </c>
      <c r="M39" s="10" t="inlineStr">
        <is>
          <t>Card processing (1/0)</t>
        </is>
      </c>
      <c r="N39" s="10" t="inlineStr">
        <is>
          <t>Drop runs (1/0)</t>
        </is>
      </c>
      <c r="O39" s="10" t="inlineStr">
        <is>
          <t>New founding brands</t>
        </is>
      </c>
      <c r="P39" s="10" t="inlineStr">
        <is>
          <t>New standard brands</t>
        </is>
      </c>
      <c r="Q39" s="10" t="inlineStr">
        <is>
          <t>Revenue at founding rate</t>
        </is>
      </c>
      <c r="R39" s="10" t="inlineStr">
        <is>
          <t>Revenue at standard rate</t>
        </is>
      </c>
      <c r="S39" s="10" t="inlineStr">
        <is>
          <t>Revenue</t>
        </is>
      </c>
      <c r="T39" s="10" t="inlineStr">
        <is>
          <t>Display kits</t>
        </is>
      </c>
      <c r="U39" s="10" t="inlineStr">
        <is>
          <t>Transport</t>
        </is>
      </c>
      <c r="V39" s="10" t="inlineStr">
        <is>
          <t>Kit mailing</t>
        </is>
      </c>
      <c r="W39" s="10" t="inlineStr">
        <is>
          <t>Card processing</t>
        </is>
      </c>
      <c r="X39" s="10" t="inlineStr">
        <is>
          <t>Storage allocation</t>
        </is>
      </c>
      <c r="Y39" s="10" t="inlineStr">
        <is>
          <t>Software allocation</t>
        </is>
      </c>
      <c r="Z39" s="10" t="inlineStr">
        <is>
          <t>Insurance allocation</t>
        </is>
      </c>
      <c r="AA39" s="10" t="inlineStr">
        <is>
          <t>Hard costs</t>
        </is>
      </c>
      <c r="AB39" s="10" t="inlineStr">
        <is>
          <t>brand_sales (h)</t>
        </is>
      </c>
      <c r="AC39" s="10" t="inlineStr">
        <is>
          <t>office_coordination (h)</t>
        </is>
      </c>
      <c r="AD39" s="10" t="inlineStr">
        <is>
          <t>receiving_kitting (h)</t>
        </is>
      </c>
      <c r="AE39" s="10" t="inlineStr">
        <is>
          <t>drop_day (h)</t>
        </is>
      </c>
      <c r="AF39" s="10" t="inlineStr">
        <is>
          <t>checks_pickup (h)</t>
        </is>
      </c>
      <c r="AG39" s="10" t="inlineStr">
        <is>
          <t>reporting_debriefs (h)</t>
        </is>
      </c>
      <c r="AH39" s="10" t="inlineStr">
        <is>
          <t>admin_invoicing (h)</t>
        </is>
      </c>
      <c r="AI39" s="10" t="inlineStr">
        <is>
          <t>Founder hours</t>
        </is>
      </c>
      <c r="AJ39" s="10" t="inlineStr">
        <is>
          <t>Contribution</t>
        </is>
      </c>
      <c r="AK39" s="10" t="inlineStr">
        <is>
          <t>Contribution per founder hour</t>
        </is>
      </c>
      <c r="AL39" s="10" t="inlineStr">
        <is>
          <t>Direct costs (kits, transport, mailing, processing)</t>
        </is>
      </c>
      <c r="AM39" s="10" t="inlineStr">
        <is>
          <t>Overhead allocations (views of monthly costs)</t>
        </is>
      </c>
    </row>
    <row r="40">
      <c r="A40" t="inlineStr">
        <is>
          <t>Calculator drop</t>
        </is>
      </c>
      <c r="B40" s="17" t="n"/>
      <c r="C40">
        <f>$C$7</f>
        <v/>
      </c>
      <c r="D40">
        <f>$C$6</f>
        <v/>
      </c>
      <c r="E40" s="18">
        <f>N($C$8)</f>
        <v/>
      </c>
      <c r="F40" s="18">
        <f>N($C$9)</f>
        <v/>
      </c>
      <c r="G40">
        <f>N($C$10)</f>
        <v/>
      </c>
      <c r="H40">
        <f>N($C$11)</f>
        <v/>
      </c>
      <c r="I40">
        <f>N($C$12)</f>
        <v/>
      </c>
      <c r="J40" s="31">
        <f>IF($C$13="",Inputs!$C$33,$C$13)</f>
        <v/>
      </c>
      <c r="K40" s="31">
        <f>IF($C$14="",Inputs!$C$36,$C$14)</f>
        <v/>
      </c>
      <c r="L40" s="18">
        <f>IF($C$15="",IF(Inputs!$C$65="unit",1,0),IF($C$15="Y",1,0))</f>
        <v/>
      </c>
      <c r="M40" s="18">
        <f>IF($C$16="",Inputs!$C$49,IF($C$16="Y",1,0))</f>
        <v/>
      </c>
      <c r="N40" s="18">
        <f>IF(G40&gt;0,1,0)</f>
        <v/>
      </c>
      <c r="O40">
        <f>IF(D40="founding",G40-H40,0)</f>
        <v/>
      </c>
      <c r="P40">
        <f>IF(D40="standard",G40-H40,0)</f>
        <v/>
      </c>
      <c r="Q40" s="31">
        <f>O40*(K40*MIN(E40,Inputs!$C$37)+Inputs!$C$39*MAX(E40-Inputs!$C$37,0))+I40*K40*E40</f>
        <v/>
      </c>
      <c r="R40" s="31">
        <f>(P40+H40-I40)*(J40*MIN(E40,Inputs!$C$34)+Inputs!$C$39*MAX(E40-Inputs!$C$34,0))</f>
        <v/>
      </c>
      <c r="S40" s="33">
        <f>Q40+R40</f>
        <v/>
      </c>
      <c r="T40" s="31">
        <f>N40*E40*(Inputs!$C$58+Inputs!$C$59*MAX(G40-1,0))</f>
        <v/>
      </c>
      <c r="U40" s="31">
        <f>IF(N40=0,0,INDEX(Inputs!$C$95:$C$97,MATCH(C40,Inputs!$B$95:$B$97,0))+INDEX(Inputs!$D$95:$D$97,MATCH(C40,Inputs!$B$95:$B$97,0))*E40)</f>
        <v/>
      </c>
      <c r="V40" s="31">
        <f>IF(N40=0,0,INDEX(Inputs!$E$95:$E$97,MATCH(C40,Inputs!$B$95:$B$97,0))*E40)</f>
        <v/>
      </c>
      <c r="W40" s="31">
        <f>S40*Inputs!$C$48*M40</f>
        <v/>
      </c>
      <c r="X40" s="31">
        <f>N40*L40*Inputs!$C$66/Inputs!$C$75</f>
        <v/>
      </c>
      <c r="Y40" s="31">
        <f>N40*Inputs!$C$69/Inputs!$C$75</f>
        <v/>
      </c>
      <c r="Z40" s="31">
        <f>N40*Inputs!$C$71/Inputs!$C$75</f>
        <v/>
      </c>
      <c r="AA40" s="33">
        <f>SUM(T40:Z40)</f>
        <v/>
      </c>
      <c r="AB40" s="32">
        <f>O40*Inputs!$C$79+P40*Inputs!$C$83+H40*Inputs!$C$84</f>
        <v/>
      </c>
      <c r="AC40" s="32">
        <f>N40*(F40*Inputs!$C$85+(E40-F40)*Inputs!$C$86)</f>
        <v/>
      </c>
      <c r="AD40" s="32">
        <f>IF(N40=0,0,INDEX(Inputs!$F$95:$F$97,MATCH(C40,Inputs!$B$95:$B$97,0))+Inputs!$C$87*G40)</f>
        <v/>
      </c>
      <c r="AE40" s="32">
        <f>IF(N40=0,0,INDEX(Inputs!$G$95:$G$97,MATCH(C40,Inputs!$B$95:$B$97,0))*E40)</f>
        <v/>
      </c>
      <c r="AF40" s="32">
        <f>IF(N40=0,0,INDEX(Inputs!$H$95:$H$97,MATCH(C40,Inputs!$B$95:$B$97,0))*E40)</f>
        <v/>
      </c>
      <c r="AG40" s="32">
        <f>Inputs!$C$88*G40</f>
        <v/>
      </c>
      <c r="AH40" s="32">
        <f>N40*Inputs!$C$89</f>
        <v/>
      </c>
      <c r="AI40" s="34">
        <f>SUM(AB40:AH40)</f>
        <v/>
      </c>
      <c r="AJ40" s="33">
        <f>S40-AA40</f>
        <v/>
      </c>
      <c r="AK40" s="27">
        <f>IF(AI40&gt;0,AJ40/AI40,"n/a")</f>
        <v/>
      </c>
      <c r="AL40" s="31">
        <f>T40+U40+V40+W40</f>
        <v/>
      </c>
      <c r="AM40" s="31">
        <f>X40+Y40+Z40</f>
        <v/>
      </c>
    </row>
  </sheetData>
  <mergeCells count="2">
    <mergeCell ref="A3:F3"/>
    <mergeCell ref="E29:G29"/>
  </mergeCells>
  <dataValidations count="4">
    <dataValidation sqref="C6" showDropDown="0" showInputMessage="0" showErrorMessage="0" allowBlank="1" errorTitle="Not in the list" error="Pick a value from the list." type="list">
      <formula1>=Lists!$B$4:$B$5</formula1>
    </dataValidation>
    <dataValidation sqref="C7" showDropDown="0" showInputMessage="0" showErrorMessage="0" allowBlank="1" errorTitle="Not in the list" error="Pick a value from the list." type="list">
      <formula1>=Lists!$A$4:$A$6</formula1>
    </dataValidation>
    <dataValidation sqref="C15" showDropDown="0" showInputMessage="0" showErrorMessage="0" allowBlank="1" errorTitle="Not in the list" error="Pick a value from the list." type="list">
      <formula1>=Lists!$E$4:$E$5</formula1>
    </dataValidation>
    <dataValidation sqref="C16"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G19"/>
  <sheetViews>
    <sheetView zoomScale="90" workbookViewId="0">
      <pane xSplit="1" ySplit="6" topLeftCell="B7"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s>
  <sheetData>
    <row r="1">
      <c r="A1" s="1" t="inlineStr">
        <is>
          <t>Per-drop P&amp;L (plan basis) with cash timing</t>
        </is>
      </c>
    </row>
    <row r="2">
      <c r="A2" s="2" t="inlineStr">
        <is>
          <t>One row per Schedule row. Contribution = revenue minus hard costs, as the plan defines it. Overhead allocations are views; the cash flow pays overhead once.</t>
        </is>
      </c>
    </row>
    <row r="3">
      <c r="A3" s="7" t="inlineStr">
        <is>
          <t>Planning estimates. The 'Live' columns switch to actuals when Schedule says 'Actuals in = Y'. Shared drop costs are split equally across the drop's brands where a per-brand figure is shown.</t>
        </is>
      </c>
    </row>
    <row r="5">
      <c r="A5" s="76" t="inlineStr">
        <is>
          <t>Case</t>
        </is>
      </c>
      <c r="E5" s="76" t="inlineStr">
        <is>
          <t>Inputs to the engine</t>
        </is>
      </c>
      <c r="N5" s="76" t="inlineStr">
        <is>
          <t>Revenue</t>
        </is>
      </c>
      <c r="T5" s="76" t="inlineStr">
        <is>
          <t>Hard costs</t>
        </is>
      </c>
      <c r="AB5" s="76" t="inlineStr">
        <is>
          <t>Founder hours by activity</t>
        </is>
      </c>
      <c r="AJ5" s="76" t="inlineStr">
        <is>
          <t>Result</t>
        </is>
      </c>
      <c r="AL5" s="76" t="inlineStr">
        <is>
          <t>Split</t>
        </is>
      </c>
      <c r="AO5" s="76" t="inlineStr">
        <is>
          <t>Cash timing on the plan's terms (feeds Cash_Flow)</t>
        </is>
      </c>
      <c r="AZ5" s="76" t="inlineStr">
        <is>
          <t>Live: actual where Actuals in = Y, otherwise plan</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c r="AO6" s="10" t="inlineStr">
        <is>
          <t>Founding payment date</t>
        </is>
      </c>
      <c r="AP6" s="10" t="inlineStr">
        <is>
          <t>Founding payment</t>
        </is>
      </c>
      <c r="AQ6" s="10" t="inlineStr">
        <is>
          <t>Standard deposit date</t>
        </is>
      </c>
      <c r="AR6" s="10" t="inlineStr">
        <is>
          <t>Standard deposit</t>
        </is>
      </c>
      <c r="AS6" s="10" t="inlineStr">
        <is>
          <t>Balance date</t>
        </is>
      </c>
      <c r="AT6" s="10" t="inlineStr">
        <is>
          <t>Balance</t>
        </is>
      </c>
      <c r="AU6" s="10" t="inlineStr">
        <is>
          <t>Processing on founding payment</t>
        </is>
      </c>
      <c r="AV6" s="10" t="inlineStr">
        <is>
          <t>Processing on deposit</t>
        </is>
      </c>
      <c r="AW6" s="10" t="inlineStr">
        <is>
          <t>Processing on balance</t>
        </is>
      </c>
      <c r="AX6" s="10" t="inlineStr">
        <is>
          <t>Kits printed (and mailed)</t>
        </is>
      </c>
      <c r="AY6" s="10" t="inlineStr">
        <is>
          <t>Transport paid</t>
        </is>
      </c>
      <c r="AZ6" s="10" t="inlineStr">
        <is>
          <t>Actuals in</t>
        </is>
      </c>
      <c r="BA6" s="10" t="inlineStr">
        <is>
          <t>Live revenue</t>
        </is>
      </c>
      <c r="BB6" s="10" t="inlineStr">
        <is>
          <t>Live hard costs</t>
        </is>
      </c>
      <c r="BC6" s="10" t="inlineStr">
        <is>
          <t>Live founder hours</t>
        </is>
      </c>
      <c r="BD6" s="10" t="inlineStr">
        <is>
          <t>Live contribution</t>
        </is>
      </c>
      <c r="BE6" s="10" t="inlineStr">
        <is>
          <t>Live contribution per founder hour</t>
        </is>
      </c>
      <c r="BF6" s="10" t="inlineStr">
        <is>
          <t>Basis</t>
        </is>
      </c>
      <c r="BG6" s="10" t="inlineStr">
        <is>
          <t>Upcoming drop (1/0)</t>
        </is>
      </c>
    </row>
    <row r="7">
      <c r="A7">
        <f>Schedule!A7</f>
        <v/>
      </c>
      <c r="B7" s="17">
        <f>IF(Schedule!E7="","",Schedule!E7)</f>
        <v/>
      </c>
      <c r="C7">
        <f>IF(Schedule!G7="","",Schedule!G7)</f>
        <v/>
      </c>
      <c r="D7">
        <f>IF(Schedule!H7="","",Schedule!H7)</f>
        <v/>
      </c>
      <c r="E7" s="18">
        <f>N(Schedule!I7)</f>
        <v/>
      </c>
      <c r="F7" s="18">
        <f>N(Schedule!J7)</f>
        <v/>
      </c>
      <c r="G7">
        <f>N(Schedule!K7)</f>
        <v/>
      </c>
      <c r="H7">
        <f>N(Schedule!L7)</f>
        <v/>
      </c>
      <c r="I7">
        <f>N(Schedule!M7)</f>
        <v/>
      </c>
      <c r="J7" s="31">
        <f>IF(AND(B7&lt;&gt;"",B7&gt;Inputs!$C$15),Scenarios!$H$14,Inputs!$C$33)</f>
        <v/>
      </c>
      <c r="K7" s="31">
        <f>Inputs!$C$36</f>
        <v/>
      </c>
      <c r="L7" s="18">
        <f>IF(AND(Inputs!$C$65="unit",B7&lt;&gt;"",B7&gt;=Inputs!$C$67,OR(Inputs!$C$68="",B7&lt;=Inputs!$C$68)),1,0)</f>
        <v/>
      </c>
      <c r="M7" s="18">
        <f>Inputs!$C$49</f>
        <v/>
      </c>
      <c r="N7" s="18">
        <f>IF(G7&gt;0,1,0)</f>
        <v/>
      </c>
      <c r="O7">
        <f>IF(D7="founding",G7-H7,0)</f>
        <v/>
      </c>
      <c r="P7">
        <f>IF(D7="standard",G7-H7,0)</f>
        <v/>
      </c>
      <c r="Q7" s="31">
        <f>O7*(K7*MIN(E7,Inputs!$C$37)+Inputs!$C$39*MAX(E7-Inputs!$C$37,0))+I7*K7*E7</f>
        <v/>
      </c>
      <c r="R7" s="31">
        <f>(P7+H7-I7)*(J7*MIN(E7,Inputs!$C$34)+Inputs!$C$39*MAX(E7-Inputs!$C$34,0))</f>
        <v/>
      </c>
      <c r="S7" s="33">
        <f>Q7+R7</f>
        <v/>
      </c>
      <c r="T7" s="31">
        <f>N7*E7*(Inputs!$C$58+Inputs!$C$59*MAX(G7-1,0))</f>
        <v/>
      </c>
      <c r="U7" s="31">
        <f>IF(N7=0,0,INDEX(Inputs!$C$95:$C$97,MATCH(C7,Inputs!$B$95:$B$97,0))+INDEX(Inputs!$D$95:$D$97,MATCH(C7,Inputs!$B$95:$B$97,0))*E7)</f>
        <v/>
      </c>
      <c r="V7" s="31">
        <f>IF(N7=0,0,INDEX(Inputs!$E$95:$E$97,MATCH(C7,Inputs!$B$95:$B$97,0))*E7)</f>
        <v/>
      </c>
      <c r="W7" s="31">
        <f>S7*Inputs!$C$48*M7</f>
        <v/>
      </c>
      <c r="X7" s="31">
        <f>N7*L7*Inputs!$C$66/Inputs!$C$75</f>
        <v/>
      </c>
      <c r="Y7" s="31">
        <f>N7*Inputs!$C$69/Inputs!$C$75</f>
        <v/>
      </c>
      <c r="Z7" s="31">
        <f>N7*Inputs!$C$71/Inputs!$C$75</f>
        <v/>
      </c>
      <c r="AA7" s="33">
        <f>SUM(T7:Z7)</f>
        <v/>
      </c>
      <c r="AB7" s="32">
        <f>O7*Inputs!$C$79+P7*Inputs!$C$83+H7*Inputs!$C$84</f>
        <v/>
      </c>
      <c r="AC7" s="32">
        <f>N7*(F7*Inputs!$C$85+(E7-F7)*Inputs!$C$86)</f>
        <v/>
      </c>
      <c r="AD7" s="32">
        <f>IF(N7=0,0,INDEX(Inputs!$F$95:$F$97,MATCH(C7,Inputs!$B$95:$B$97,0))+Inputs!$C$87*G7)</f>
        <v/>
      </c>
      <c r="AE7" s="32">
        <f>IF(N7=0,0,INDEX(Inputs!$G$95:$G$97,MATCH(C7,Inputs!$B$95:$B$97,0))*E7)</f>
        <v/>
      </c>
      <c r="AF7" s="32">
        <f>IF(N7=0,0,INDEX(Inputs!$H$95:$H$97,MATCH(C7,Inputs!$B$95:$B$97,0))*E7)</f>
        <v/>
      </c>
      <c r="AG7" s="32">
        <f>Inputs!$C$88*G7</f>
        <v/>
      </c>
      <c r="AH7" s="32">
        <f>N7*Inputs!$C$89</f>
        <v/>
      </c>
      <c r="AI7" s="34">
        <f>SUM(AB7:AH7)</f>
        <v/>
      </c>
      <c r="AJ7" s="33">
        <f>S7-AA7</f>
        <v/>
      </c>
      <c r="AK7" s="27">
        <f>IF(AI7&gt;0,AJ7/AI7,"n/a")</f>
        <v/>
      </c>
      <c r="AL7" s="31">
        <f>T7+U7+V7+W7</f>
        <v/>
      </c>
      <c r="AM7" s="31">
        <f>X7+Y7+Z7</f>
        <v/>
      </c>
      <c r="AO7" s="17">
        <f>IF(OR(N7=0,AP7=0),"",WORKDAY(B7,-Inputs!$C$43,Lists!$N$4:$N$30)+N(Inputs!$C$47))</f>
        <v/>
      </c>
      <c r="AP7" s="31">
        <f>Q7*Inputs!$C$42</f>
        <v/>
      </c>
      <c r="AQ7" s="17">
        <f>IF(OR(N7=0,AR7=0),"",WORKDAY(B7,-Inputs!$C$45,Lists!$N$4:$N$30)+N(Inputs!$C$47))</f>
        <v/>
      </c>
      <c r="AR7" s="31">
        <f>R7*Inputs!$C$44</f>
        <v/>
      </c>
      <c r="AS7" s="17">
        <f>IF(OR(N7=0,AT7=0),"",WORKDAY(B7,Inputs!$C$46,Lists!$N$4:$N$30)+N(Inputs!$C$47))</f>
        <v/>
      </c>
      <c r="AT7" s="31">
        <f>Q7*(1-Inputs!$C$42)+R7*(1-Inputs!$C$44)</f>
        <v/>
      </c>
      <c r="AU7" s="31">
        <f>AP7*Inputs!$C$48*M7</f>
        <v/>
      </c>
      <c r="AV7" s="31">
        <f>AR7*Inputs!$C$48*M7</f>
        <v/>
      </c>
      <c r="AW7" s="31">
        <f>AT7*Inputs!$C$48*M7</f>
        <v/>
      </c>
      <c r="AX7" s="17">
        <f>IF(N7=0,"",WORKDAY(B7,-Inputs!$C$64,Lists!$N$4:$N$30))</f>
        <v/>
      </c>
      <c r="AY7" s="17">
        <f>IF(N7=0,"",B7)</f>
        <v/>
      </c>
      <c r="AZ7">
        <f>IF(Schedule!N7="Y","Y","N")</f>
        <v/>
      </c>
      <c r="BA7" s="31">
        <f>IF(AZ7="Y",Drop_Actuals!D7,S7)</f>
        <v/>
      </c>
      <c r="BB7" s="31">
        <f>IF(AZ7="Y",Drop_Actuals!J7,AA7)</f>
        <v/>
      </c>
      <c r="BC7" s="32">
        <f>IF(AZ7="Y",Drop_Actuals!R7,AI7)</f>
        <v/>
      </c>
      <c r="BD7" s="31">
        <f>BA7-BB7</f>
        <v/>
      </c>
      <c r="BE7" s="26">
        <f>IF(BC7&gt;0,BD7/BC7,"n/a")</f>
        <v/>
      </c>
      <c r="BF7">
        <f>IF(AND(N7=0,AZ7="N"),"",IF(AZ7="Y","actual","plan"))</f>
        <v/>
      </c>
      <c r="BG7" s="18">
        <f>IF(AND(N7=1,B7&gt;=Inputs!$C$17),1,0)</f>
        <v/>
      </c>
    </row>
    <row r="8">
      <c r="A8">
        <f>Schedule!A8</f>
        <v/>
      </c>
      <c r="B8" s="17">
        <f>IF(Schedule!E8="","",Schedule!E8)</f>
        <v/>
      </c>
      <c r="C8">
        <f>IF(Schedule!G8="","",Schedule!G8)</f>
        <v/>
      </c>
      <c r="D8">
        <f>IF(Schedule!H8="","",Schedule!H8)</f>
        <v/>
      </c>
      <c r="E8" s="18">
        <f>N(Schedule!I8)</f>
        <v/>
      </c>
      <c r="F8" s="18">
        <f>N(Schedule!J8)</f>
        <v/>
      </c>
      <c r="G8">
        <f>N(Schedule!K8)</f>
        <v/>
      </c>
      <c r="H8">
        <f>N(Schedule!L8)</f>
        <v/>
      </c>
      <c r="I8">
        <f>N(Schedule!M8)</f>
        <v/>
      </c>
      <c r="J8" s="31">
        <f>IF(AND(B8&lt;&gt;"",B8&gt;Inputs!$C$15),Scenarios!$H$14,Inputs!$C$33)</f>
        <v/>
      </c>
      <c r="K8" s="31">
        <f>Inputs!$C$36</f>
        <v/>
      </c>
      <c r="L8" s="18">
        <f>IF(AND(Inputs!$C$65="unit",B8&lt;&gt;"",B8&gt;=Inputs!$C$67,OR(Inputs!$C$68="",B8&lt;=Inputs!$C$68)),1,0)</f>
        <v/>
      </c>
      <c r="M8" s="18">
        <f>Inputs!$C$49</f>
        <v/>
      </c>
      <c r="N8" s="18">
        <f>IF(G8&gt;0,1,0)</f>
        <v/>
      </c>
      <c r="O8">
        <f>IF(D8="founding",G8-H8,0)</f>
        <v/>
      </c>
      <c r="P8">
        <f>IF(D8="standard",G8-H8,0)</f>
        <v/>
      </c>
      <c r="Q8" s="31">
        <f>O8*(K8*MIN(E8,Inputs!$C$37)+Inputs!$C$39*MAX(E8-Inputs!$C$37,0))+I8*K8*E8</f>
        <v/>
      </c>
      <c r="R8" s="31">
        <f>(P8+H8-I8)*(J8*MIN(E8,Inputs!$C$34)+Inputs!$C$39*MAX(E8-Inputs!$C$34,0))</f>
        <v/>
      </c>
      <c r="S8" s="33">
        <f>Q8+R8</f>
        <v/>
      </c>
      <c r="T8" s="31">
        <f>N8*E8*(Inputs!$C$58+Inputs!$C$59*MAX(G8-1,0))</f>
        <v/>
      </c>
      <c r="U8" s="31">
        <f>IF(N8=0,0,INDEX(Inputs!$C$95:$C$97,MATCH(C8,Inputs!$B$95:$B$97,0))+INDEX(Inputs!$D$95:$D$97,MATCH(C8,Inputs!$B$95:$B$97,0))*E8)</f>
        <v/>
      </c>
      <c r="V8" s="31">
        <f>IF(N8=0,0,INDEX(Inputs!$E$95:$E$97,MATCH(C8,Inputs!$B$95:$B$97,0))*E8)</f>
        <v/>
      </c>
      <c r="W8" s="31">
        <f>S8*Inputs!$C$48*M8</f>
        <v/>
      </c>
      <c r="X8" s="31">
        <f>N8*L8*Inputs!$C$66/Inputs!$C$75</f>
        <v/>
      </c>
      <c r="Y8" s="31">
        <f>N8*Inputs!$C$69/Inputs!$C$75</f>
        <v/>
      </c>
      <c r="Z8" s="31">
        <f>N8*Inputs!$C$71/Inputs!$C$75</f>
        <v/>
      </c>
      <c r="AA8" s="33">
        <f>SUM(T8:Z8)</f>
        <v/>
      </c>
      <c r="AB8" s="32">
        <f>O8*Inputs!$C$79+P8*Inputs!$C$83+H8*Inputs!$C$84</f>
        <v/>
      </c>
      <c r="AC8" s="32">
        <f>N8*(F8*Inputs!$C$85+(E8-F8)*Inputs!$C$86)</f>
        <v/>
      </c>
      <c r="AD8" s="32">
        <f>IF(N8=0,0,INDEX(Inputs!$F$95:$F$97,MATCH(C8,Inputs!$B$95:$B$97,0))+Inputs!$C$87*G8)</f>
        <v/>
      </c>
      <c r="AE8" s="32">
        <f>IF(N8=0,0,INDEX(Inputs!$G$95:$G$97,MATCH(C8,Inputs!$B$95:$B$97,0))*E8)</f>
        <v/>
      </c>
      <c r="AF8" s="32">
        <f>IF(N8=0,0,INDEX(Inputs!$H$95:$H$97,MATCH(C8,Inputs!$B$95:$B$97,0))*E8)</f>
        <v/>
      </c>
      <c r="AG8" s="32">
        <f>Inputs!$C$88*G8</f>
        <v/>
      </c>
      <c r="AH8" s="32">
        <f>N8*Inputs!$C$89</f>
        <v/>
      </c>
      <c r="AI8" s="34">
        <f>SUM(AB8:AH8)</f>
        <v/>
      </c>
      <c r="AJ8" s="33">
        <f>S8-AA8</f>
        <v/>
      </c>
      <c r="AK8" s="27">
        <f>IF(AI8&gt;0,AJ8/AI8,"n/a")</f>
        <v/>
      </c>
      <c r="AL8" s="31">
        <f>T8+U8+V8+W8</f>
        <v/>
      </c>
      <c r="AM8" s="31">
        <f>X8+Y8+Z8</f>
        <v/>
      </c>
      <c r="AO8" s="17">
        <f>IF(OR(N8=0,AP8=0),"",WORKDAY(B8,-Inputs!$C$43,Lists!$N$4:$N$30)+N(Inputs!$C$47))</f>
        <v/>
      </c>
      <c r="AP8" s="31">
        <f>Q8*Inputs!$C$42</f>
        <v/>
      </c>
      <c r="AQ8" s="17">
        <f>IF(OR(N8=0,AR8=0),"",WORKDAY(B8,-Inputs!$C$45,Lists!$N$4:$N$30)+N(Inputs!$C$47))</f>
        <v/>
      </c>
      <c r="AR8" s="31">
        <f>R8*Inputs!$C$44</f>
        <v/>
      </c>
      <c r="AS8" s="17">
        <f>IF(OR(N8=0,AT8=0),"",WORKDAY(B8,Inputs!$C$46,Lists!$N$4:$N$30)+N(Inputs!$C$47))</f>
        <v/>
      </c>
      <c r="AT8" s="31">
        <f>Q8*(1-Inputs!$C$42)+R8*(1-Inputs!$C$44)</f>
        <v/>
      </c>
      <c r="AU8" s="31">
        <f>AP8*Inputs!$C$48*M8</f>
        <v/>
      </c>
      <c r="AV8" s="31">
        <f>AR8*Inputs!$C$48*M8</f>
        <v/>
      </c>
      <c r="AW8" s="31">
        <f>AT8*Inputs!$C$48*M8</f>
        <v/>
      </c>
      <c r="AX8" s="17">
        <f>IF(N8=0,"",WORKDAY(B8,-Inputs!$C$64,Lists!$N$4:$N$30))</f>
        <v/>
      </c>
      <c r="AY8" s="17">
        <f>IF(N8=0,"",B8)</f>
        <v/>
      </c>
      <c r="AZ8">
        <f>IF(Schedule!N8="Y","Y","N")</f>
        <v/>
      </c>
      <c r="BA8" s="31">
        <f>IF(AZ8="Y",Drop_Actuals!D8,S8)</f>
        <v/>
      </c>
      <c r="BB8" s="31">
        <f>IF(AZ8="Y",Drop_Actuals!J8,AA8)</f>
        <v/>
      </c>
      <c r="BC8" s="32">
        <f>IF(AZ8="Y",Drop_Actuals!R8,AI8)</f>
        <v/>
      </c>
      <c r="BD8" s="31">
        <f>BA8-BB8</f>
        <v/>
      </c>
      <c r="BE8" s="26">
        <f>IF(BC8&gt;0,BD8/BC8,"n/a")</f>
        <v/>
      </c>
      <c r="BF8">
        <f>IF(AND(N8=0,AZ8="N"),"",IF(AZ8="Y","actual","plan"))</f>
        <v/>
      </c>
      <c r="BG8" s="18">
        <f>IF(AND(N8=1,B8&gt;=Inputs!$C$17),1,0)</f>
        <v/>
      </c>
    </row>
    <row r="9">
      <c r="A9">
        <f>Schedule!A9</f>
        <v/>
      </c>
      <c r="B9" s="17">
        <f>IF(Schedule!E9="","",Schedule!E9)</f>
        <v/>
      </c>
      <c r="C9">
        <f>IF(Schedule!G9="","",Schedule!G9)</f>
        <v/>
      </c>
      <c r="D9">
        <f>IF(Schedule!H9="","",Schedule!H9)</f>
        <v/>
      </c>
      <c r="E9" s="18">
        <f>N(Schedule!I9)</f>
        <v/>
      </c>
      <c r="F9" s="18">
        <f>N(Schedule!J9)</f>
        <v/>
      </c>
      <c r="G9">
        <f>N(Schedule!K9)</f>
        <v/>
      </c>
      <c r="H9">
        <f>N(Schedule!L9)</f>
        <v/>
      </c>
      <c r="I9">
        <f>N(Schedule!M9)</f>
        <v/>
      </c>
      <c r="J9" s="31">
        <f>IF(AND(B9&lt;&gt;"",B9&gt;Inputs!$C$15),Scenarios!$H$14,Inputs!$C$33)</f>
        <v/>
      </c>
      <c r="K9" s="31">
        <f>Inputs!$C$36</f>
        <v/>
      </c>
      <c r="L9" s="18">
        <f>IF(AND(Inputs!$C$65="unit",B9&lt;&gt;"",B9&gt;=Inputs!$C$67,OR(Inputs!$C$68="",B9&lt;=Inputs!$C$68)),1,0)</f>
        <v/>
      </c>
      <c r="M9" s="18">
        <f>Inputs!$C$49</f>
        <v/>
      </c>
      <c r="N9" s="18">
        <f>IF(G9&gt;0,1,0)</f>
        <v/>
      </c>
      <c r="O9">
        <f>IF(D9="founding",G9-H9,0)</f>
        <v/>
      </c>
      <c r="P9">
        <f>IF(D9="standard",G9-H9,0)</f>
        <v/>
      </c>
      <c r="Q9" s="31">
        <f>O9*(K9*MIN(E9,Inputs!$C$37)+Inputs!$C$39*MAX(E9-Inputs!$C$37,0))+I9*K9*E9</f>
        <v/>
      </c>
      <c r="R9" s="31">
        <f>(P9+H9-I9)*(J9*MIN(E9,Inputs!$C$34)+Inputs!$C$39*MAX(E9-Inputs!$C$34,0))</f>
        <v/>
      </c>
      <c r="S9" s="33">
        <f>Q9+R9</f>
        <v/>
      </c>
      <c r="T9" s="31">
        <f>N9*E9*(Inputs!$C$58+Inputs!$C$59*MAX(G9-1,0))</f>
        <v/>
      </c>
      <c r="U9" s="31">
        <f>IF(N9=0,0,INDEX(Inputs!$C$95:$C$97,MATCH(C9,Inputs!$B$95:$B$97,0))+INDEX(Inputs!$D$95:$D$97,MATCH(C9,Inputs!$B$95:$B$97,0))*E9)</f>
        <v/>
      </c>
      <c r="V9" s="31">
        <f>IF(N9=0,0,INDEX(Inputs!$E$95:$E$97,MATCH(C9,Inputs!$B$95:$B$97,0))*E9)</f>
        <v/>
      </c>
      <c r="W9" s="31">
        <f>S9*Inputs!$C$48*M9</f>
        <v/>
      </c>
      <c r="X9" s="31">
        <f>N9*L9*Inputs!$C$66/Inputs!$C$75</f>
        <v/>
      </c>
      <c r="Y9" s="31">
        <f>N9*Inputs!$C$69/Inputs!$C$75</f>
        <v/>
      </c>
      <c r="Z9" s="31">
        <f>N9*Inputs!$C$71/Inputs!$C$75</f>
        <v/>
      </c>
      <c r="AA9" s="33">
        <f>SUM(T9:Z9)</f>
        <v/>
      </c>
      <c r="AB9" s="32">
        <f>O9*Inputs!$C$79+P9*Inputs!$C$83+H9*Inputs!$C$84</f>
        <v/>
      </c>
      <c r="AC9" s="32">
        <f>N9*(F9*Inputs!$C$85+(E9-F9)*Inputs!$C$86)</f>
        <v/>
      </c>
      <c r="AD9" s="32">
        <f>IF(N9=0,0,INDEX(Inputs!$F$95:$F$97,MATCH(C9,Inputs!$B$95:$B$97,0))+Inputs!$C$87*G9)</f>
        <v/>
      </c>
      <c r="AE9" s="32">
        <f>IF(N9=0,0,INDEX(Inputs!$G$95:$G$97,MATCH(C9,Inputs!$B$95:$B$97,0))*E9)</f>
        <v/>
      </c>
      <c r="AF9" s="32">
        <f>IF(N9=0,0,INDEX(Inputs!$H$95:$H$97,MATCH(C9,Inputs!$B$95:$B$97,0))*E9)</f>
        <v/>
      </c>
      <c r="AG9" s="32">
        <f>Inputs!$C$88*G9</f>
        <v/>
      </c>
      <c r="AH9" s="32">
        <f>N9*Inputs!$C$89</f>
        <v/>
      </c>
      <c r="AI9" s="34">
        <f>SUM(AB9:AH9)</f>
        <v/>
      </c>
      <c r="AJ9" s="33">
        <f>S9-AA9</f>
        <v/>
      </c>
      <c r="AK9" s="27">
        <f>IF(AI9&gt;0,AJ9/AI9,"n/a")</f>
        <v/>
      </c>
      <c r="AL9" s="31">
        <f>T9+U9+V9+W9</f>
        <v/>
      </c>
      <c r="AM9" s="31">
        <f>X9+Y9+Z9</f>
        <v/>
      </c>
      <c r="AO9" s="17">
        <f>IF(OR(N9=0,AP9=0),"",WORKDAY(B9,-Inputs!$C$43,Lists!$N$4:$N$30)+N(Inputs!$C$47))</f>
        <v/>
      </c>
      <c r="AP9" s="31">
        <f>Q9*Inputs!$C$42</f>
        <v/>
      </c>
      <c r="AQ9" s="17">
        <f>IF(OR(N9=0,AR9=0),"",WORKDAY(B9,-Inputs!$C$45,Lists!$N$4:$N$30)+N(Inputs!$C$47))</f>
        <v/>
      </c>
      <c r="AR9" s="31">
        <f>R9*Inputs!$C$44</f>
        <v/>
      </c>
      <c r="AS9" s="17">
        <f>IF(OR(N9=0,AT9=0),"",WORKDAY(B9,Inputs!$C$46,Lists!$N$4:$N$30)+N(Inputs!$C$47))</f>
        <v/>
      </c>
      <c r="AT9" s="31">
        <f>Q9*(1-Inputs!$C$42)+R9*(1-Inputs!$C$44)</f>
        <v/>
      </c>
      <c r="AU9" s="31">
        <f>AP9*Inputs!$C$48*M9</f>
        <v/>
      </c>
      <c r="AV9" s="31">
        <f>AR9*Inputs!$C$48*M9</f>
        <v/>
      </c>
      <c r="AW9" s="31">
        <f>AT9*Inputs!$C$48*M9</f>
        <v/>
      </c>
      <c r="AX9" s="17">
        <f>IF(N9=0,"",WORKDAY(B9,-Inputs!$C$64,Lists!$N$4:$N$30))</f>
        <v/>
      </c>
      <c r="AY9" s="17">
        <f>IF(N9=0,"",B9)</f>
        <v/>
      </c>
      <c r="AZ9">
        <f>IF(Schedule!N9="Y","Y","N")</f>
        <v/>
      </c>
      <c r="BA9" s="31">
        <f>IF(AZ9="Y",Drop_Actuals!D9,S9)</f>
        <v/>
      </c>
      <c r="BB9" s="31">
        <f>IF(AZ9="Y",Drop_Actuals!J9,AA9)</f>
        <v/>
      </c>
      <c r="BC9" s="32">
        <f>IF(AZ9="Y",Drop_Actuals!R9,AI9)</f>
        <v/>
      </c>
      <c r="BD9" s="31">
        <f>BA9-BB9</f>
        <v/>
      </c>
      <c r="BE9" s="26">
        <f>IF(BC9&gt;0,BD9/BC9,"n/a")</f>
        <v/>
      </c>
      <c r="BF9">
        <f>IF(AND(N9=0,AZ9="N"),"",IF(AZ9="Y","actual","plan"))</f>
        <v/>
      </c>
      <c r="BG9" s="18">
        <f>IF(AND(N9=1,B9&gt;=Inputs!$C$17),1,0)</f>
        <v/>
      </c>
    </row>
    <row r="10">
      <c r="A10">
        <f>Schedule!A10</f>
        <v/>
      </c>
      <c r="B10" s="17">
        <f>IF(Schedule!E10="","",Schedule!E10)</f>
        <v/>
      </c>
      <c r="C10">
        <f>IF(Schedule!G10="","",Schedule!G10)</f>
        <v/>
      </c>
      <c r="D10">
        <f>IF(Schedule!H10="","",Schedule!H10)</f>
        <v/>
      </c>
      <c r="E10" s="18">
        <f>N(Schedule!I10)</f>
        <v/>
      </c>
      <c r="F10" s="18">
        <f>N(Schedule!J10)</f>
        <v/>
      </c>
      <c r="G10">
        <f>N(Schedule!K10)</f>
        <v/>
      </c>
      <c r="H10">
        <f>N(Schedule!L10)</f>
        <v/>
      </c>
      <c r="I10">
        <f>N(Schedule!M10)</f>
        <v/>
      </c>
      <c r="J10" s="31">
        <f>IF(AND(B10&lt;&gt;"",B10&gt;Inputs!$C$15),Scenarios!$H$14,Inputs!$C$33)</f>
        <v/>
      </c>
      <c r="K10" s="31">
        <f>Inputs!$C$36</f>
        <v/>
      </c>
      <c r="L10" s="18">
        <f>IF(AND(Inputs!$C$65="unit",B10&lt;&gt;"",B10&gt;=Inputs!$C$67,OR(Inputs!$C$68="",B10&lt;=Inputs!$C$68)),1,0)</f>
        <v/>
      </c>
      <c r="M10" s="18">
        <f>Inputs!$C$49</f>
        <v/>
      </c>
      <c r="N10" s="18">
        <f>IF(G10&gt;0,1,0)</f>
        <v/>
      </c>
      <c r="O10">
        <f>IF(D10="founding",G10-H10,0)</f>
        <v/>
      </c>
      <c r="P10">
        <f>IF(D10="standard",G10-H10,0)</f>
        <v/>
      </c>
      <c r="Q10" s="31">
        <f>O10*(K10*MIN(E10,Inputs!$C$37)+Inputs!$C$39*MAX(E10-Inputs!$C$37,0))+I10*K10*E10</f>
        <v/>
      </c>
      <c r="R10" s="31">
        <f>(P10+H10-I10)*(J10*MIN(E10,Inputs!$C$34)+Inputs!$C$39*MAX(E10-Inputs!$C$34,0))</f>
        <v/>
      </c>
      <c r="S10" s="33">
        <f>Q10+R10</f>
        <v/>
      </c>
      <c r="T10" s="31">
        <f>N10*E10*(Inputs!$C$58+Inputs!$C$59*MAX(G10-1,0))</f>
        <v/>
      </c>
      <c r="U10" s="31">
        <f>IF(N10=0,0,INDEX(Inputs!$C$95:$C$97,MATCH(C10,Inputs!$B$95:$B$97,0))+INDEX(Inputs!$D$95:$D$97,MATCH(C10,Inputs!$B$95:$B$97,0))*E10)</f>
        <v/>
      </c>
      <c r="V10" s="31">
        <f>IF(N10=0,0,INDEX(Inputs!$E$95:$E$97,MATCH(C10,Inputs!$B$95:$B$97,0))*E10)</f>
        <v/>
      </c>
      <c r="W10" s="31">
        <f>S10*Inputs!$C$48*M10</f>
        <v/>
      </c>
      <c r="X10" s="31">
        <f>N10*L10*Inputs!$C$66/Inputs!$C$75</f>
        <v/>
      </c>
      <c r="Y10" s="31">
        <f>N10*Inputs!$C$69/Inputs!$C$75</f>
        <v/>
      </c>
      <c r="Z10" s="31">
        <f>N10*Inputs!$C$71/Inputs!$C$75</f>
        <v/>
      </c>
      <c r="AA10" s="33">
        <f>SUM(T10:Z10)</f>
        <v/>
      </c>
      <c r="AB10" s="32">
        <f>O10*Inputs!$C$79+P10*Inputs!$C$83+H10*Inputs!$C$84</f>
        <v/>
      </c>
      <c r="AC10" s="32">
        <f>N10*(F10*Inputs!$C$85+(E10-F10)*Inputs!$C$86)</f>
        <v/>
      </c>
      <c r="AD10" s="32">
        <f>IF(N10=0,0,INDEX(Inputs!$F$95:$F$97,MATCH(C10,Inputs!$B$95:$B$97,0))+Inputs!$C$87*G10)</f>
        <v/>
      </c>
      <c r="AE10" s="32">
        <f>IF(N10=0,0,INDEX(Inputs!$G$95:$G$97,MATCH(C10,Inputs!$B$95:$B$97,0))*E10)</f>
        <v/>
      </c>
      <c r="AF10" s="32">
        <f>IF(N10=0,0,INDEX(Inputs!$H$95:$H$97,MATCH(C10,Inputs!$B$95:$B$97,0))*E10)</f>
        <v/>
      </c>
      <c r="AG10" s="32">
        <f>Inputs!$C$88*G10</f>
        <v/>
      </c>
      <c r="AH10" s="32">
        <f>N10*Inputs!$C$89</f>
        <v/>
      </c>
      <c r="AI10" s="34">
        <f>SUM(AB10:AH10)</f>
        <v/>
      </c>
      <c r="AJ10" s="33">
        <f>S10-AA10</f>
        <v/>
      </c>
      <c r="AK10" s="27">
        <f>IF(AI10&gt;0,AJ10/AI10,"n/a")</f>
        <v/>
      </c>
      <c r="AL10" s="31">
        <f>T10+U10+V10+W10</f>
        <v/>
      </c>
      <c r="AM10" s="31">
        <f>X10+Y10+Z10</f>
        <v/>
      </c>
      <c r="AO10" s="17">
        <f>IF(OR(N10=0,AP10=0),"",WORKDAY(B10,-Inputs!$C$43,Lists!$N$4:$N$30)+N(Inputs!$C$47))</f>
        <v/>
      </c>
      <c r="AP10" s="31">
        <f>Q10*Inputs!$C$42</f>
        <v/>
      </c>
      <c r="AQ10" s="17">
        <f>IF(OR(N10=0,AR10=0),"",WORKDAY(B10,-Inputs!$C$45,Lists!$N$4:$N$30)+N(Inputs!$C$47))</f>
        <v/>
      </c>
      <c r="AR10" s="31">
        <f>R10*Inputs!$C$44</f>
        <v/>
      </c>
      <c r="AS10" s="17">
        <f>IF(OR(N10=0,AT10=0),"",WORKDAY(B10,Inputs!$C$46,Lists!$N$4:$N$30)+N(Inputs!$C$47))</f>
        <v/>
      </c>
      <c r="AT10" s="31">
        <f>Q10*(1-Inputs!$C$42)+R10*(1-Inputs!$C$44)</f>
        <v/>
      </c>
      <c r="AU10" s="31">
        <f>AP10*Inputs!$C$48*M10</f>
        <v/>
      </c>
      <c r="AV10" s="31">
        <f>AR10*Inputs!$C$48*M10</f>
        <v/>
      </c>
      <c r="AW10" s="31">
        <f>AT10*Inputs!$C$48*M10</f>
        <v/>
      </c>
      <c r="AX10" s="17">
        <f>IF(N10=0,"",WORKDAY(B10,-Inputs!$C$64,Lists!$N$4:$N$30))</f>
        <v/>
      </c>
      <c r="AY10" s="17">
        <f>IF(N10=0,"",B10)</f>
        <v/>
      </c>
      <c r="AZ10">
        <f>IF(Schedule!N10="Y","Y","N")</f>
        <v/>
      </c>
      <c r="BA10" s="31">
        <f>IF(AZ10="Y",Drop_Actuals!D10,S10)</f>
        <v/>
      </c>
      <c r="BB10" s="31">
        <f>IF(AZ10="Y",Drop_Actuals!J10,AA10)</f>
        <v/>
      </c>
      <c r="BC10" s="32">
        <f>IF(AZ10="Y",Drop_Actuals!R10,AI10)</f>
        <v/>
      </c>
      <c r="BD10" s="31">
        <f>BA10-BB10</f>
        <v/>
      </c>
      <c r="BE10" s="26">
        <f>IF(BC10&gt;0,BD10/BC10,"n/a")</f>
        <v/>
      </c>
      <c r="BF10">
        <f>IF(AND(N10=0,AZ10="N"),"",IF(AZ10="Y","actual","plan"))</f>
        <v/>
      </c>
      <c r="BG10" s="18">
        <f>IF(AND(N10=1,B10&gt;=Inputs!$C$17),1,0)</f>
        <v/>
      </c>
    </row>
    <row r="11">
      <c r="A11">
        <f>Schedule!A11</f>
        <v/>
      </c>
      <c r="B11" s="17">
        <f>IF(Schedule!E11="","",Schedule!E11)</f>
        <v/>
      </c>
      <c r="C11">
        <f>IF(Schedule!G11="","",Schedule!G11)</f>
        <v/>
      </c>
      <c r="D11">
        <f>IF(Schedule!H11="","",Schedule!H11)</f>
        <v/>
      </c>
      <c r="E11" s="18">
        <f>N(Schedule!I11)</f>
        <v/>
      </c>
      <c r="F11" s="18">
        <f>N(Schedule!J11)</f>
        <v/>
      </c>
      <c r="G11">
        <f>N(Schedule!K11)</f>
        <v/>
      </c>
      <c r="H11">
        <f>N(Schedule!L11)</f>
        <v/>
      </c>
      <c r="I11">
        <f>N(Schedule!M11)</f>
        <v/>
      </c>
      <c r="J11" s="31">
        <f>IF(AND(B11&lt;&gt;"",B11&gt;Inputs!$C$15),Scenarios!$H$14,Inputs!$C$33)</f>
        <v/>
      </c>
      <c r="K11" s="31">
        <f>Inputs!$C$36</f>
        <v/>
      </c>
      <c r="L11" s="18">
        <f>IF(AND(Inputs!$C$65="unit",B11&lt;&gt;"",B11&gt;=Inputs!$C$67,OR(Inputs!$C$68="",B11&lt;=Inputs!$C$68)),1,0)</f>
        <v/>
      </c>
      <c r="M11" s="18">
        <f>Inputs!$C$49</f>
        <v/>
      </c>
      <c r="N11" s="18">
        <f>IF(G11&gt;0,1,0)</f>
        <v/>
      </c>
      <c r="O11">
        <f>IF(D11="founding",G11-H11,0)</f>
        <v/>
      </c>
      <c r="P11">
        <f>IF(D11="standard",G11-H11,0)</f>
        <v/>
      </c>
      <c r="Q11" s="31">
        <f>O11*(K11*MIN(E11,Inputs!$C$37)+Inputs!$C$39*MAX(E11-Inputs!$C$37,0))+I11*K11*E11</f>
        <v/>
      </c>
      <c r="R11" s="31">
        <f>(P11+H11-I11)*(J11*MIN(E11,Inputs!$C$34)+Inputs!$C$39*MAX(E11-Inputs!$C$34,0))</f>
        <v/>
      </c>
      <c r="S11" s="33">
        <f>Q11+R11</f>
        <v/>
      </c>
      <c r="T11" s="31">
        <f>N11*E11*(Inputs!$C$58+Inputs!$C$59*MAX(G11-1,0))</f>
        <v/>
      </c>
      <c r="U11" s="31">
        <f>IF(N11=0,0,INDEX(Inputs!$C$95:$C$97,MATCH(C11,Inputs!$B$95:$B$97,0))+INDEX(Inputs!$D$95:$D$97,MATCH(C11,Inputs!$B$95:$B$97,0))*E11)</f>
        <v/>
      </c>
      <c r="V11" s="31">
        <f>IF(N11=0,0,INDEX(Inputs!$E$95:$E$97,MATCH(C11,Inputs!$B$95:$B$97,0))*E11)</f>
        <v/>
      </c>
      <c r="W11" s="31">
        <f>S11*Inputs!$C$48*M11</f>
        <v/>
      </c>
      <c r="X11" s="31">
        <f>N11*L11*Inputs!$C$66/Inputs!$C$75</f>
        <v/>
      </c>
      <c r="Y11" s="31">
        <f>N11*Inputs!$C$69/Inputs!$C$75</f>
        <v/>
      </c>
      <c r="Z11" s="31">
        <f>N11*Inputs!$C$71/Inputs!$C$75</f>
        <v/>
      </c>
      <c r="AA11" s="33">
        <f>SUM(T11:Z11)</f>
        <v/>
      </c>
      <c r="AB11" s="32">
        <f>O11*Inputs!$C$79+P11*Inputs!$C$83+H11*Inputs!$C$84</f>
        <v/>
      </c>
      <c r="AC11" s="32">
        <f>N11*(F11*Inputs!$C$85+(E11-F11)*Inputs!$C$86)</f>
        <v/>
      </c>
      <c r="AD11" s="32">
        <f>IF(N11=0,0,INDEX(Inputs!$F$95:$F$97,MATCH(C11,Inputs!$B$95:$B$97,0))+Inputs!$C$87*G11)</f>
        <v/>
      </c>
      <c r="AE11" s="32">
        <f>IF(N11=0,0,INDEX(Inputs!$G$95:$G$97,MATCH(C11,Inputs!$B$95:$B$97,0))*E11)</f>
        <v/>
      </c>
      <c r="AF11" s="32">
        <f>IF(N11=0,0,INDEX(Inputs!$H$95:$H$97,MATCH(C11,Inputs!$B$95:$B$97,0))*E11)</f>
        <v/>
      </c>
      <c r="AG11" s="32">
        <f>Inputs!$C$88*G11</f>
        <v/>
      </c>
      <c r="AH11" s="32">
        <f>N11*Inputs!$C$89</f>
        <v/>
      </c>
      <c r="AI11" s="34">
        <f>SUM(AB11:AH11)</f>
        <v/>
      </c>
      <c r="AJ11" s="33">
        <f>S11-AA11</f>
        <v/>
      </c>
      <c r="AK11" s="27">
        <f>IF(AI11&gt;0,AJ11/AI11,"n/a")</f>
        <v/>
      </c>
      <c r="AL11" s="31">
        <f>T11+U11+V11+W11</f>
        <v/>
      </c>
      <c r="AM11" s="31">
        <f>X11+Y11+Z11</f>
        <v/>
      </c>
      <c r="AO11" s="17">
        <f>IF(OR(N11=0,AP11=0),"",WORKDAY(B11,-Inputs!$C$43,Lists!$N$4:$N$30)+N(Inputs!$C$47))</f>
        <v/>
      </c>
      <c r="AP11" s="31">
        <f>Q11*Inputs!$C$42</f>
        <v/>
      </c>
      <c r="AQ11" s="17">
        <f>IF(OR(N11=0,AR11=0),"",WORKDAY(B11,-Inputs!$C$45,Lists!$N$4:$N$30)+N(Inputs!$C$47))</f>
        <v/>
      </c>
      <c r="AR11" s="31">
        <f>R11*Inputs!$C$44</f>
        <v/>
      </c>
      <c r="AS11" s="17">
        <f>IF(OR(N11=0,AT11=0),"",WORKDAY(B11,Inputs!$C$46,Lists!$N$4:$N$30)+N(Inputs!$C$47))</f>
        <v/>
      </c>
      <c r="AT11" s="31">
        <f>Q11*(1-Inputs!$C$42)+R11*(1-Inputs!$C$44)</f>
        <v/>
      </c>
      <c r="AU11" s="31">
        <f>AP11*Inputs!$C$48*M11</f>
        <v/>
      </c>
      <c r="AV11" s="31">
        <f>AR11*Inputs!$C$48*M11</f>
        <v/>
      </c>
      <c r="AW11" s="31">
        <f>AT11*Inputs!$C$48*M11</f>
        <v/>
      </c>
      <c r="AX11" s="17">
        <f>IF(N11=0,"",WORKDAY(B11,-Inputs!$C$64,Lists!$N$4:$N$30))</f>
        <v/>
      </c>
      <c r="AY11" s="17">
        <f>IF(N11=0,"",B11)</f>
        <v/>
      </c>
      <c r="AZ11">
        <f>IF(Schedule!N11="Y","Y","N")</f>
        <v/>
      </c>
      <c r="BA11" s="31">
        <f>IF(AZ11="Y",Drop_Actuals!D11,S11)</f>
        <v/>
      </c>
      <c r="BB11" s="31">
        <f>IF(AZ11="Y",Drop_Actuals!J11,AA11)</f>
        <v/>
      </c>
      <c r="BC11" s="32">
        <f>IF(AZ11="Y",Drop_Actuals!R11,AI11)</f>
        <v/>
      </c>
      <c r="BD11" s="31">
        <f>BA11-BB11</f>
        <v/>
      </c>
      <c r="BE11" s="26">
        <f>IF(BC11&gt;0,BD11/BC11,"n/a")</f>
        <v/>
      </c>
      <c r="BF11">
        <f>IF(AND(N11=0,AZ11="N"),"",IF(AZ11="Y","actual","plan"))</f>
        <v/>
      </c>
      <c r="BG11" s="18">
        <f>IF(AND(N11=1,B11&gt;=Inputs!$C$17),1,0)</f>
        <v/>
      </c>
    </row>
    <row r="12">
      <c r="A12">
        <f>Schedule!A12</f>
        <v/>
      </c>
      <c r="B12" s="17">
        <f>IF(Schedule!E12="","",Schedule!E12)</f>
        <v/>
      </c>
      <c r="C12">
        <f>IF(Schedule!G12="","",Schedule!G12)</f>
        <v/>
      </c>
      <c r="D12">
        <f>IF(Schedule!H12="","",Schedule!H12)</f>
        <v/>
      </c>
      <c r="E12" s="18">
        <f>N(Schedule!I12)</f>
        <v/>
      </c>
      <c r="F12" s="18">
        <f>N(Schedule!J12)</f>
        <v/>
      </c>
      <c r="G12">
        <f>N(Schedule!K12)</f>
        <v/>
      </c>
      <c r="H12">
        <f>N(Schedule!L12)</f>
        <v/>
      </c>
      <c r="I12">
        <f>N(Schedule!M12)</f>
        <v/>
      </c>
      <c r="J12" s="31">
        <f>IF(AND(B12&lt;&gt;"",B12&gt;Inputs!$C$15),Scenarios!$H$14,Inputs!$C$33)</f>
        <v/>
      </c>
      <c r="K12" s="31">
        <f>Inputs!$C$36</f>
        <v/>
      </c>
      <c r="L12" s="18">
        <f>IF(AND(Inputs!$C$65="unit",B12&lt;&gt;"",B12&gt;=Inputs!$C$67,OR(Inputs!$C$68="",B12&lt;=Inputs!$C$68)),1,0)</f>
        <v/>
      </c>
      <c r="M12" s="18">
        <f>Inputs!$C$49</f>
        <v/>
      </c>
      <c r="N12" s="18">
        <f>IF(G12&gt;0,1,0)</f>
        <v/>
      </c>
      <c r="O12">
        <f>IF(D12="founding",G12-H12,0)</f>
        <v/>
      </c>
      <c r="P12">
        <f>IF(D12="standard",G12-H12,0)</f>
        <v/>
      </c>
      <c r="Q12" s="31">
        <f>O12*(K12*MIN(E12,Inputs!$C$37)+Inputs!$C$39*MAX(E12-Inputs!$C$37,0))+I12*K12*E12</f>
        <v/>
      </c>
      <c r="R12" s="31">
        <f>(P12+H12-I12)*(J12*MIN(E12,Inputs!$C$34)+Inputs!$C$39*MAX(E12-Inputs!$C$34,0))</f>
        <v/>
      </c>
      <c r="S12" s="33">
        <f>Q12+R12</f>
        <v/>
      </c>
      <c r="T12" s="31">
        <f>N12*E12*(Inputs!$C$58+Inputs!$C$59*MAX(G12-1,0))</f>
        <v/>
      </c>
      <c r="U12" s="31">
        <f>IF(N12=0,0,INDEX(Inputs!$C$95:$C$97,MATCH(C12,Inputs!$B$95:$B$97,0))+INDEX(Inputs!$D$95:$D$97,MATCH(C12,Inputs!$B$95:$B$97,0))*E12)</f>
        <v/>
      </c>
      <c r="V12" s="31">
        <f>IF(N12=0,0,INDEX(Inputs!$E$95:$E$97,MATCH(C12,Inputs!$B$95:$B$97,0))*E12)</f>
        <v/>
      </c>
      <c r="W12" s="31">
        <f>S12*Inputs!$C$48*M12</f>
        <v/>
      </c>
      <c r="X12" s="31">
        <f>N12*L12*Inputs!$C$66/Inputs!$C$75</f>
        <v/>
      </c>
      <c r="Y12" s="31">
        <f>N12*Inputs!$C$69/Inputs!$C$75</f>
        <v/>
      </c>
      <c r="Z12" s="31">
        <f>N12*Inputs!$C$71/Inputs!$C$75</f>
        <v/>
      </c>
      <c r="AA12" s="33">
        <f>SUM(T12:Z12)</f>
        <v/>
      </c>
      <c r="AB12" s="32">
        <f>O12*Inputs!$C$79+P12*Inputs!$C$83+H12*Inputs!$C$84</f>
        <v/>
      </c>
      <c r="AC12" s="32">
        <f>N12*(F12*Inputs!$C$85+(E12-F12)*Inputs!$C$86)</f>
        <v/>
      </c>
      <c r="AD12" s="32">
        <f>IF(N12=0,0,INDEX(Inputs!$F$95:$F$97,MATCH(C12,Inputs!$B$95:$B$97,0))+Inputs!$C$87*G12)</f>
        <v/>
      </c>
      <c r="AE12" s="32">
        <f>IF(N12=0,0,INDEX(Inputs!$G$95:$G$97,MATCH(C12,Inputs!$B$95:$B$97,0))*E12)</f>
        <v/>
      </c>
      <c r="AF12" s="32">
        <f>IF(N12=0,0,INDEX(Inputs!$H$95:$H$97,MATCH(C12,Inputs!$B$95:$B$97,0))*E12)</f>
        <v/>
      </c>
      <c r="AG12" s="32">
        <f>Inputs!$C$88*G12</f>
        <v/>
      </c>
      <c r="AH12" s="32">
        <f>N12*Inputs!$C$89</f>
        <v/>
      </c>
      <c r="AI12" s="34">
        <f>SUM(AB12:AH12)</f>
        <v/>
      </c>
      <c r="AJ12" s="33">
        <f>S12-AA12</f>
        <v/>
      </c>
      <c r="AK12" s="27">
        <f>IF(AI12&gt;0,AJ12/AI12,"n/a")</f>
        <v/>
      </c>
      <c r="AL12" s="31">
        <f>T12+U12+V12+W12</f>
        <v/>
      </c>
      <c r="AM12" s="31">
        <f>X12+Y12+Z12</f>
        <v/>
      </c>
      <c r="AO12" s="17">
        <f>IF(OR(N12=0,AP12=0),"",WORKDAY(B12,-Inputs!$C$43,Lists!$N$4:$N$30)+N(Inputs!$C$47))</f>
        <v/>
      </c>
      <c r="AP12" s="31">
        <f>Q12*Inputs!$C$42</f>
        <v/>
      </c>
      <c r="AQ12" s="17">
        <f>IF(OR(N12=0,AR12=0),"",WORKDAY(B12,-Inputs!$C$45,Lists!$N$4:$N$30)+N(Inputs!$C$47))</f>
        <v/>
      </c>
      <c r="AR12" s="31">
        <f>R12*Inputs!$C$44</f>
        <v/>
      </c>
      <c r="AS12" s="17">
        <f>IF(OR(N12=0,AT12=0),"",WORKDAY(B12,Inputs!$C$46,Lists!$N$4:$N$30)+N(Inputs!$C$47))</f>
        <v/>
      </c>
      <c r="AT12" s="31">
        <f>Q12*(1-Inputs!$C$42)+R12*(1-Inputs!$C$44)</f>
        <v/>
      </c>
      <c r="AU12" s="31">
        <f>AP12*Inputs!$C$48*M12</f>
        <v/>
      </c>
      <c r="AV12" s="31">
        <f>AR12*Inputs!$C$48*M12</f>
        <v/>
      </c>
      <c r="AW12" s="31">
        <f>AT12*Inputs!$C$48*M12</f>
        <v/>
      </c>
      <c r="AX12" s="17">
        <f>IF(N12=0,"",WORKDAY(B12,-Inputs!$C$64,Lists!$N$4:$N$30))</f>
        <v/>
      </c>
      <c r="AY12" s="17">
        <f>IF(N12=0,"",B12)</f>
        <v/>
      </c>
      <c r="AZ12">
        <f>IF(Schedule!N12="Y","Y","N")</f>
        <v/>
      </c>
      <c r="BA12" s="31">
        <f>IF(AZ12="Y",Drop_Actuals!D12,S12)</f>
        <v/>
      </c>
      <c r="BB12" s="31">
        <f>IF(AZ12="Y",Drop_Actuals!J12,AA12)</f>
        <v/>
      </c>
      <c r="BC12" s="32">
        <f>IF(AZ12="Y",Drop_Actuals!R12,AI12)</f>
        <v/>
      </c>
      <c r="BD12" s="31">
        <f>BA12-BB12</f>
        <v/>
      </c>
      <c r="BE12" s="26">
        <f>IF(BC12&gt;0,BD12/BC12,"n/a")</f>
        <v/>
      </c>
      <c r="BF12">
        <f>IF(AND(N12=0,AZ12="N"),"",IF(AZ12="Y","actual","plan"))</f>
        <v/>
      </c>
      <c r="BG12" s="18">
        <f>IF(AND(N12=1,B12&gt;=Inputs!$C$17),1,0)</f>
        <v/>
      </c>
    </row>
    <row r="13">
      <c r="A13">
        <f>Schedule!A13</f>
        <v/>
      </c>
      <c r="B13" s="17">
        <f>IF(Schedule!E13="","",Schedule!E13)</f>
        <v/>
      </c>
      <c r="C13">
        <f>IF(Schedule!G13="","",Schedule!G13)</f>
        <v/>
      </c>
      <c r="D13">
        <f>IF(Schedule!H13="","",Schedule!H13)</f>
        <v/>
      </c>
      <c r="E13" s="18">
        <f>N(Schedule!I13)</f>
        <v/>
      </c>
      <c r="F13" s="18">
        <f>N(Schedule!J13)</f>
        <v/>
      </c>
      <c r="G13">
        <f>N(Schedule!K13)</f>
        <v/>
      </c>
      <c r="H13">
        <f>N(Schedule!L13)</f>
        <v/>
      </c>
      <c r="I13">
        <f>N(Schedule!M13)</f>
        <v/>
      </c>
      <c r="J13" s="31">
        <f>IF(AND(B13&lt;&gt;"",B13&gt;Inputs!$C$15),Scenarios!$H$14,Inputs!$C$33)</f>
        <v/>
      </c>
      <c r="K13" s="31">
        <f>Inputs!$C$36</f>
        <v/>
      </c>
      <c r="L13" s="18">
        <f>IF(AND(Inputs!$C$65="unit",B13&lt;&gt;"",B13&gt;=Inputs!$C$67,OR(Inputs!$C$68="",B13&lt;=Inputs!$C$68)),1,0)</f>
        <v/>
      </c>
      <c r="M13" s="18">
        <f>Inputs!$C$49</f>
        <v/>
      </c>
      <c r="N13" s="18">
        <f>IF(G13&gt;0,1,0)</f>
        <v/>
      </c>
      <c r="O13">
        <f>IF(D13="founding",G13-H13,0)</f>
        <v/>
      </c>
      <c r="P13">
        <f>IF(D13="standard",G13-H13,0)</f>
        <v/>
      </c>
      <c r="Q13" s="31">
        <f>O13*(K13*MIN(E13,Inputs!$C$37)+Inputs!$C$39*MAX(E13-Inputs!$C$37,0))+I13*K13*E13</f>
        <v/>
      </c>
      <c r="R13" s="31">
        <f>(P13+H13-I13)*(J13*MIN(E13,Inputs!$C$34)+Inputs!$C$39*MAX(E13-Inputs!$C$34,0))</f>
        <v/>
      </c>
      <c r="S13" s="33">
        <f>Q13+R13</f>
        <v/>
      </c>
      <c r="T13" s="31">
        <f>N13*E13*(Inputs!$C$58+Inputs!$C$59*MAX(G13-1,0))</f>
        <v/>
      </c>
      <c r="U13" s="31">
        <f>IF(N13=0,0,INDEX(Inputs!$C$95:$C$97,MATCH(C13,Inputs!$B$95:$B$97,0))+INDEX(Inputs!$D$95:$D$97,MATCH(C13,Inputs!$B$95:$B$97,0))*E13)</f>
        <v/>
      </c>
      <c r="V13" s="31">
        <f>IF(N13=0,0,INDEX(Inputs!$E$95:$E$97,MATCH(C13,Inputs!$B$95:$B$97,0))*E13)</f>
        <v/>
      </c>
      <c r="W13" s="31">
        <f>S13*Inputs!$C$48*M13</f>
        <v/>
      </c>
      <c r="X13" s="31">
        <f>N13*L13*Inputs!$C$66/Inputs!$C$75</f>
        <v/>
      </c>
      <c r="Y13" s="31">
        <f>N13*Inputs!$C$69/Inputs!$C$75</f>
        <v/>
      </c>
      <c r="Z13" s="31">
        <f>N13*Inputs!$C$71/Inputs!$C$75</f>
        <v/>
      </c>
      <c r="AA13" s="33">
        <f>SUM(T13:Z13)</f>
        <v/>
      </c>
      <c r="AB13" s="32">
        <f>O13*Inputs!$C$79+P13*Inputs!$C$83+H13*Inputs!$C$84</f>
        <v/>
      </c>
      <c r="AC13" s="32">
        <f>N13*(F13*Inputs!$C$85+(E13-F13)*Inputs!$C$86)</f>
        <v/>
      </c>
      <c r="AD13" s="32">
        <f>IF(N13=0,0,INDEX(Inputs!$F$95:$F$97,MATCH(C13,Inputs!$B$95:$B$97,0))+Inputs!$C$87*G13)</f>
        <v/>
      </c>
      <c r="AE13" s="32">
        <f>IF(N13=0,0,INDEX(Inputs!$G$95:$G$97,MATCH(C13,Inputs!$B$95:$B$97,0))*E13)</f>
        <v/>
      </c>
      <c r="AF13" s="32">
        <f>IF(N13=0,0,INDEX(Inputs!$H$95:$H$97,MATCH(C13,Inputs!$B$95:$B$97,0))*E13)</f>
        <v/>
      </c>
      <c r="AG13" s="32">
        <f>Inputs!$C$88*G13</f>
        <v/>
      </c>
      <c r="AH13" s="32">
        <f>N13*Inputs!$C$89</f>
        <v/>
      </c>
      <c r="AI13" s="34">
        <f>SUM(AB13:AH13)</f>
        <v/>
      </c>
      <c r="AJ13" s="33">
        <f>S13-AA13</f>
        <v/>
      </c>
      <c r="AK13" s="27">
        <f>IF(AI13&gt;0,AJ13/AI13,"n/a")</f>
        <v/>
      </c>
      <c r="AL13" s="31">
        <f>T13+U13+V13+W13</f>
        <v/>
      </c>
      <c r="AM13" s="31">
        <f>X13+Y13+Z13</f>
        <v/>
      </c>
      <c r="AO13" s="17">
        <f>IF(OR(N13=0,AP13=0),"",WORKDAY(B13,-Inputs!$C$43,Lists!$N$4:$N$30)+N(Inputs!$C$47))</f>
        <v/>
      </c>
      <c r="AP13" s="31">
        <f>Q13*Inputs!$C$42</f>
        <v/>
      </c>
      <c r="AQ13" s="17">
        <f>IF(OR(N13=0,AR13=0),"",WORKDAY(B13,-Inputs!$C$45,Lists!$N$4:$N$30)+N(Inputs!$C$47))</f>
        <v/>
      </c>
      <c r="AR13" s="31">
        <f>R13*Inputs!$C$44</f>
        <v/>
      </c>
      <c r="AS13" s="17">
        <f>IF(OR(N13=0,AT13=0),"",WORKDAY(B13,Inputs!$C$46,Lists!$N$4:$N$30)+N(Inputs!$C$47))</f>
        <v/>
      </c>
      <c r="AT13" s="31">
        <f>Q13*(1-Inputs!$C$42)+R13*(1-Inputs!$C$44)</f>
        <v/>
      </c>
      <c r="AU13" s="31">
        <f>AP13*Inputs!$C$48*M13</f>
        <v/>
      </c>
      <c r="AV13" s="31">
        <f>AR13*Inputs!$C$48*M13</f>
        <v/>
      </c>
      <c r="AW13" s="31">
        <f>AT13*Inputs!$C$48*M13</f>
        <v/>
      </c>
      <c r="AX13" s="17">
        <f>IF(N13=0,"",WORKDAY(B13,-Inputs!$C$64,Lists!$N$4:$N$30))</f>
        <v/>
      </c>
      <c r="AY13" s="17">
        <f>IF(N13=0,"",B13)</f>
        <v/>
      </c>
      <c r="AZ13">
        <f>IF(Schedule!N13="Y","Y","N")</f>
        <v/>
      </c>
      <c r="BA13" s="31">
        <f>IF(AZ13="Y",Drop_Actuals!D13,S13)</f>
        <v/>
      </c>
      <c r="BB13" s="31">
        <f>IF(AZ13="Y",Drop_Actuals!J13,AA13)</f>
        <v/>
      </c>
      <c r="BC13" s="32">
        <f>IF(AZ13="Y",Drop_Actuals!R13,AI13)</f>
        <v/>
      </c>
      <c r="BD13" s="31">
        <f>BA13-BB13</f>
        <v/>
      </c>
      <c r="BE13" s="26">
        <f>IF(BC13&gt;0,BD13/BC13,"n/a")</f>
        <v/>
      </c>
      <c r="BF13">
        <f>IF(AND(N13=0,AZ13="N"),"",IF(AZ13="Y","actual","plan"))</f>
        <v/>
      </c>
      <c r="BG13" s="18">
        <f>IF(AND(N13=1,B13&gt;=Inputs!$C$17),1,0)</f>
        <v/>
      </c>
    </row>
    <row r="14">
      <c r="A14">
        <f>Schedule!A14</f>
        <v/>
      </c>
      <c r="B14" s="17">
        <f>IF(Schedule!E14="","",Schedule!E14)</f>
        <v/>
      </c>
      <c r="C14">
        <f>IF(Schedule!G14="","",Schedule!G14)</f>
        <v/>
      </c>
      <c r="D14">
        <f>IF(Schedule!H14="","",Schedule!H14)</f>
        <v/>
      </c>
      <c r="E14" s="18">
        <f>N(Schedule!I14)</f>
        <v/>
      </c>
      <c r="F14" s="18">
        <f>N(Schedule!J14)</f>
        <v/>
      </c>
      <c r="G14">
        <f>N(Schedule!K14)</f>
        <v/>
      </c>
      <c r="H14">
        <f>N(Schedule!L14)</f>
        <v/>
      </c>
      <c r="I14">
        <f>N(Schedule!M14)</f>
        <v/>
      </c>
      <c r="J14" s="31">
        <f>IF(AND(B14&lt;&gt;"",B14&gt;Inputs!$C$15),Scenarios!$H$14,Inputs!$C$33)</f>
        <v/>
      </c>
      <c r="K14" s="31">
        <f>Inputs!$C$36</f>
        <v/>
      </c>
      <c r="L14" s="18">
        <f>IF(AND(Inputs!$C$65="unit",B14&lt;&gt;"",B14&gt;=Inputs!$C$67,OR(Inputs!$C$68="",B14&lt;=Inputs!$C$68)),1,0)</f>
        <v/>
      </c>
      <c r="M14" s="18">
        <f>Inputs!$C$49</f>
        <v/>
      </c>
      <c r="N14" s="18">
        <f>IF(G14&gt;0,1,0)</f>
        <v/>
      </c>
      <c r="O14">
        <f>IF(D14="founding",G14-H14,0)</f>
        <v/>
      </c>
      <c r="P14">
        <f>IF(D14="standard",G14-H14,0)</f>
        <v/>
      </c>
      <c r="Q14" s="31">
        <f>O14*(K14*MIN(E14,Inputs!$C$37)+Inputs!$C$39*MAX(E14-Inputs!$C$37,0))+I14*K14*E14</f>
        <v/>
      </c>
      <c r="R14" s="31">
        <f>(P14+H14-I14)*(J14*MIN(E14,Inputs!$C$34)+Inputs!$C$39*MAX(E14-Inputs!$C$34,0))</f>
        <v/>
      </c>
      <c r="S14" s="33">
        <f>Q14+R14</f>
        <v/>
      </c>
      <c r="T14" s="31">
        <f>N14*E14*(Inputs!$C$58+Inputs!$C$59*MAX(G14-1,0))</f>
        <v/>
      </c>
      <c r="U14" s="31">
        <f>IF(N14=0,0,INDEX(Inputs!$C$95:$C$97,MATCH(C14,Inputs!$B$95:$B$97,0))+INDEX(Inputs!$D$95:$D$97,MATCH(C14,Inputs!$B$95:$B$97,0))*E14)</f>
        <v/>
      </c>
      <c r="V14" s="31">
        <f>IF(N14=0,0,INDEX(Inputs!$E$95:$E$97,MATCH(C14,Inputs!$B$95:$B$97,0))*E14)</f>
        <v/>
      </c>
      <c r="W14" s="31">
        <f>S14*Inputs!$C$48*M14</f>
        <v/>
      </c>
      <c r="X14" s="31">
        <f>N14*L14*Inputs!$C$66/Inputs!$C$75</f>
        <v/>
      </c>
      <c r="Y14" s="31">
        <f>N14*Inputs!$C$69/Inputs!$C$75</f>
        <v/>
      </c>
      <c r="Z14" s="31">
        <f>N14*Inputs!$C$71/Inputs!$C$75</f>
        <v/>
      </c>
      <c r="AA14" s="33">
        <f>SUM(T14:Z14)</f>
        <v/>
      </c>
      <c r="AB14" s="32">
        <f>O14*Inputs!$C$79+P14*Inputs!$C$83+H14*Inputs!$C$84</f>
        <v/>
      </c>
      <c r="AC14" s="32">
        <f>N14*(F14*Inputs!$C$85+(E14-F14)*Inputs!$C$86)</f>
        <v/>
      </c>
      <c r="AD14" s="32">
        <f>IF(N14=0,0,INDEX(Inputs!$F$95:$F$97,MATCH(C14,Inputs!$B$95:$B$97,0))+Inputs!$C$87*G14)</f>
        <v/>
      </c>
      <c r="AE14" s="32">
        <f>IF(N14=0,0,INDEX(Inputs!$G$95:$G$97,MATCH(C14,Inputs!$B$95:$B$97,0))*E14)</f>
        <v/>
      </c>
      <c r="AF14" s="32">
        <f>IF(N14=0,0,INDEX(Inputs!$H$95:$H$97,MATCH(C14,Inputs!$B$95:$B$97,0))*E14)</f>
        <v/>
      </c>
      <c r="AG14" s="32">
        <f>Inputs!$C$88*G14</f>
        <v/>
      </c>
      <c r="AH14" s="32">
        <f>N14*Inputs!$C$89</f>
        <v/>
      </c>
      <c r="AI14" s="34">
        <f>SUM(AB14:AH14)</f>
        <v/>
      </c>
      <c r="AJ14" s="33">
        <f>S14-AA14</f>
        <v/>
      </c>
      <c r="AK14" s="27">
        <f>IF(AI14&gt;0,AJ14/AI14,"n/a")</f>
        <v/>
      </c>
      <c r="AL14" s="31">
        <f>T14+U14+V14+W14</f>
        <v/>
      </c>
      <c r="AM14" s="31">
        <f>X14+Y14+Z14</f>
        <v/>
      </c>
      <c r="AO14" s="17">
        <f>IF(OR(N14=0,AP14=0),"",WORKDAY(B14,-Inputs!$C$43,Lists!$N$4:$N$30)+N(Inputs!$C$47))</f>
        <v/>
      </c>
      <c r="AP14" s="31">
        <f>Q14*Inputs!$C$42</f>
        <v/>
      </c>
      <c r="AQ14" s="17">
        <f>IF(OR(N14=0,AR14=0),"",WORKDAY(B14,-Inputs!$C$45,Lists!$N$4:$N$30)+N(Inputs!$C$47))</f>
        <v/>
      </c>
      <c r="AR14" s="31">
        <f>R14*Inputs!$C$44</f>
        <v/>
      </c>
      <c r="AS14" s="17">
        <f>IF(OR(N14=0,AT14=0),"",WORKDAY(B14,Inputs!$C$46,Lists!$N$4:$N$30)+N(Inputs!$C$47))</f>
        <v/>
      </c>
      <c r="AT14" s="31">
        <f>Q14*(1-Inputs!$C$42)+R14*(1-Inputs!$C$44)</f>
        <v/>
      </c>
      <c r="AU14" s="31">
        <f>AP14*Inputs!$C$48*M14</f>
        <v/>
      </c>
      <c r="AV14" s="31">
        <f>AR14*Inputs!$C$48*M14</f>
        <v/>
      </c>
      <c r="AW14" s="31">
        <f>AT14*Inputs!$C$48*M14</f>
        <v/>
      </c>
      <c r="AX14" s="17">
        <f>IF(N14=0,"",WORKDAY(B14,-Inputs!$C$64,Lists!$N$4:$N$30))</f>
        <v/>
      </c>
      <c r="AY14" s="17">
        <f>IF(N14=0,"",B14)</f>
        <v/>
      </c>
      <c r="AZ14">
        <f>IF(Schedule!N14="Y","Y","N")</f>
        <v/>
      </c>
      <c r="BA14" s="31">
        <f>IF(AZ14="Y",Drop_Actuals!D14,S14)</f>
        <v/>
      </c>
      <c r="BB14" s="31">
        <f>IF(AZ14="Y",Drop_Actuals!J14,AA14)</f>
        <v/>
      </c>
      <c r="BC14" s="32">
        <f>IF(AZ14="Y",Drop_Actuals!R14,AI14)</f>
        <v/>
      </c>
      <c r="BD14" s="31">
        <f>BA14-BB14</f>
        <v/>
      </c>
      <c r="BE14" s="26">
        <f>IF(BC14&gt;0,BD14/BC14,"n/a")</f>
        <v/>
      </c>
      <c r="BF14">
        <f>IF(AND(N14=0,AZ14="N"),"",IF(AZ14="Y","actual","plan"))</f>
        <v/>
      </c>
      <c r="BG14" s="18">
        <f>IF(AND(N14=1,B14&gt;=Inputs!$C$17),1,0)</f>
        <v/>
      </c>
    </row>
    <row r="15">
      <c r="A15">
        <f>Schedule!A15</f>
        <v/>
      </c>
      <c r="B15" s="17">
        <f>IF(Schedule!E15="","",Schedule!E15)</f>
        <v/>
      </c>
      <c r="C15">
        <f>IF(Schedule!G15="","",Schedule!G15)</f>
        <v/>
      </c>
      <c r="D15">
        <f>IF(Schedule!H15="","",Schedule!H15)</f>
        <v/>
      </c>
      <c r="E15" s="18">
        <f>N(Schedule!I15)</f>
        <v/>
      </c>
      <c r="F15" s="18">
        <f>N(Schedule!J15)</f>
        <v/>
      </c>
      <c r="G15">
        <f>N(Schedule!K15)</f>
        <v/>
      </c>
      <c r="H15">
        <f>N(Schedule!L15)</f>
        <v/>
      </c>
      <c r="I15">
        <f>N(Schedule!M15)</f>
        <v/>
      </c>
      <c r="J15" s="31">
        <f>IF(AND(B15&lt;&gt;"",B15&gt;Inputs!$C$15),Scenarios!$H$14,Inputs!$C$33)</f>
        <v/>
      </c>
      <c r="K15" s="31">
        <f>Inputs!$C$36</f>
        <v/>
      </c>
      <c r="L15" s="18">
        <f>IF(AND(Inputs!$C$65="unit",B15&lt;&gt;"",B15&gt;=Inputs!$C$67,OR(Inputs!$C$68="",B15&lt;=Inputs!$C$68)),1,0)</f>
        <v/>
      </c>
      <c r="M15" s="18">
        <f>Inputs!$C$49</f>
        <v/>
      </c>
      <c r="N15" s="18">
        <f>IF(G15&gt;0,1,0)</f>
        <v/>
      </c>
      <c r="O15">
        <f>IF(D15="founding",G15-H15,0)</f>
        <v/>
      </c>
      <c r="P15">
        <f>IF(D15="standard",G15-H15,0)</f>
        <v/>
      </c>
      <c r="Q15" s="31">
        <f>O15*(K15*MIN(E15,Inputs!$C$37)+Inputs!$C$39*MAX(E15-Inputs!$C$37,0))+I15*K15*E15</f>
        <v/>
      </c>
      <c r="R15" s="31">
        <f>(P15+H15-I15)*(J15*MIN(E15,Inputs!$C$34)+Inputs!$C$39*MAX(E15-Inputs!$C$34,0))</f>
        <v/>
      </c>
      <c r="S15" s="33">
        <f>Q15+R15</f>
        <v/>
      </c>
      <c r="T15" s="31">
        <f>N15*E15*(Inputs!$C$58+Inputs!$C$59*MAX(G15-1,0))</f>
        <v/>
      </c>
      <c r="U15" s="31">
        <f>IF(N15=0,0,INDEX(Inputs!$C$95:$C$97,MATCH(C15,Inputs!$B$95:$B$97,0))+INDEX(Inputs!$D$95:$D$97,MATCH(C15,Inputs!$B$95:$B$97,0))*E15)</f>
        <v/>
      </c>
      <c r="V15" s="31">
        <f>IF(N15=0,0,INDEX(Inputs!$E$95:$E$97,MATCH(C15,Inputs!$B$95:$B$97,0))*E15)</f>
        <v/>
      </c>
      <c r="W15" s="31">
        <f>S15*Inputs!$C$48*M15</f>
        <v/>
      </c>
      <c r="X15" s="31">
        <f>N15*L15*Inputs!$C$66/Inputs!$C$75</f>
        <v/>
      </c>
      <c r="Y15" s="31">
        <f>N15*Inputs!$C$69/Inputs!$C$75</f>
        <v/>
      </c>
      <c r="Z15" s="31">
        <f>N15*Inputs!$C$71/Inputs!$C$75</f>
        <v/>
      </c>
      <c r="AA15" s="33">
        <f>SUM(T15:Z15)</f>
        <v/>
      </c>
      <c r="AB15" s="32">
        <f>O15*Inputs!$C$79+P15*Inputs!$C$83+H15*Inputs!$C$84</f>
        <v/>
      </c>
      <c r="AC15" s="32">
        <f>N15*(F15*Inputs!$C$85+(E15-F15)*Inputs!$C$86)</f>
        <v/>
      </c>
      <c r="AD15" s="32">
        <f>IF(N15=0,0,INDEX(Inputs!$F$95:$F$97,MATCH(C15,Inputs!$B$95:$B$97,0))+Inputs!$C$87*G15)</f>
        <v/>
      </c>
      <c r="AE15" s="32">
        <f>IF(N15=0,0,INDEX(Inputs!$G$95:$G$97,MATCH(C15,Inputs!$B$95:$B$97,0))*E15)</f>
        <v/>
      </c>
      <c r="AF15" s="32">
        <f>IF(N15=0,0,INDEX(Inputs!$H$95:$H$97,MATCH(C15,Inputs!$B$95:$B$97,0))*E15)</f>
        <v/>
      </c>
      <c r="AG15" s="32">
        <f>Inputs!$C$88*G15</f>
        <v/>
      </c>
      <c r="AH15" s="32">
        <f>N15*Inputs!$C$89</f>
        <v/>
      </c>
      <c r="AI15" s="34">
        <f>SUM(AB15:AH15)</f>
        <v/>
      </c>
      <c r="AJ15" s="33">
        <f>S15-AA15</f>
        <v/>
      </c>
      <c r="AK15" s="27">
        <f>IF(AI15&gt;0,AJ15/AI15,"n/a")</f>
        <v/>
      </c>
      <c r="AL15" s="31">
        <f>T15+U15+V15+W15</f>
        <v/>
      </c>
      <c r="AM15" s="31">
        <f>X15+Y15+Z15</f>
        <v/>
      </c>
      <c r="AO15" s="17">
        <f>IF(OR(N15=0,AP15=0),"",WORKDAY(B15,-Inputs!$C$43,Lists!$N$4:$N$30)+N(Inputs!$C$47))</f>
        <v/>
      </c>
      <c r="AP15" s="31">
        <f>Q15*Inputs!$C$42</f>
        <v/>
      </c>
      <c r="AQ15" s="17">
        <f>IF(OR(N15=0,AR15=0),"",WORKDAY(B15,-Inputs!$C$45,Lists!$N$4:$N$30)+N(Inputs!$C$47))</f>
        <v/>
      </c>
      <c r="AR15" s="31">
        <f>R15*Inputs!$C$44</f>
        <v/>
      </c>
      <c r="AS15" s="17">
        <f>IF(OR(N15=0,AT15=0),"",WORKDAY(B15,Inputs!$C$46,Lists!$N$4:$N$30)+N(Inputs!$C$47))</f>
        <v/>
      </c>
      <c r="AT15" s="31">
        <f>Q15*(1-Inputs!$C$42)+R15*(1-Inputs!$C$44)</f>
        <v/>
      </c>
      <c r="AU15" s="31">
        <f>AP15*Inputs!$C$48*M15</f>
        <v/>
      </c>
      <c r="AV15" s="31">
        <f>AR15*Inputs!$C$48*M15</f>
        <v/>
      </c>
      <c r="AW15" s="31">
        <f>AT15*Inputs!$C$48*M15</f>
        <v/>
      </c>
      <c r="AX15" s="17">
        <f>IF(N15=0,"",WORKDAY(B15,-Inputs!$C$64,Lists!$N$4:$N$30))</f>
        <v/>
      </c>
      <c r="AY15" s="17">
        <f>IF(N15=0,"",B15)</f>
        <v/>
      </c>
      <c r="AZ15">
        <f>IF(Schedule!N15="Y","Y","N")</f>
        <v/>
      </c>
      <c r="BA15" s="31">
        <f>IF(AZ15="Y",Drop_Actuals!D15,S15)</f>
        <v/>
      </c>
      <c r="BB15" s="31">
        <f>IF(AZ15="Y",Drop_Actuals!J15,AA15)</f>
        <v/>
      </c>
      <c r="BC15" s="32">
        <f>IF(AZ15="Y",Drop_Actuals!R15,AI15)</f>
        <v/>
      </c>
      <c r="BD15" s="31">
        <f>BA15-BB15</f>
        <v/>
      </c>
      <c r="BE15" s="26">
        <f>IF(BC15&gt;0,BD15/BC15,"n/a")</f>
        <v/>
      </c>
      <c r="BF15">
        <f>IF(AND(N15=0,AZ15="N"),"",IF(AZ15="Y","actual","plan"))</f>
        <v/>
      </c>
      <c r="BG15" s="18">
        <f>IF(AND(N15=1,B15&gt;=Inputs!$C$17),1,0)</f>
        <v/>
      </c>
    </row>
    <row r="16">
      <c r="A16">
        <f>Schedule!A16</f>
        <v/>
      </c>
      <c r="B16" s="17">
        <f>IF(Schedule!E16="","",Schedule!E16)</f>
        <v/>
      </c>
      <c r="C16">
        <f>IF(Schedule!G16="","",Schedule!G16)</f>
        <v/>
      </c>
      <c r="D16">
        <f>IF(Schedule!H16="","",Schedule!H16)</f>
        <v/>
      </c>
      <c r="E16" s="18">
        <f>N(Schedule!I16)</f>
        <v/>
      </c>
      <c r="F16" s="18">
        <f>N(Schedule!J16)</f>
        <v/>
      </c>
      <c r="G16">
        <f>N(Schedule!K16)</f>
        <v/>
      </c>
      <c r="H16">
        <f>N(Schedule!L16)</f>
        <v/>
      </c>
      <c r="I16">
        <f>N(Schedule!M16)</f>
        <v/>
      </c>
      <c r="J16" s="31">
        <f>IF(AND(B16&lt;&gt;"",B16&gt;Inputs!$C$15),Scenarios!$H$14,Inputs!$C$33)</f>
        <v/>
      </c>
      <c r="K16" s="31">
        <f>Inputs!$C$36</f>
        <v/>
      </c>
      <c r="L16" s="18">
        <f>IF(AND(Inputs!$C$65="unit",B16&lt;&gt;"",B16&gt;=Inputs!$C$67,OR(Inputs!$C$68="",B16&lt;=Inputs!$C$68)),1,0)</f>
        <v/>
      </c>
      <c r="M16" s="18">
        <f>Inputs!$C$49</f>
        <v/>
      </c>
      <c r="N16" s="18">
        <f>IF(G16&gt;0,1,0)</f>
        <v/>
      </c>
      <c r="O16">
        <f>IF(D16="founding",G16-H16,0)</f>
        <v/>
      </c>
      <c r="P16">
        <f>IF(D16="standard",G16-H16,0)</f>
        <v/>
      </c>
      <c r="Q16" s="31">
        <f>O16*(K16*MIN(E16,Inputs!$C$37)+Inputs!$C$39*MAX(E16-Inputs!$C$37,0))+I16*K16*E16</f>
        <v/>
      </c>
      <c r="R16" s="31">
        <f>(P16+H16-I16)*(J16*MIN(E16,Inputs!$C$34)+Inputs!$C$39*MAX(E16-Inputs!$C$34,0))</f>
        <v/>
      </c>
      <c r="S16" s="33">
        <f>Q16+R16</f>
        <v/>
      </c>
      <c r="T16" s="31">
        <f>N16*E16*(Inputs!$C$58+Inputs!$C$59*MAX(G16-1,0))</f>
        <v/>
      </c>
      <c r="U16" s="31">
        <f>IF(N16=0,0,INDEX(Inputs!$C$95:$C$97,MATCH(C16,Inputs!$B$95:$B$97,0))+INDEX(Inputs!$D$95:$D$97,MATCH(C16,Inputs!$B$95:$B$97,0))*E16)</f>
        <v/>
      </c>
      <c r="V16" s="31">
        <f>IF(N16=0,0,INDEX(Inputs!$E$95:$E$97,MATCH(C16,Inputs!$B$95:$B$97,0))*E16)</f>
        <v/>
      </c>
      <c r="W16" s="31">
        <f>S16*Inputs!$C$48*M16</f>
        <v/>
      </c>
      <c r="X16" s="31">
        <f>N16*L16*Inputs!$C$66/Inputs!$C$75</f>
        <v/>
      </c>
      <c r="Y16" s="31">
        <f>N16*Inputs!$C$69/Inputs!$C$75</f>
        <v/>
      </c>
      <c r="Z16" s="31">
        <f>N16*Inputs!$C$71/Inputs!$C$75</f>
        <v/>
      </c>
      <c r="AA16" s="33">
        <f>SUM(T16:Z16)</f>
        <v/>
      </c>
      <c r="AB16" s="32">
        <f>O16*Inputs!$C$79+P16*Inputs!$C$83+H16*Inputs!$C$84</f>
        <v/>
      </c>
      <c r="AC16" s="32">
        <f>N16*(F16*Inputs!$C$85+(E16-F16)*Inputs!$C$86)</f>
        <v/>
      </c>
      <c r="AD16" s="32">
        <f>IF(N16=0,0,INDEX(Inputs!$F$95:$F$97,MATCH(C16,Inputs!$B$95:$B$97,0))+Inputs!$C$87*G16)</f>
        <v/>
      </c>
      <c r="AE16" s="32">
        <f>IF(N16=0,0,INDEX(Inputs!$G$95:$G$97,MATCH(C16,Inputs!$B$95:$B$97,0))*E16)</f>
        <v/>
      </c>
      <c r="AF16" s="32">
        <f>IF(N16=0,0,INDEX(Inputs!$H$95:$H$97,MATCH(C16,Inputs!$B$95:$B$97,0))*E16)</f>
        <v/>
      </c>
      <c r="AG16" s="32">
        <f>Inputs!$C$88*G16</f>
        <v/>
      </c>
      <c r="AH16" s="32">
        <f>N16*Inputs!$C$89</f>
        <v/>
      </c>
      <c r="AI16" s="34">
        <f>SUM(AB16:AH16)</f>
        <v/>
      </c>
      <c r="AJ16" s="33">
        <f>S16-AA16</f>
        <v/>
      </c>
      <c r="AK16" s="27">
        <f>IF(AI16&gt;0,AJ16/AI16,"n/a")</f>
        <v/>
      </c>
      <c r="AL16" s="31">
        <f>T16+U16+V16+W16</f>
        <v/>
      </c>
      <c r="AM16" s="31">
        <f>X16+Y16+Z16</f>
        <v/>
      </c>
      <c r="AO16" s="17">
        <f>IF(OR(N16=0,AP16=0),"",WORKDAY(B16,-Inputs!$C$43,Lists!$N$4:$N$30)+N(Inputs!$C$47))</f>
        <v/>
      </c>
      <c r="AP16" s="31">
        <f>Q16*Inputs!$C$42</f>
        <v/>
      </c>
      <c r="AQ16" s="17">
        <f>IF(OR(N16=0,AR16=0),"",WORKDAY(B16,-Inputs!$C$45,Lists!$N$4:$N$30)+N(Inputs!$C$47))</f>
        <v/>
      </c>
      <c r="AR16" s="31">
        <f>R16*Inputs!$C$44</f>
        <v/>
      </c>
      <c r="AS16" s="17">
        <f>IF(OR(N16=0,AT16=0),"",WORKDAY(B16,Inputs!$C$46,Lists!$N$4:$N$30)+N(Inputs!$C$47))</f>
        <v/>
      </c>
      <c r="AT16" s="31">
        <f>Q16*(1-Inputs!$C$42)+R16*(1-Inputs!$C$44)</f>
        <v/>
      </c>
      <c r="AU16" s="31">
        <f>AP16*Inputs!$C$48*M16</f>
        <v/>
      </c>
      <c r="AV16" s="31">
        <f>AR16*Inputs!$C$48*M16</f>
        <v/>
      </c>
      <c r="AW16" s="31">
        <f>AT16*Inputs!$C$48*M16</f>
        <v/>
      </c>
      <c r="AX16" s="17">
        <f>IF(N16=0,"",WORKDAY(B16,-Inputs!$C$64,Lists!$N$4:$N$30))</f>
        <v/>
      </c>
      <c r="AY16" s="17">
        <f>IF(N16=0,"",B16)</f>
        <v/>
      </c>
      <c r="AZ16">
        <f>IF(Schedule!N16="Y","Y","N")</f>
        <v/>
      </c>
      <c r="BA16" s="31">
        <f>IF(AZ16="Y",Drop_Actuals!D16,S16)</f>
        <v/>
      </c>
      <c r="BB16" s="31">
        <f>IF(AZ16="Y",Drop_Actuals!J16,AA16)</f>
        <v/>
      </c>
      <c r="BC16" s="32">
        <f>IF(AZ16="Y",Drop_Actuals!R16,AI16)</f>
        <v/>
      </c>
      <c r="BD16" s="31">
        <f>BA16-BB16</f>
        <v/>
      </c>
      <c r="BE16" s="26">
        <f>IF(BC16&gt;0,BD16/BC16,"n/a")</f>
        <v/>
      </c>
      <c r="BF16">
        <f>IF(AND(N16=0,AZ16="N"),"",IF(AZ16="Y","actual","plan"))</f>
        <v/>
      </c>
      <c r="BG16" s="18">
        <f>IF(AND(N16=1,B16&gt;=Inputs!$C$17),1,0)</f>
        <v/>
      </c>
    </row>
    <row r="17">
      <c r="A17">
        <f>Schedule!A17</f>
        <v/>
      </c>
      <c r="B17" s="17">
        <f>IF(Schedule!E17="","",Schedule!E17)</f>
        <v/>
      </c>
      <c r="C17">
        <f>IF(Schedule!G17="","",Schedule!G17)</f>
        <v/>
      </c>
      <c r="D17">
        <f>IF(Schedule!H17="","",Schedule!H17)</f>
        <v/>
      </c>
      <c r="E17" s="18">
        <f>N(Schedule!I17)</f>
        <v/>
      </c>
      <c r="F17" s="18">
        <f>N(Schedule!J17)</f>
        <v/>
      </c>
      <c r="G17">
        <f>N(Schedule!K17)</f>
        <v/>
      </c>
      <c r="H17">
        <f>N(Schedule!L17)</f>
        <v/>
      </c>
      <c r="I17">
        <f>N(Schedule!M17)</f>
        <v/>
      </c>
      <c r="J17" s="31">
        <f>IF(AND(B17&lt;&gt;"",B17&gt;Inputs!$C$15),Scenarios!$H$14,Inputs!$C$33)</f>
        <v/>
      </c>
      <c r="K17" s="31">
        <f>Inputs!$C$36</f>
        <v/>
      </c>
      <c r="L17" s="18">
        <f>IF(AND(Inputs!$C$65="unit",B17&lt;&gt;"",B17&gt;=Inputs!$C$67,OR(Inputs!$C$68="",B17&lt;=Inputs!$C$68)),1,0)</f>
        <v/>
      </c>
      <c r="M17" s="18">
        <f>Inputs!$C$49</f>
        <v/>
      </c>
      <c r="N17" s="18">
        <f>IF(G17&gt;0,1,0)</f>
        <v/>
      </c>
      <c r="O17">
        <f>IF(D17="founding",G17-H17,0)</f>
        <v/>
      </c>
      <c r="P17">
        <f>IF(D17="standard",G17-H17,0)</f>
        <v/>
      </c>
      <c r="Q17" s="31">
        <f>O17*(K17*MIN(E17,Inputs!$C$37)+Inputs!$C$39*MAX(E17-Inputs!$C$37,0))+I17*K17*E17</f>
        <v/>
      </c>
      <c r="R17" s="31">
        <f>(P17+H17-I17)*(J17*MIN(E17,Inputs!$C$34)+Inputs!$C$39*MAX(E17-Inputs!$C$34,0))</f>
        <v/>
      </c>
      <c r="S17" s="33">
        <f>Q17+R17</f>
        <v/>
      </c>
      <c r="T17" s="31">
        <f>N17*E17*(Inputs!$C$58+Inputs!$C$59*MAX(G17-1,0))</f>
        <v/>
      </c>
      <c r="U17" s="31">
        <f>IF(N17=0,0,INDEX(Inputs!$C$95:$C$97,MATCH(C17,Inputs!$B$95:$B$97,0))+INDEX(Inputs!$D$95:$D$97,MATCH(C17,Inputs!$B$95:$B$97,0))*E17)</f>
        <v/>
      </c>
      <c r="V17" s="31">
        <f>IF(N17=0,0,INDEX(Inputs!$E$95:$E$97,MATCH(C17,Inputs!$B$95:$B$97,0))*E17)</f>
        <v/>
      </c>
      <c r="W17" s="31">
        <f>S17*Inputs!$C$48*M17</f>
        <v/>
      </c>
      <c r="X17" s="31">
        <f>N17*L17*Inputs!$C$66/Inputs!$C$75</f>
        <v/>
      </c>
      <c r="Y17" s="31">
        <f>N17*Inputs!$C$69/Inputs!$C$75</f>
        <v/>
      </c>
      <c r="Z17" s="31">
        <f>N17*Inputs!$C$71/Inputs!$C$75</f>
        <v/>
      </c>
      <c r="AA17" s="33">
        <f>SUM(T17:Z17)</f>
        <v/>
      </c>
      <c r="AB17" s="32">
        <f>O17*Inputs!$C$79+P17*Inputs!$C$83+H17*Inputs!$C$84</f>
        <v/>
      </c>
      <c r="AC17" s="32">
        <f>N17*(F17*Inputs!$C$85+(E17-F17)*Inputs!$C$86)</f>
        <v/>
      </c>
      <c r="AD17" s="32">
        <f>IF(N17=0,0,INDEX(Inputs!$F$95:$F$97,MATCH(C17,Inputs!$B$95:$B$97,0))+Inputs!$C$87*G17)</f>
        <v/>
      </c>
      <c r="AE17" s="32">
        <f>IF(N17=0,0,INDEX(Inputs!$G$95:$G$97,MATCH(C17,Inputs!$B$95:$B$97,0))*E17)</f>
        <v/>
      </c>
      <c r="AF17" s="32">
        <f>IF(N17=0,0,INDEX(Inputs!$H$95:$H$97,MATCH(C17,Inputs!$B$95:$B$97,0))*E17)</f>
        <v/>
      </c>
      <c r="AG17" s="32">
        <f>Inputs!$C$88*G17</f>
        <v/>
      </c>
      <c r="AH17" s="32">
        <f>N17*Inputs!$C$89</f>
        <v/>
      </c>
      <c r="AI17" s="34">
        <f>SUM(AB17:AH17)</f>
        <v/>
      </c>
      <c r="AJ17" s="33">
        <f>S17-AA17</f>
        <v/>
      </c>
      <c r="AK17" s="27">
        <f>IF(AI17&gt;0,AJ17/AI17,"n/a")</f>
        <v/>
      </c>
      <c r="AL17" s="31">
        <f>T17+U17+V17+W17</f>
        <v/>
      </c>
      <c r="AM17" s="31">
        <f>X17+Y17+Z17</f>
        <v/>
      </c>
      <c r="AO17" s="17">
        <f>IF(OR(N17=0,AP17=0),"",WORKDAY(B17,-Inputs!$C$43,Lists!$N$4:$N$30)+N(Inputs!$C$47))</f>
        <v/>
      </c>
      <c r="AP17" s="31">
        <f>Q17*Inputs!$C$42</f>
        <v/>
      </c>
      <c r="AQ17" s="17">
        <f>IF(OR(N17=0,AR17=0),"",WORKDAY(B17,-Inputs!$C$45,Lists!$N$4:$N$30)+N(Inputs!$C$47))</f>
        <v/>
      </c>
      <c r="AR17" s="31">
        <f>R17*Inputs!$C$44</f>
        <v/>
      </c>
      <c r="AS17" s="17">
        <f>IF(OR(N17=0,AT17=0),"",WORKDAY(B17,Inputs!$C$46,Lists!$N$4:$N$30)+N(Inputs!$C$47))</f>
        <v/>
      </c>
      <c r="AT17" s="31">
        <f>Q17*(1-Inputs!$C$42)+R17*(1-Inputs!$C$44)</f>
        <v/>
      </c>
      <c r="AU17" s="31">
        <f>AP17*Inputs!$C$48*M17</f>
        <v/>
      </c>
      <c r="AV17" s="31">
        <f>AR17*Inputs!$C$48*M17</f>
        <v/>
      </c>
      <c r="AW17" s="31">
        <f>AT17*Inputs!$C$48*M17</f>
        <v/>
      </c>
      <c r="AX17" s="17">
        <f>IF(N17=0,"",WORKDAY(B17,-Inputs!$C$64,Lists!$N$4:$N$30))</f>
        <v/>
      </c>
      <c r="AY17" s="17">
        <f>IF(N17=0,"",B17)</f>
        <v/>
      </c>
      <c r="AZ17">
        <f>IF(Schedule!N17="Y","Y","N")</f>
        <v/>
      </c>
      <c r="BA17" s="31">
        <f>IF(AZ17="Y",Drop_Actuals!D17,S17)</f>
        <v/>
      </c>
      <c r="BB17" s="31">
        <f>IF(AZ17="Y",Drop_Actuals!J17,AA17)</f>
        <v/>
      </c>
      <c r="BC17" s="32">
        <f>IF(AZ17="Y",Drop_Actuals!R17,AI17)</f>
        <v/>
      </c>
      <c r="BD17" s="31">
        <f>BA17-BB17</f>
        <v/>
      </c>
      <c r="BE17" s="26">
        <f>IF(BC17&gt;0,BD17/BC17,"n/a")</f>
        <v/>
      </c>
      <c r="BF17">
        <f>IF(AND(N17=0,AZ17="N"),"",IF(AZ17="Y","actual","plan"))</f>
        <v/>
      </c>
      <c r="BG17" s="18">
        <f>IF(AND(N17=1,B17&gt;=Inputs!$C$17),1,0)</f>
        <v/>
      </c>
    </row>
    <row r="18">
      <c r="A18">
        <f>Schedule!A18</f>
        <v/>
      </c>
      <c r="B18" s="17">
        <f>IF(Schedule!E18="","",Schedule!E18)</f>
        <v/>
      </c>
      <c r="C18">
        <f>IF(Schedule!G18="","",Schedule!G18)</f>
        <v/>
      </c>
      <c r="D18">
        <f>IF(Schedule!H18="","",Schedule!H18)</f>
        <v/>
      </c>
      <c r="E18" s="18">
        <f>N(Schedule!I18)</f>
        <v/>
      </c>
      <c r="F18" s="18">
        <f>N(Schedule!J18)</f>
        <v/>
      </c>
      <c r="G18">
        <f>N(Schedule!K18)</f>
        <v/>
      </c>
      <c r="H18">
        <f>N(Schedule!L18)</f>
        <v/>
      </c>
      <c r="I18">
        <f>N(Schedule!M18)</f>
        <v/>
      </c>
      <c r="J18" s="31">
        <f>IF(AND(B18&lt;&gt;"",B18&gt;Inputs!$C$15),Scenarios!$H$14,Inputs!$C$33)</f>
        <v/>
      </c>
      <c r="K18" s="31">
        <f>Inputs!$C$36</f>
        <v/>
      </c>
      <c r="L18" s="18">
        <f>IF(AND(Inputs!$C$65="unit",B18&lt;&gt;"",B18&gt;=Inputs!$C$67,OR(Inputs!$C$68="",B18&lt;=Inputs!$C$68)),1,0)</f>
        <v/>
      </c>
      <c r="M18" s="18">
        <f>Inputs!$C$49</f>
        <v/>
      </c>
      <c r="N18" s="18">
        <f>IF(G18&gt;0,1,0)</f>
        <v/>
      </c>
      <c r="O18">
        <f>IF(D18="founding",G18-H18,0)</f>
        <v/>
      </c>
      <c r="P18">
        <f>IF(D18="standard",G18-H18,0)</f>
        <v/>
      </c>
      <c r="Q18" s="31">
        <f>O18*(K18*MIN(E18,Inputs!$C$37)+Inputs!$C$39*MAX(E18-Inputs!$C$37,0))+I18*K18*E18</f>
        <v/>
      </c>
      <c r="R18" s="31">
        <f>(P18+H18-I18)*(J18*MIN(E18,Inputs!$C$34)+Inputs!$C$39*MAX(E18-Inputs!$C$34,0))</f>
        <v/>
      </c>
      <c r="S18" s="33">
        <f>Q18+R18</f>
        <v/>
      </c>
      <c r="T18" s="31">
        <f>N18*E18*(Inputs!$C$58+Inputs!$C$59*MAX(G18-1,0))</f>
        <v/>
      </c>
      <c r="U18" s="31">
        <f>IF(N18=0,0,INDEX(Inputs!$C$95:$C$97,MATCH(C18,Inputs!$B$95:$B$97,0))+INDEX(Inputs!$D$95:$D$97,MATCH(C18,Inputs!$B$95:$B$97,0))*E18)</f>
        <v/>
      </c>
      <c r="V18" s="31">
        <f>IF(N18=0,0,INDEX(Inputs!$E$95:$E$97,MATCH(C18,Inputs!$B$95:$B$97,0))*E18)</f>
        <v/>
      </c>
      <c r="W18" s="31">
        <f>S18*Inputs!$C$48*M18</f>
        <v/>
      </c>
      <c r="X18" s="31">
        <f>N18*L18*Inputs!$C$66/Inputs!$C$75</f>
        <v/>
      </c>
      <c r="Y18" s="31">
        <f>N18*Inputs!$C$69/Inputs!$C$75</f>
        <v/>
      </c>
      <c r="Z18" s="31">
        <f>N18*Inputs!$C$71/Inputs!$C$75</f>
        <v/>
      </c>
      <c r="AA18" s="33">
        <f>SUM(T18:Z18)</f>
        <v/>
      </c>
      <c r="AB18" s="32">
        <f>O18*Inputs!$C$79+P18*Inputs!$C$83+H18*Inputs!$C$84</f>
        <v/>
      </c>
      <c r="AC18" s="32">
        <f>N18*(F18*Inputs!$C$85+(E18-F18)*Inputs!$C$86)</f>
        <v/>
      </c>
      <c r="AD18" s="32">
        <f>IF(N18=0,0,INDEX(Inputs!$F$95:$F$97,MATCH(C18,Inputs!$B$95:$B$97,0))+Inputs!$C$87*G18)</f>
        <v/>
      </c>
      <c r="AE18" s="32">
        <f>IF(N18=0,0,INDEX(Inputs!$G$95:$G$97,MATCH(C18,Inputs!$B$95:$B$97,0))*E18)</f>
        <v/>
      </c>
      <c r="AF18" s="32">
        <f>IF(N18=0,0,INDEX(Inputs!$H$95:$H$97,MATCH(C18,Inputs!$B$95:$B$97,0))*E18)</f>
        <v/>
      </c>
      <c r="AG18" s="32">
        <f>Inputs!$C$88*G18</f>
        <v/>
      </c>
      <c r="AH18" s="32">
        <f>N18*Inputs!$C$89</f>
        <v/>
      </c>
      <c r="AI18" s="34">
        <f>SUM(AB18:AH18)</f>
        <v/>
      </c>
      <c r="AJ18" s="33">
        <f>S18-AA18</f>
        <v/>
      </c>
      <c r="AK18" s="27">
        <f>IF(AI18&gt;0,AJ18/AI18,"n/a")</f>
        <v/>
      </c>
      <c r="AL18" s="31">
        <f>T18+U18+V18+W18</f>
        <v/>
      </c>
      <c r="AM18" s="31">
        <f>X18+Y18+Z18</f>
        <v/>
      </c>
      <c r="AO18" s="17">
        <f>IF(OR(N18=0,AP18=0),"",WORKDAY(B18,-Inputs!$C$43,Lists!$N$4:$N$30)+N(Inputs!$C$47))</f>
        <v/>
      </c>
      <c r="AP18" s="31">
        <f>Q18*Inputs!$C$42</f>
        <v/>
      </c>
      <c r="AQ18" s="17">
        <f>IF(OR(N18=0,AR18=0),"",WORKDAY(B18,-Inputs!$C$45,Lists!$N$4:$N$30)+N(Inputs!$C$47))</f>
        <v/>
      </c>
      <c r="AR18" s="31">
        <f>R18*Inputs!$C$44</f>
        <v/>
      </c>
      <c r="AS18" s="17">
        <f>IF(OR(N18=0,AT18=0),"",WORKDAY(B18,Inputs!$C$46,Lists!$N$4:$N$30)+N(Inputs!$C$47))</f>
        <v/>
      </c>
      <c r="AT18" s="31">
        <f>Q18*(1-Inputs!$C$42)+R18*(1-Inputs!$C$44)</f>
        <v/>
      </c>
      <c r="AU18" s="31">
        <f>AP18*Inputs!$C$48*M18</f>
        <v/>
      </c>
      <c r="AV18" s="31">
        <f>AR18*Inputs!$C$48*M18</f>
        <v/>
      </c>
      <c r="AW18" s="31">
        <f>AT18*Inputs!$C$48*M18</f>
        <v/>
      </c>
      <c r="AX18" s="17">
        <f>IF(N18=0,"",WORKDAY(B18,-Inputs!$C$64,Lists!$N$4:$N$30))</f>
        <v/>
      </c>
      <c r="AY18" s="17">
        <f>IF(N18=0,"",B18)</f>
        <v/>
      </c>
      <c r="AZ18">
        <f>IF(Schedule!N18="Y","Y","N")</f>
        <v/>
      </c>
      <c r="BA18" s="31">
        <f>IF(AZ18="Y",Drop_Actuals!D18,S18)</f>
        <v/>
      </c>
      <c r="BB18" s="31">
        <f>IF(AZ18="Y",Drop_Actuals!J18,AA18)</f>
        <v/>
      </c>
      <c r="BC18" s="32">
        <f>IF(AZ18="Y",Drop_Actuals!R18,AI18)</f>
        <v/>
      </c>
      <c r="BD18" s="31">
        <f>BA18-BB18</f>
        <v/>
      </c>
      <c r="BE18" s="26">
        <f>IF(BC18&gt;0,BD18/BC18,"n/a")</f>
        <v/>
      </c>
      <c r="BF18">
        <f>IF(AND(N18=0,AZ18="N"),"",IF(AZ18="Y","actual","plan"))</f>
        <v/>
      </c>
      <c r="BG18" s="18">
        <f>IF(AND(N18=1,B18&gt;=Inputs!$C$17),1,0)</f>
        <v/>
      </c>
    </row>
    <row r="19">
      <c r="A19" s="8" t="inlineStr">
        <is>
          <t>Totals (all scheduled drops)</t>
        </is>
      </c>
      <c r="E19" s="19">
        <f>SUM(E7:E18)</f>
        <v/>
      </c>
      <c r="F19" s="19">
        <f>SUM(F7:F18)</f>
        <v/>
      </c>
      <c r="G19" s="8">
        <f>SUM(G7:G18)</f>
        <v/>
      </c>
      <c r="H19" s="8">
        <f>SUM(H7:H18)</f>
        <v/>
      </c>
      <c r="S19" s="33">
        <f>SUM(S7:S18)</f>
        <v/>
      </c>
      <c r="T19" s="33">
        <f>SUM(T7:T18)</f>
        <v/>
      </c>
      <c r="U19" s="33">
        <f>SUM(U7:U18)</f>
        <v/>
      </c>
      <c r="V19" s="33">
        <f>SUM(V7:V18)</f>
        <v/>
      </c>
      <c r="W19" s="33">
        <f>SUM(W7:W18)</f>
        <v/>
      </c>
      <c r="X19" s="33">
        <f>SUM(X7:X18)</f>
        <v/>
      </c>
      <c r="Y19" s="33">
        <f>SUM(Y7:Y18)</f>
        <v/>
      </c>
      <c r="Z19" s="33">
        <f>SUM(Z7:Z18)</f>
        <v/>
      </c>
      <c r="AA19" s="33">
        <f>SUM(AA7:AA18)</f>
        <v/>
      </c>
      <c r="AB19" s="34">
        <f>SUM(AB7:AB18)</f>
        <v/>
      </c>
      <c r="AC19" s="34">
        <f>SUM(AC7:AC18)</f>
        <v/>
      </c>
      <c r="AD19" s="34">
        <f>SUM(AD7:AD18)</f>
        <v/>
      </c>
      <c r="AE19" s="34">
        <f>SUM(AE7:AE18)</f>
        <v/>
      </c>
      <c r="AF19" s="34">
        <f>SUM(AF7:AF18)</f>
        <v/>
      </c>
      <c r="AG19" s="34">
        <f>SUM(AG7:AG18)</f>
        <v/>
      </c>
      <c r="AH19" s="34">
        <f>SUM(AH7:AH18)</f>
        <v/>
      </c>
      <c r="AI19" s="34">
        <f>SUM(AI7:AI18)</f>
        <v/>
      </c>
      <c r="AJ19" s="33">
        <f>SUM(AJ7:AJ18)</f>
        <v/>
      </c>
      <c r="AK19" s="27">
        <f>IF(AI19&gt;0,AJ19/AI19,"n/a")</f>
        <v/>
      </c>
      <c r="AL19" s="33">
        <f>SUM(AL7:AL18)</f>
        <v/>
      </c>
      <c r="AM19" s="33">
        <f>SUM(AM7:AM18)</f>
        <v/>
      </c>
      <c r="AP19" s="33">
        <f>SUM(AP7:AP18)</f>
        <v/>
      </c>
      <c r="AR19" s="33">
        <f>SUM(AR7:AR18)</f>
        <v/>
      </c>
      <c r="AT19" s="33">
        <f>SUM(AT7:AT18)</f>
        <v/>
      </c>
      <c r="AU19" s="33">
        <f>SUM(AU7:AU18)</f>
        <v/>
      </c>
      <c r="AV19" s="33">
        <f>SUM(AV7:AV18)</f>
        <v/>
      </c>
      <c r="AW19" s="33">
        <f>SUM(AW7:AW18)</f>
        <v/>
      </c>
      <c r="BA19" s="33">
        <f>SUM(BA7:BA18)</f>
        <v/>
      </c>
      <c r="BB19" s="33">
        <f>SUM(BB7:BB18)</f>
        <v/>
      </c>
      <c r="BC19" s="34">
        <f>SUM(BC7:BC18)</f>
        <v/>
      </c>
      <c r="BD19" s="33">
        <f>SUM(BD7:BD18)</f>
        <v/>
      </c>
      <c r="BE19" s="27">
        <f>IF(BC19&gt;0,BD19/BC19,"n/a")</f>
        <v/>
      </c>
    </row>
  </sheetData>
  <mergeCells count="10">
    <mergeCell ref="A5:C5"/>
    <mergeCell ref="E5:M5"/>
    <mergeCell ref="N5:S5"/>
    <mergeCell ref="A3:AM3"/>
    <mergeCell ref="AB5:AI5"/>
    <mergeCell ref="AO5:AY5"/>
    <mergeCell ref="T5:AA5"/>
    <mergeCell ref="AZ5:BG5"/>
    <mergeCell ref="AJ5:AK5"/>
    <mergeCell ref="AL5:AM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69"/>
  <sheetViews>
    <sheetView zoomScale="90" workbookViewId="0">
      <pane xSplit="2" ySplit="7" topLeftCell="C8" activePane="bottomRight" state="frozen"/>
      <selection pane="topRight"/>
      <selection pane="bottomLeft"/>
      <selection pane="bottomRight" activeCell="A1" sqref="A1"/>
    </sheetView>
  </sheetViews>
  <sheetFormatPr baseColWidth="8" defaultRowHeight="15"/>
  <cols>
    <col width="2" customWidth="1" min="1" max="1"/>
    <col width="58"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9.5" customWidth="1" min="15" max="15"/>
    <col width="9.5" customWidth="1" min="16" max="16"/>
    <col width="9.5" customWidth="1" min="17" max="17"/>
    <col width="9.5" customWidth="1" min="18" max="18"/>
    <col width="9.5" customWidth="1" min="19" max="19"/>
    <col width="9.5" customWidth="1" min="20" max="20"/>
    <col width="9.5" customWidth="1" min="21" max="21"/>
    <col width="9.5" customWidth="1" min="22" max="22"/>
    <col width="9.5" customWidth="1" min="23" max="23"/>
    <col width="9.5" customWidth="1" min="24" max="24"/>
    <col width="9.5" customWidth="1" min="25" max="25"/>
    <col width="9.5" customWidth="1" min="26" max="26"/>
    <col width="9.5" customWidth="1" min="27" max="27"/>
    <col width="9.5" customWidth="1" min="28" max="28"/>
    <col width="12" customWidth="1" min="29" max="29"/>
  </cols>
  <sheetData>
    <row r="1">
      <c r="A1" s="1" t="inlineStr">
        <is>
          <t>Six-month cash flow, weekly</t>
        </is>
      </c>
    </row>
    <row r="2">
      <c r="A2" s="2" t="inlineStr">
        <is>
          <t>Startup outlays at their timing, brand cash on the plan's terms, overhead paid once from Cash_Ledger. Outflows are negative.</t>
        </is>
      </c>
    </row>
    <row r="3">
      <c r="A3" s="7" t="inlineStr">
        <is>
          <t>Planning estimates, not a forecast. Drops switch to actual cash when Schedule says Actuals in = Y.</t>
        </is>
      </c>
    </row>
    <row r="4">
      <c r="B4" s="8" t="inlineStr">
        <is>
          <t>Week</t>
        </is>
      </c>
      <c r="C4" s="77" t="n">
        <v>1</v>
      </c>
      <c r="D4" s="77" t="n">
        <v>2</v>
      </c>
      <c r="E4" s="77" t="n">
        <v>3</v>
      </c>
      <c r="F4" s="77" t="n">
        <v>4</v>
      </c>
      <c r="G4" s="77" t="n">
        <v>5</v>
      </c>
      <c r="H4" s="77" t="n">
        <v>6</v>
      </c>
      <c r="I4" s="77" t="n">
        <v>7</v>
      </c>
      <c r="J4" s="77" t="n">
        <v>8</v>
      </c>
      <c r="K4" s="77" t="n">
        <v>9</v>
      </c>
      <c r="L4" s="77" t="n">
        <v>10</v>
      </c>
      <c r="M4" s="77" t="n">
        <v>11</v>
      </c>
      <c r="N4" s="77" t="n">
        <v>12</v>
      </c>
      <c r="O4" s="77" t="n">
        <v>13</v>
      </c>
      <c r="P4" s="77" t="n">
        <v>14</v>
      </c>
      <c r="Q4" s="77" t="n">
        <v>15</v>
      </c>
      <c r="R4" s="77" t="n">
        <v>16</v>
      </c>
      <c r="S4" s="77" t="n">
        <v>17</v>
      </c>
      <c r="T4" s="77" t="n">
        <v>18</v>
      </c>
      <c r="U4" s="77" t="n">
        <v>19</v>
      </c>
      <c r="V4" s="77" t="n">
        <v>20</v>
      </c>
      <c r="W4" s="77" t="n">
        <v>21</v>
      </c>
      <c r="X4" s="77" t="n">
        <v>22</v>
      </c>
      <c r="Y4" s="77" t="n">
        <v>23</v>
      </c>
      <c r="Z4" s="77" t="n">
        <v>24</v>
      </c>
      <c r="AA4" s="77" t="n">
        <v>25</v>
      </c>
      <c r="AB4" s="77" t="n">
        <v>26</v>
      </c>
      <c r="AC4" s="77" t="inlineStr">
        <is>
          <t>Six months</t>
        </is>
      </c>
    </row>
    <row r="5">
      <c r="B5" s="8" t="inlineStr">
        <is>
          <t>Week starts</t>
        </is>
      </c>
      <c r="C5" s="78">
        <f>Inputs!$C$10</f>
        <v/>
      </c>
      <c r="D5" s="78">
        <f>C5+Inputs!$C$18</f>
        <v/>
      </c>
      <c r="E5" s="78">
        <f>D5+Inputs!$C$18</f>
        <v/>
      </c>
      <c r="F5" s="78">
        <f>E5+Inputs!$C$18</f>
        <v/>
      </c>
      <c r="G5" s="78">
        <f>F5+Inputs!$C$18</f>
        <v/>
      </c>
      <c r="H5" s="78">
        <f>G5+Inputs!$C$18</f>
        <v/>
      </c>
      <c r="I5" s="78">
        <f>H5+Inputs!$C$18</f>
        <v/>
      </c>
      <c r="J5" s="78">
        <f>I5+Inputs!$C$18</f>
        <v/>
      </c>
      <c r="K5" s="78">
        <f>J5+Inputs!$C$18</f>
        <v/>
      </c>
      <c r="L5" s="78">
        <f>K5+Inputs!$C$18</f>
        <v/>
      </c>
      <c r="M5" s="78">
        <f>L5+Inputs!$C$18</f>
        <v/>
      </c>
      <c r="N5" s="78">
        <f>M5+Inputs!$C$18</f>
        <v/>
      </c>
      <c r="O5" s="78">
        <f>N5+Inputs!$C$18</f>
        <v/>
      </c>
      <c r="P5" s="78">
        <f>O5+Inputs!$C$18</f>
        <v/>
      </c>
      <c r="Q5" s="78">
        <f>P5+Inputs!$C$18</f>
        <v/>
      </c>
      <c r="R5" s="78">
        <f>Q5+Inputs!$C$18</f>
        <v/>
      </c>
      <c r="S5" s="78">
        <f>R5+Inputs!$C$18</f>
        <v/>
      </c>
      <c r="T5" s="78">
        <f>S5+Inputs!$C$18</f>
        <v/>
      </c>
      <c r="U5" s="78">
        <f>T5+Inputs!$C$18</f>
        <v/>
      </c>
      <c r="V5" s="78">
        <f>U5+Inputs!$C$18</f>
        <v/>
      </c>
      <c r="W5" s="78">
        <f>V5+Inputs!$C$18</f>
        <v/>
      </c>
      <c r="X5" s="78">
        <f>W5+Inputs!$C$18</f>
        <v/>
      </c>
      <c r="Y5" s="78">
        <f>X5+Inputs!$C$18</f>
        <v/>
      </c>
      <c r="Z5" s="78">
        <f>Y5+Inputs!$C$18</f>
        <v/>
      </c>
      <c r="AA5" s="78">
        <f>Z5+Inputs!$C$18</f>
        <v/>
      </c>
      <c r="AB5" s="78">
        <f>AA5+Inputs!$C$18</f>
        <v/>
      </c>
    </row>
    <row r="6">
      <c r="B6" s="8" t="inlineStr">
        <is>
          <t>Week ends</t>
        </is>
      </c>
      <c r="C6" s="78">
        <f>C5+Inputs!$C$18-1</f>
        <v/>
      </c>
      <c r="D6" s="78">
        <f>D5+Inputs!$C$18-1</f>
        <v/>
      </c>
      <c r="E6" s="78">
        <f>E5+Inputs!$C$18-1</f>
        <v/>
      </c>
      <c r="F6" s="78">
        <f>F5+Inputs!$C$18-1</f>
        <v/>
      </c>
      <c r="G6" s="78">
        <f>G5+Inputs!$C$18-1</f>
        <v/>
      </c>
      <c r="H6" s="78">
        <f>H5+Inputs!$C$18-1</f>
        <v/>
      </c>
      <c r="I6" s="78">
        <f>I5+Inputs!$C$18-1</f>
        <v/>
      </c>
      <c r="J6" s="78">
        <f>J5+Inputs!$C$18-1</f>
        <v/>
      </c>
      <c r="K6" s="78">
        <f>K5+Inputs!$C$18-1</f>
        <v/>
      </c>
      <c r="L6" s="78">
        <f>L5+Inputs!$C$18-1</f>
        <v/>
      </c>
      <c r="M6" s="78">
        <f>M5+Inputs!$C$18-1</f>
        <v/>
      </c>
      <c r="N6" s="78">
        <f>N5+Inputs!$C$18-1</f>
        <v/>
      </c>
      <c r="O6" s="78">
        <f>O5+Inputs!$C$18-1</f>
        <v/>
      </c>
      <c r="P6" s="78">
        <f>P5+Inputs!$C$18-1</f>
        <v/>
      </c>
      <c r="Q6" s="78">
        <f>Q5+Inputs!$C$18-1</f>
        <v/>
      </c>
      <c r="R6" s="78">
        <f>R5+Inputs!$C$18-1</f>
        <v/>
      </c>
      <c r="S6" s="78">
        <f>S5+Inputs!$C$18-1</f>
        <v/>
      </c>
      <c r="T6" s="78">
        <f>T5+Inputs!$C$18-1</f>
        <v/>
      </c>
      <c r="U6" s="78">
        <f>U5+Inputs!$C$18-1</f>
        <v/>
      </c>
      <c r="V6" s="78">
        <f>V5+Inputs!$C$18-1</f>
        <v/>
      </c>
      <c r="W6" s="78">
        <f>W5+Inputs!$C$18-1</f>
        <v/>
      </c>
      <c r="X6" s="78">
        <f>X5+Inputs!$C$18-1</f>
        <v/>
      </c>
      <c r="Y6" s="78">
        <f>Y5+Inputs!$C$18-1</f>
        <v/>
      </c>
      <c r="Z6" s="78">
        <f>Z5+Inputs!$C$18-1</f>
        <v/>
      </c>
      <c r="AA6" s="78">
        <f>AA5+Inputs!$C$18-1</f>
        <v/>
      </c>
      <c r="AB6" s="78">
        <f>AB5+Inputs!$C$18-1</f>
        <v/>
      </c>
    </row>
    <row r="7">
      <c r="B7" s="8" t="inlineStr">
        <is>
          <t>Month</t>
        </is>
      </c>
      <c r="C7" s="28">
        <f>TEXT(C5,"mmm yyyy")</f>
        <v/>
      </c>
      <c r="D7" s="28">
        <f>TEXT(D5,"mmm yyyy")</f>
        <v/>
      </c>
      <c r="E7" s="28">
        <f>TEXT(E5,"mmm yyyy")</f>
        <v/>
      </c>
      <c r="F7" s="28">
        <f>TEXT(F5,"mmm yyyy")</f>
        <v/>
      </c>
      <c r="G7" s="28">
        <f>TEXT(G5,"mmm yyyy")</f>
        <v/>
      </c>
      <c r="H7" s="28">
        <f>TEXT(H5,"mmm yyyy")</f>
        <v/>
      </c>
      <c r="I7" s="28">
        <f>TEXT(I5,"mmm yyyy")</f>
        <v/>
      </c>
      <c r="J7" s="28">
        <f>TEXT(J5,"mmm yyyy")</f>
        <v/>
      </c>
      <c r="K7" s="28">
        <f>TEXT(K5,"mmm yyyy")</f>
        <v/>
      </c>
      <c r="L7" s="28">
        <f>TEXT(L5,"mmm yyyy")</f>
        <v/>
      </c>
      <c r="M7" s="28">
        <f>TEXT(M5,"mmm yyyy")</f>
        <v/>
      </c>
      <c r="N7" s="28">
        <f>TEXT(N5,"mmm yyyy")</f>
        <v/>
      </c>
      <c r="O7" s="28">
        <f>TEXT(O5,"mmm yyyy")</f>
        <v/>
      </c>
      <c r="P7" s="28">
        <f>TEXT(P5,"mmm yyyy")</f>
        <v/>
      </c>
      <c r="Q7" s="28">
        <f>TEXT(Q5,"mmm yyyy")</f>
        <v/>
      </c>
      <c r="R7" s="28">
        <f>TEXT(R5,"mmm yyyy")</f>
        <v/>
      </c>
      <c r="S7" s="28">
        <f>TEXT(S5,"mmm yyyy")</f>
        <v/>
      </c>
      <c r="T7" s="28">
        <f>TEXT(T5,"mmm yyyy")</f>
        <v/>
      </c>
      <c r="U7" s="28">
        <f>TEXT(U5,"mmm yyyy")</f>
        <v/>
      </c>
      <c r="V7" s="28">
        <f>TEXT(V5,"mmm yyyy")</f>
        <v/>
      </c>
      <c r="W7" s="28">
        <f>TEXT(W5,"mmm yyyy")</f>
        <v/>
      </c>
      <c r="X7" s="28">
        <f>TEXT(X5,"mmm yyyy")</f>
        <v/>
      </c>
      <c r="Y7" s="28">
        <f>TEXT(Y5,"mmm yyyy")</f>
        <v/>
      </c>
      <c r="Z7" s="28">
        <f>TEXT(Z5,"mmm yyyy")</f>
        <v/>
      </c>
      <c r="AA7" s="28">
        <f>TEXT(AA5,"mmm yyyy")</f>
        <v/>
      </c>
      <c r="AB7" s="28">
        <f>TEXT(AB5,"mmm yyyy")</f>
        <v/>
      </c>
    </row>
    <row r="8">
      <c r="A8" s="3" t="inlineStr">
        <is>
          <t>Receipts</t>
        </is>
      </c>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c r="AA8" s="4" t="n"/>
      <c r="AB8" s="4" t="n"/>
      <c r="AC8" s="4" t="n"/>
    </row>
    <row r="9">
      <c r="B9" t="inlineStr">
        <is>
          <t>Brand receipts, plan (drops without actuals)</t>
        </is>
      </c>
      <c r="C9" s="31">
        <f>SUMIFS(Drop_PnL!$AP$7:$AP$18,Drop_PnL!$AO$7:$AO$18,"&gt;="&amp;C$5,Drop_PnL!$AO$7:$AO$18,"&lt;="&amp;C$6,Drop_PnL!$AZ$7:$AZ$18,"N")+SUMIFS(Drop_PnL!$AR$7:$AR$18,Drop_PnL!$AQ$7:$AQ$18,"&gt;="&amp;C$5,Drop_PnL!$AQ$7:$AQ$18,"&lt;="&amp;C$6,Drop_PnL!$AZ$7:$AZ$18,"N")+SUMIFS(Drop_PnL!$AT$7:$AT$18,Drop_PnL!$AS$7:$AS$18,"&gt;="&amp;C$5,Drop_PnL!$AS$7:$AS$18,"&lt;="&amp;C$6,Drop_PnL!$AZ$7:$AZ$18,"N")</f>
        <v/>
      </c>
      <c r="D9" s="31">
        <f>SUMIFS(Drop_PnL!$AP$7:$AP$18,Drop_PnL!$AO$7:$AO$18,"&gt;="&amp;D$5,Drop_PnL!$AO$7:$AO$18,"&lt;="&amp;D$6,Drop_PnL!$AZ$7:$AZ$18,"N")+SUMIFS(Drop_PnL!$AR$7:$AR$18,Drop_PnL!$AQ$7:$AQ$18,"&gt;="&amp;D$5,Drop_PnL!$AQ$7:$AQ$18,"&lt;="&amp;D$6,Drop_PnL!$AZ$7:$AZ$18,"N")+SUMIFS(Drop_PnL!$AT$7:$AT$18,Drop_PnL!$AS$7:$AS$18,"&gt;="&amp;D$5,Drop_PnL!$AS$7:$AS$18,"&lt;="&amp;D$6,Drop_PnL!$AZ$7:$AZ$18,"N")</f>
        <v/>
      </c>
      <c r="E9" s="31">
        <f>SUMIFS(Drop_PnL!$AP$7:$AP$18,Drop_PnL!$AO$7:$AO$18,"&gt;="&amp;E$5,Drop_PnL!$AO$7:$AO$18,"&lt;="&amp;E$6,Drop_PnL!$AZ$7:$AZ$18,"N")+SUMIFS(Drop_PnL!$AR$7:$AR$18,Drop_PnL!$AQ$7:$AQ$18,"&gt;="&amp;E$5,Drop_PnL!$AQ$7:$AQ$18,"&lt;="&amp;E$6,Drop_PnL!$AZ$7:$AZ$18,"N")+SUMIFS(Drop_PnL!$AT$7:$AT$18,Drop_PnL!$AS$7:$AS$18,"&gt;="&amp;E$5,Drop_PnL!$AS$7:$AS$18,"&lt;="&amp;E$6,Drop_PnL!$AZ$7:$AZ$18,"N")</f>
        <v/>
      </c>
      <c r="F9" s="31">
        <f>SUMIFS(Drop_PnL!$AP$7:$AP$18,Drop_PnL!$AO$7:$AO$18,"&gt;="&amp;F$5,Drop_PnL!$AO$7:$AO$18,"&lt;="&amp;F$6,Drop_PnL!$AZ$7:$AZ$18,"N")+SUMIFS(Drop_PnL!$AR$7:$AR$18,Drop_PnL!$AQ$7:$AQ$18,"&gt;="&amp;F$5,Drop_PnL!$AQ$7:$AQ$18,"&lt;="&amp;F$6,Drop_PnL!$AZ$7:$AZ$18,"N")+SUMIFS(Drop_PnL!$AT$7:$AT$18,Drop_PnL!$AS$7:$AS$18,"&gt;="&amp;F$5,Drop_PnL!$AS$7:$AS$18,"&lt;="&amp;F$6,Drop_PnL!$AZ$7:$AZ$18,"N")</f>
        <v/>
      </c>
      <c r="G9" s="31">
        <f>SUMIFS(Drop_PnL!$AP$7:$AP$18,Drop_PnL!$AO$7:$AO$18,"&gt;="&amp;G$5,Drop_PnL!$AO$7:$AO$18,"&lt;="&amp;G$6,Drop_PnL!$AZ$7:$AZ$18,"N")+SUMIFS(Drop_PnL!$AR$7:$AR$18,Drop_PnL!$AQ$7:$AQ$18,"&gt;="&amp;G$5,Drop_PnL!$AQ$7:$AQ$18,"&lt;="&amp;G$6,Drop_PnL!$AZ$7:$AZ$18,"N")+SUMIFS(Drop_PnL!$AT$7:$AT$18,Drop_PnL!$AS$7:$AS$18,"&gt;="&amp;G$5,Drop_PnL!$AS$7:$AS$18,"&lt;="&amp;G$6,Drop_PnL!$AZ$7:$AZ$18,"N")</f>
        <v/>
      </c>
      <c r="H9" s="31">
        <f>SUMIFS(Drop_PnL!$AP$7:$AP$18,Drop_PnL!$AO$7:$AO$18,"&gt;="&amp;H$5,Drop_PnL!$AO$7:$AO$18,"&lt;="&amp;H$6,Drop_PnL!$AZ$7:$AZ$18,"N")+SUMIFS(Drop_PnL!$AR$7:$AR$18,Drop_PnL!$AQ$7:$AQ$18,"&gt;="&amp;H$5,Drop_PnL!$AQ$7:$AQ$18,"&lt;="&amp;H$6,Drop_PnL!$AZ$7:$AZ$18,"N")+SUMIFS(Drop_PnL!$AT$7:$AT$18,Drop_PnL!$AS$7:$AS$18,"&gt;="&amp;H$5,Drop_PnL!$AS$7:$AS$18,"&lt;="&amp;H$6,Drop_PnL!$AZ$7:$AZ$18,"N")</f>
        <v/>
      </c>
      <c r="I9" s="31">
        <f>SUMIFS(Drop_PnL!$AP$7:$AP$18,Drop_PnL!$AO$7:$AO$18,"&gt;="&amp;I$5,Drop_PnL!$AO$7:$AO$18,"&lt;="&amp;I$6,Drop_PnL!$AZ$7:$AZ$18,"N")+SUMIFS(Drop_PnL!$AR$7:$AR$18,Drop_PnL!$AQ$7:$AQ$18,"&gt;="&amp;I$5,Drop_PnL!$AQ$7:$AQ$18,"&lt;="&amp;I$6,Drop_PnL!$AZ$7:$AZ$18,"N")+SUMIFS(Drop_PnL!$AT$7:$AT$18,Drop_PnL!$AS$7:$AS$18,"&gt;="&amp;I$5,Drop_PnL!$AS$7:$AS$18,"&lt;="&amp;I$6,Drop_PnL!$AZ$7:$AZ$18,"N")</f>
        <v/>
      </c>
      <c r="J9" s="31">
        <f>SUMIFS(Drop_PnL!$AP$7:$AP$18,Drop_PnL!$AO$7:$AO$18,"&gt;="&amp;J$5,Drop_PnL!$AO$7:$AO$18,"&lt;="&amp;J$6,Drop_PnL!$AZ$7:$AZ$18,"N")+SUMIFS(Drop_PnL!$AR$7:$AR$18,Drop_PnL!$AQ$7:$AQ$18,"&gt;="&amp;J$5,Drop_PnL!$AQ$7:$AQ$18,"&lt;="&amp;J$6,Drop_PnL!$AZ$7:$AZ$18,"N")+SUMIFS(Drop_PnL!$AT$7:$AT$18,Drop_PnL!$AS$7:$AS$18,"&gt;="&amp;J$5,Drop_PnL!$AS$7:$AS$18,"&lt;="&amp;J$6,Drop_PnL!$AZ$7:$AZ$18,"N")</f>
        <v/>
      </c>
      <c r="K9" s="31">
        <f>SUMIFS(Drop_PnL!$AP$7:$AP$18,Drop_PnL!$AO$7:$AO$18,"&gt;="&amp;K$5,Drop_PnL!$AO$7:$AO$18,"&lt;="&amp;K$6,Drop_PnL!$AZ$7:$AZ$18,"N")+SUMIFS(Drop_PnL!$AR$7:$AR$18,Drop_PnL!$AQ$7:$AQ$18,"&gt;="&amp;K$5,Drop_PnL!$AQ$7:$AQ$18,"&lt;="&amp;K$6,Drop_PnL!$AZ$7:$AZ$18,"N")+SUMIFS(Drop_PnL!$AT$7:$AT$18,Drop_PnL!$AS$7:$AS$18,"&gt;="&amp;K$5,Drop_PnL!$AS$7:$AS$18,"&lt;="&amp;K$6,Drop_PnL!$AZ$7:$AZ$18,"N")</f>
        <v/>
      </c>
      <c r="L9" s="31">
        <f>SUMIFS(Drop_PnL!$AP$7:$AP$18,Drop_PnL!$AO$7:$AO$18,"&gt;="&amp;L$5,Drop_PnL!$AO$7:$AO$18,"&lt;="&amp;L$6,Drop_PnL!$AZ$7:$AZ$18,"N")+SUMIFS(Drop_PnL!$AR$7:$AR$18,Drop_PnL!$AQ$7:$AQ$18,"&gt;="&amp;L$5,Drop_PnL!$AQ$7:$AQ$18,"&lt;="&amp;L$6,Drop_PnL!$AZ$7:$AZ$18,"N")+SUMIFS(Drop_PnL!$AT$7:$AT$18,Drop_PnL!$AS$7:$AS$18,"&gt;="&amp;L$5,Drop_PnL!$AS$7:$AS$18,"&lt;="&amp;L$6,Drop_PnL!$AZ$7:$AZ$18,"N")</f>
        <v/>
      </c>
      <c r="M9" s="31">
        <f>SUMIFS(Drop_PnL!$AP$7:$AP$18,Drop_PnL!$AO$7:$AO$18,"&gt;="&amp;M$5,Drop_PnL!$AO$7:$AO$18,"&lt;="&amp;M$6,Drop_PnL!$AZ$7:$AZ$18,"N")+SUMIFS(Drop_PnL!$AR$7:$AR$18,Drop_PnL!$AQ$7:$AQ$18,"&gt;="&amp;M$5,Drop_PnL!$AQ$7:$AQ$18,"&lt;="&amp;M$6,Drop_PnL!$AZ$7:$AZ$18,"N")+SUMIFS(Drop_PnL!$AT$7:$AT$18,Drop_PnL!$AS$7:$AS$18,"&gt;="&amp;M$5,Drop_PnL!$AS$7:$AS$18,"&lt;="&amp;M$6,Drop_PnL!$AZ$7:$AZ$18,"N")</f>
        <v/>
      </c>
      <c r="N9" s="31">
        <f>SUMIFS(Drop_PnL!$AP$7:$AP$18,Drop_PnL!$AO$7:$AO$18,"&gt;="&amp;N$5,Drop_PnL!$AO$7:$AO$18,"&lt;="&amp;N$6,Drop_PnL!$AZ$7:$AZ$18,"N")+SUMIFS(Drop_PnL!$AR$7:$AR$18,Drop_PnL!$AQ$7:$AQ$18,"&gt;="&amp;N$5,Drop_PnL!$AQ$7:$AQ$18,"&lt;="&amp;N$6,Drop_PnL!$AZ$7:$AZ$18,"N")+SUMIFS(Drop_PnL!$AT$7:$AT$18,Drop_PnL!$AS$7:$AS$18,"&gt;="&amp;N$5,Drop_PnL!$AS$7:$AS$18,"&lt;="&amp;N$6,Drop_PnL!$AZ$7:$AZ$18,"N")</f>
        <v/>
      </c>
      <c r="O9" s="31">
        <f>SUMIFS(Drop_PnL!$AP$7:$AP$18,Drop_PnL!$AO$7:$AO$18,"&gt;="&amp;O$5,Drop_PnL!$AO$7:$AO$18,"&lt;="&amp;O$6,Drop_PnL!$AZ$7:$AZ$18,"N")+SUMIFS(Drop_PnL!$AR$7:$AR$18,Drop_PnL!$AQ$7:$AQ$18,"&gt;="&amp;O$5,Drop_PnL!$AQ$7:$AQ$18,"&lt;="&amp;O$6,Drop_PnL!$AZ$7:$AZ$18,"N")+SUMIFS(Drop_PnL!$AT$7:$AT$18,Drop_PnL!$AS$7:$AS$18,"&gt;="&amp;O$5,Drop_PnL!$AS$7:$AS$18,"&lt;="&amp;O$6,Drop_PnL!$AZ$7:$AZ$18,"N")</f>
        <v/>
      </c>
      <c r="P9" s="31">
        <f>SUMIFS(Drop_PnL!$AP$7:$AP$18,Drop_PnL!$AO$7:$AO$18,"&gt;="&amp;P$5,Drop_PnL!$AO$7:$AO$18,"&lt;="&amp;P$6,Drop_PnL!$AZ$7:$AZ$18,"N")+SUMIFS(Drop_PnL!$AR$7:$AR$18,Drop_PnL!$AQ$7:$AQ$18,"&gt;="&amp;P$5,Drop_PnL!$AQ$7:$AQ$18,"&lt;="&amp;P$6,Drop_PnL!$AZ$7:$AZ$18,"N")+SUMIFS(Drop_PnL!$AT$7:$AT$18,Drop_PnL!$AS$7:$AS$18,"&gt;="&amp;P$5,Drop_PnL!$AS$7:$AS$18,"&lt;="&amp;P$6,Drop_PnL!$AZ$7:$AZ$18,"N")</f>
        <v/>
      </c>
      <c r="Q9" s="31">
        <f>SUMIFS(Drop_PnL!$AP$7:$AP$18,Drop_PnL!$AO$7:$AO$18,"&gt;="&amp;Q$5,Drop_PnL!$AO$7:$AO$18,"&lt;="&amp;Q$6,Drop_PnL!$AZ$7:$AZ$18,"N")+SUMIFS(Drop_PnL!$AR$7:$AR$18,Drop_PnL!$AQ$7:$AQ$18,"&gt;="&amp;Q$5,Drop_PnL!$AQ$7:$AQ$18,"&lt;="&amp;Q$6,Drop_PnL!$AZ$7:$AZ$18,"N")+SUMIFS(Drop_PnL!$AT$7:$AT$18,Drop_PnL!$AS$7:$AS$18,"&gt;="&amp;Q$5,Drop_PnL!$AS$7:$AS$18,"&lt;="&amp;Q$6,Drop_PnL!$AZ$7:$AZ$18,"N")</f>
        <v/>
      </c>
      <c r="R9" s="31">
        <f>SUMIFS(Drop_PnL!$AP$7:$AP$18,Drop_PnL!$AO$7:$AO$18,"&gt;="&amp;R$5,Drop_PnL!$AO$7:$AO$18,"&lt;="&amp;R$6,Drop_PnL!$AZ$7:$AZ$18,"N")+SUMIFS(Drop_PnL!$AR$7:$AR$18,Drop_PnL!$AQ$7:$AQ$18,"&gt;="&amp;R$5,Drop_PnL!$AQ$7:$AQ$18,"&lt;="&amp;R$6,Drop_PnL!$AZ$7:$AZ$18,"N")+SUMIFS(Drop_PnL!$AT$7:$AT$18,Drop_PnL!$AS$7:$AS$18,"&gt;="&amp;R$5,Drop_PnL!$AS$7:$AS$18,"&lt;="&amp;R$6,Drop_PnL!$AZ$7:$AZ$18,"N")</f>
        <v/>
      </c>
      <c r="S9" s="31">
        <f>SUMIFS(Drop_PnL!$AP$7:$AP$18,Drop_PnL!$AO$7:$AO$18,"&gt;="&amp;S$5,Drop_PnL!$AO$7:$AO$18,"&lt;="&amp;S$6,Drop_PnL!$AZ$7:$AZ$18,"N")+SUMIFS(Drop_PnL!$AR$7:$AR$18,Drop_PnL!$AQ$7:$AQ$18,"&gt;="&amp;S$5,Drop_PnL!$AQ$7:$AQ$18,"&lt;="&amp;S$6,Drop_PnL!$AZ$7:$AZ$18,"N")+SUMIFS(Drop_PnL!$AT$7:$AT$18,Drop_PnL!$AS$7:$AS$18,"&gt;="&amp;S$5,Drop_PnL!$AS$7:$AS$18,"&lt;="&amp;S$6,Drop_PnL!$AZ$7:$AZ$18,"N")</f>
        <v/>
      </c>
      <c r="T9" s="31">
        <f>SUMIFS(Drop_PnL!$AP$7:$AP$18,Drop_PnL!$AO$7:$AO$18,"&gt;="&amp;T$5,Drop_PnL!$AO$7:$AO$18,"&lt;="&amp;T$6,Drop_PnL!$AZ$7:$AZ$18,"N")+SUMIFS(Drop_PnL!$AR$7:$AR$18,Drop_PnL!$AQ$7:$AQ$18,"&gt;="&amp;T$5,Drop_PnL!$AQ$7:$AQ$18,"&lt;="&amp;T$6,Drop_PnL!$AZ$7:$AZ$18,"N")+SUMIFS(Drop_PnL!$AT$7:$AT$18,Drop_PnL!$AS$7:$AS$18,"&gt;="&amp;T$5,Drop_PnL!$AS$7:$AS$18,"&lt;="&amp;T$6,Drop_PnL!$AZ$7:$AZ$18,"N")</f>
        <v/>
      </c>
      <c r="U9" s="31">
        <f>SUMIFS(Drop_PnL!$AP$7:$AP$18,Drop_PnL!$AO$7:$AO$18,"&gt;="&amp;U$5,Drop_PnL!$AO$7:$AO$18,"&lt;="&amp;U$6,Drop_PnL!$AZ$7:$AZ$18,"N")+SUMIFS(Drop_PnL!$AR$7:$AR$18,Drop_PnL!$AQ$7:$AQ$18,"&gt;="&amp;U$5,Drop_PnL!$AQ$7:$AQ$18,"&lt;="&amp;U$6,Drop_PnL!$AZ$7:$AZ$18,"N")+SUMIFS(Drop_PnL!$AT$7:$AT$18,Drop_PnL!$AS$7:$AS$18,"&gt;="&amp;U$5,Drop_PnL!$AS$7:$AS$18,"&lt;="&amp;U$6,Drop_PnL!$AZ$7:$AZ$18,"N")</f>
        <v/>
      </c>
      <c r="V9" s="31">
        <f>SUMIFS(Drop_PnL!$AP$7:$AP$18,Drop_PnL!$AO$7:$AO$18,"&gt;="&amp;V$5,Drop_PnL!$AO$7:$AO$18,"&lt;="&amp;V$6,Drop_PnL!$AZ$7:$AZ$18,"N")+SUMIFS(Drop_PnL!$AR$7:$AR$18,Drop_PnL!$AQ$7:$AQ$18,"&gt;="&amp;V$5,Drop_PnL!$AQ$7:$AQ$18,"&lt;="&amp;V$6,Drop_PnL!$AZ$7:$AZ$18,"N")+SUMIFS(Drop_PnL!$AT$7:$AT$18,Drop_PnL!$AS$7:$AS$18,"&gt;="&amp;V$5,Drop_PnL!$AS$7:$AS$18,"&lt;="&amp;V$6,Drop_PnL!$AZ$7:$AZ$18,"N")</f>
        <v/>
      </c>
      <c r="W9" s="31">
        <f>SUMIFS(Drop_PnL!$AP$7:$AP$18,Drop_PnL!$AO$7:$AO$18,"&gt;="&amp;W$5,Drop_PnL!$AO$7:$AO$18,"&lt;="&amp;W$6,Drop_PnL!$AZ$7:$AZ$18,"N")+SUMIFS(Drop_PnL!$AR$7:$AR$18,Drop_PnL!$AQ$7:$AQ$18,"&gt;="&amp;W$5,Drop_PnL!$AQ$7:$AQ$18,"&lt;="&amp;W$6,Drop_PnL!$AZ$7:$AZ$18,"N")+SUMIFS(Drop_PnL!$AT$7:$AT$18,Drop_PnL!$AS$7:$AS$18,"&gt;="&amp;W$5,Drop_PnL!$AS$7:$AS$18,"&lt;="&amp;W$6,Drop_PnL!$AZ$7:$AZ$18,"N")</f>
        <v/>
      </c>
      <c r="X9" s="31">
        <f>SUMIFS(Drop_PnL!$AP$7:$AP$18,Drop_PnL!$AO$7:$AO$18,"&gt;="&amp;X$5,Drop_PnL!$AO$7:$AO$18,"&lt;="&amp;X$6,Drop_PnL!$AZ$7:$AZ$18,"N")+SUMIFS(Drop_PnL!$AR$7:$AR$18,Drop_PnL!$AQ$7:$AQ$18,"&gt;="&amp;X$5,Drop_PnL!$AQ$7:$AQ$18,"&lt;="&amp;X$6,Drop_PnL!$AZ$7:$AZ$18,"N")+SUMIFS(Drop_PnL!$AT$7:$AT$18,Drop_PnL!$AS$7:$AS$18,"&gt;="&amp;X$5,Drop_PnL!$AS$7:$AS$18,"&lt;="&amp;X$6,Drop_PnL!$AZ$7:$AZ$18,"N")</f>
        <v/>
      </c>
      <c r="Y9" s="31">
        <f>SUMIFS(Drop_PnL!$AP$7:$AP$18,Drop_PnL!$AO$7:$AO$18,"&gt;="&amp;Y$5,Drop_PnL!$AO$7:$AO$18,"&lt;="&amp;Y$6,Drop_PnL!$AZ$7:$AZ$18,"N")+SUMIFS(Drop_PnL!$AR$7:$AR$18,Drop_PnL!$AQ$7:$AQ$18,"&gt;="&amp;Y$5,Drop_PnL!$AQ$7:$AQ$18,"&lt;="&amp;Y$6,Drop_PnL!$AZ$7:$AZ$18,"N")+SUMIFS(Drop_PnL!$AT$7:$AT$18,Drop_PnL!$AS$7:$AS$18,"&gt;="&amp;Y$5,Drop_PnL!$AS$7:$AS$18,"&lt;="&amp;Y$6,Drop_PnL!$AZ$7:$AZ$18,"N")</f>
        <v/>
      </c>
      <c r="Z9" s="31">
        <f>SUMIFS(Drop_PnL!$AP$7:$AP$18,Drop_PnL!$AO$7:$AO$18,"&gt;="&amp;Z$5,Drop_PnL!$AO$7:$AO$18,"&lt;="&amp;Z$6,Drop_PnL!$AZ$7:$AZ$18,"N")+SUMIFS(Drop_PnL!$AR$7:$AR$18,Drop_PnL!$AQ$7:$AQ$18,"&gt;="&amp;Z$5,Drop_PnL!$AQ$7:$AQ$18,"&lt;="&amp;Z$6,Drop_PnL!$AZ$7:$AZ$18,"N")+SUMIFS(Drop_PnL!$AT$7:$AT$18,Drop_PnL!$AS$7:$AS$18,"&gt;="&amp;Z$5,Drop_PnL!$AS$7:$AS$18,"&lt;="&amp;Z$6,Drop_PnL!$AZ$7:$AZ$18,"N")</f>
        <v/>
      </c>
      <c r="AA9" s="31">
        <f>SUMIFS(Drop_PnL!$AP$7:$AP$18,Drop_PnL!$AO$7:$AO$18,"&gt;="&amp;AA$5,Drop_PnL!$AO$7:$AO$18,"&lt;="&amp;AA$6,Drop_PnL!$AZ$7:$AZ$18,"N")+SUMIFS(Drop_PnL!$AR$7:$AR$18,Drop_PnL!$AQ$7:$AQ$18,"&gt;="&amp;AA$5,Drop_PnL!$AQ$7:$AQ$18,"&lt;="&amp;AA$6,Drop_PnL!$AZ$7:$AZ$18,"N")+SUMIFS(Drop_PnL!$AT$7:$AT$18,Drop_PnL!$AS$7:$AS$18,"&gt;="&amp;AA$5,Drop_PnL!$AS$7:$AS$18,"&lt;="&amp;AA$6,Drop_PnL!$AZ$7:$AZ$18,"N")</f>
        <v/>
      </c>
      <c r="AB9" s="31">
        <f>SUMIFS(Drop_PnL!$AP$7:$AP$18,Drop_PnL!$AO$7:$AO$18,"&gt;="&amp;AB$5,Drop_PnL!$AO$7:$AO$18,"&lt;="&amp;AB$6,Drop_PnL!$AZ$7:$AZ$18,"N")+SUMIFS(Drop_PnL!$AR$7:$AR$18,Drop_PnL!$AQ$7:$AQ$18,"&gt;="&amp;AB$5,Drop_PnL!$AQ$7:$AQ$18,"&lt;="&amp;AB$6,Drop_PnL!$AZ$7:$AZ$18,"N")+SUMIFS(Drop_PnL!$AT$7:$AT$18,Drop_PnL!$AS$7:$AS$18,"&gt;="&amp;AB$5,Drop_PnL!$AS$7:$AS$18,"&lt;="&amp;AB$6,Drop_PnL!$AZ$7:$AZ$18,"N")</f>
        <v/>
      </c>
      <c r="AC9" s="33">
        <f>SUM(C9:AB9)</f>
        <v/>
      </c>
    </row>
    <row r="10">
      <c r="B10" t="inlineStr">
        <is>
          <t>Brand receipts, actual (drops with actuals)</t>
        </is>
      </c>
      <c r="C10" s="31">
        <f>SUMIFS(Actuals_Campaigns!$X$5:$X$204,Actuals_Campaigns!$Y$5:$Y$204,"&gt;="&amp;C$5,Actuals_Campaigns!$Y$5:$Y$204,"&lt;="&amp;C$6,Actuals_Campaigns!$AB$5:$AB$204,"Y")+SUMIFS(Actuals_Campaigns!$AC$5:$AC$204,Actuals_Campaigns!$S$5:$S$204,"&gt;="&amp;C$5,Actuals_Campaigns!$S$5:$S$204,"&lt;="&amp;C$6,Actuals_Campaigns!$AB$5:$AB$204,"Y")</f>
        <v/>
      </c>
      <c r="D10" s="31">
        <f>SUMIFS(Actuals_Campaigns!$X$5:$X$204,Actuals_Campaigns!$Y$5:$Y$204,"&gt;="&amp;D$5,Actuals_Campaigns!$Y$5:$Y$204,"&lt;="&amp;D$6,Actuals_Campaigns!$AB$5:$AB$204,"Y")+SUMIFS(Actuals_Campaigns!$AC$5:$AC$204,Actuals_Campaigns!$S$5:$S$204,"&gt;="&amp;D$5,Actuals_Campaigns!$S$5:$S$204,"&lt;="&amp;D$6,Actuals_Campaigns!$AB$5:$AB$204,"Y")</f>
        <v/>
      </c>
      <c r="E10" s="31">
        <f>SUMIFS(Actuals_Campaigns!$X$5:$X$204,Actuals_Campaigns!$Y$5:$Y$204,"&gt;="&amp;E$5,Actuals_Campaigns!$Y$5:$Y$204,"&lt;="&amp;E$6,Actuals_Campaigns!$AB$5:$AB$204,"Y")+SUMIFS(Actuals_Campaigns!$AC$5:$AC$204,Actuals_Campaigns!$S$5:$S$204,"&gt;="&amp;E$5,Actuals_Campaigns!$S$5:$S$204,"&lt;="&amp;E$6,Actuals_Campaigns!$AB$5:$AB$204,"Y")</f>
        <v/>
      </c>
      <c r="F10" s="31">
        <f>SUMIFS(Actuals_Campaigns!$X$5:$X$204,Actuals_Campaigns!$Y$5:$Y$204,"&gt;="&amp;F$5,Actuals_Campaigns!$Y$5:$Y$204,"&lt;="&amp;F$6,Actuals_Campaigns!$AB$5:$AB$204,"Y")+SUMIFS(Actuals_Campaigns!$AC$5:$AC$204,Actuals_Campaigns!$S$5:$S$204,"&gt;="&amp;F$5,Actuals_Campaigns!$S$5:$S$204,"&lt;="&amp;F$6,Actuals_Campaigns!$AB$5:$AB$204,"Y")</f>
        <v/>
      </c>
      <c r="G10" s="31">
        <f>SUMIFS(Actuals_Campaigns!$X$5:$X$204,Actuals_Campaigns!$Y$5:$Y$204,"&gt;="&amp;G$5,Actuals_Campaigns!$Y$5:$Y$204,"&lt;="&amp;G$6,Actuals_Campaigns!$AB$5:$AB$204,"Y")+SUMIFS(Actuals_Campaigns!$AC$5:$AC$204,Actuals_Campaigns!$S$5:$S$204,"&gt;="&amp;G$5,Actuals_Campaigns!$S$5:$S$204,"&lt;="&amp;G$6,Actuals_Campaigns!$AB$5:$AB$204,"Y")</f>
        <v/>
      </c>
      <c r="H10" s="31">
        <f>SUMIFS(Actuals_Campaigns!$X$5:$X$204,Actuals_Campaigns!$Y$5:$Y$204,"&gt;="&amp;H$5,Actuals_Campaigns!$Y$5:$Y$204,"&lt;="&amp;H$6,Actuals_Campaigns!$AB$5:$AB$204,"Y")+SUMIFS(Actuals_Campaigns!$AC$5:$AC$204,Actuals_Campaigns!$S$5:$S$204,"&gt;="&amp;H$5,Actuals_Campaigns!$S$5:$S$204,"&lt;="&amp;H$6,Actuals_Campaigns!$AB$5:$AB$204,"Y")</f>
        <v/>
      </c>
      <c r="I10" s="31">
        <f>SUMIFS(Actuals_Campaigns!$X$5:$X$204,Actuals_Campaigns!$Y$5:$Y$204,"&gt;="&amp;I$5,Actuals_Campaigns!$Y$5:$Y$204,"&lt;="&amp;I$6,Actuals_Campaigns!$AB$5:$AB$204,"Y")+SUMIFS(Actuals_Campaigns!$AC$5:$AC$204,Actuals_Campaigns!$S$5:$S$204,"&gt;="&amp;I$5,Actuals_Campaigns!$S$5:$S$204,"&lt;="&amp;I$6,Actuals_Campaigns!$AB$5:$AB$204,"Y")</f>
        <v/>
      </c>
      <c r="J10" s="31">
        <f>SUMIFS(Actuals_Campaigns!$X$5:$X$204,Actuals_Campaigns!$Y$5:$Y$204,"&gt;="&amp;J$5,Actuals_Campaigns!$Y$5:$Y$204,"&lt;="&amp;J$6,Actuals_Campaigns!$AB$5:$AB$204,"Y")+SUMIFS(Actuals_Campaigns!$AC$5:$AC$204,Actuals_Campaigns!$S$5:$S$204,"&gt;="&amp;J$5,Actuals_Campaigns!$S$5:$S$204,"&lt;="&amp;J$6,Actuals_Campaigns!$AB$5:$AB$204,"Y")</f>
        <v/>
      </c>
      <c r="K10" s="31">
        <f>SUMIFS(Actuals_Campaigns!$X$5:$X$204,Actuals_Campaigns!$Y$5:$Y$204,"&gt;="&amp;K$5,Actuals_Campaigns!$Y$5:$Y$204,"&lt;="&amp;K$6,Actuals_Campaigns!$AB$5:$AB$204,"Y")+SUMIFS(Actuals_Campaigns!$AC$5:$AC$204,Actuals_Campaigns!$S$5:$S$204,"&gt;="&amp;K$5,Actuals_Campaigns!$S$5:$S$204,"&lt;="&amp;K$6,Actuals_Campaigns!$AB$5:$AB$204,"Y")</f>
        <v/>
      </c>
      <c r="L10" s="31">
        <f>SUMIFS(Actuals_Campaigns!$X$5:$X$204,Actuals_Campaigns!$Y$5:$Y$204,"&gt;="&amp;L$5,Actuals_Campaigns!$Y$5:$Y$204,"&lt;="&amp;L$6,Actuals_Campaigns!$AB$5:$AB$204,"Y")+SUMIFS(Actuals_Campaigns!$AC$5:$AC$204,Actuals_Campaigns!$S$5:$S$204,"&gt;="&amp;L$5,Actuals_Campaigns!$S$5:$S$204,"&lt;="&amp;L$6,Actuals_Campaigns!$AB$5:$AB$204,"Y")</f>
        <v/>
      </c>
      <c r="M10" s="31">
        <f>SUMIFS(Actuals_Campaigns!$X$5:$X$204,Actuals_Campaigns!$Y$5:$Y$204,"&gt;="&amp;M$5,Actuals_Campaigns!$Y$5:$Y$204,"&lt;="&amp;M$6,Actuals_Campaigns!$AB$5:$AB$204,"Y")+SUMIFS(Actuals_Campaigns!$AC$5:$AC$204,Actuals_Campaigns!$S$5:$S$204,"&gt;="&amp;M$5,Actuals_Campaigns!$S$5:$S$204,"&lt;="&amp;M$6,Actuals_Campaigns!$AB$5:$AB$204,"Y")</f>
        <v/>
      </c>
      <c r="N10" s="31">
        <f>SUMIFS(Actuals_Campaigns!$X$5:$X$204,Actuals_Campaigns!$Y$5:$Y$204,"&gt;="&amp;N$5,Actuals_Campaigns!$Y$5:$Y$204,"&lt;="&amp;N$6,Actuals_Campaigns!$AB$5:$AB$204,"Y")+SUMIFS(Actuals_Campaigns!$AC$5:$AC$204,Actuals_Campaigns!$S$5:$S$204,"&gt;="&amp;N$5,Actuals_Campaigns!$S$5:$S$204,"&lt;="&amp;N$6,Actuals_Campaigns!$AB$5:$AB$204,"Y")</f>
        <v/>
      </c>
      <c r="O10" s="31">
        <f>SUMIFS(Actuals_Campaigns!$X$5:$X$204,Actuals_Campaigns!$Y$5:$Y$204,"&gt;="&amp;O$5,Actuals_Campaigns!$Y$5:$Y$204,"&lt;="&amp;O$6,Actuals_Campaigns!$AB$5:$AB$204,"Y")+SUMIFS(Actuals_Campaigns!$AC$5:$AC$204,Actuals_Campaigns!$S$5:$S$204,"&gt;="&amp;O$5,Actuals_Campaigns!$S$5:$S$204,"&lt;="&amp;O$6,Actuals_Campaigns!$AB$5:$AB$204,"Y")</f>
        <v/>
      </c>
      <c r="P10" s="31">
        <f>SUMIFS(Actuals_Campaigns!$X$5:$X$204,Actuals_Campaigns!$Y$5:$Y$204,"&gt;="&amp;P$5,Actuals_Campaigns!$Y$5:$Y$204,"&lt;="&amp;P$6,Actuals_Campaigns!$AB$5:$AB$204,"Y")+SUMIFS(Actuals_Campaigns!$AC$5:$AC$204,Actuals_Campaigns!$S$5:$S$204,"&gt;="&amp;P$5,Actuals_Campaigns!$S$5:$S$204,"&lt;="&amp;P$6,Actuals_Campaigns!$AB$5:$AB$204,"Y")</f>
        <v/>
      </c>
      <c r="Q10" s="31">
        <f>SUMIFS(Actuals_Campaigns!$X$5:$X$204,Actuals_Campaigns!$Y$5:$Y$204,"&gt;="&amp;Q$5,Actuals_Campaigns!$Y$5:$Y$204,"&lt;="&amp;Q$6,Actuals_Campaigns!$AB$5:$AB$204,"Y")+SUMIFS(Actuals_Campaigns!$AC$5:$AC$204,Actuals_Campaigns!$S$5:$S$204,"&gt;="&amp;Q$5,Actuals_Campaigns!$S$5:$S$204,"&lt;="&amp;Q$6,Actuals_Campaigns!$AB$5:$AB$204,"Y")</f>
        <v/>
      </c>
      <c r="R10" s="31">
        <f>SUMIFS(Actuals_Campaigns!$X$5:$X$204,Actuals_Campaigns!$Y$5:$Y$204,"&gt;="&amp;R$5,Actuals_Campaigns!$Y$5:$Y$204,"&lt;="&amp;R$6,Actuals_Campaigns!$AB$5:$AB$204,"Y")+SUMIFS(Actuals_Campaigns!$AC$5:$AC$204,Actuals_Campaigns!$S$5:$S$204,"&gt;="&amp;R$5,Actuals_Campaigns!$S$5:$S$204,"&lt;="&amp;R$6,Actuals_Campaigns!$AB$5:$AB$204,"Y")</f>
        <v/>
      </c>
      <c r="S10" s="31">
        <f>SUMIFS(Actuals_Campaigns!$X$5:$X$204,Actuals_Campaigns!$Y$5:$Y$204,"&gt;="&amp;S$5,Actuals_Campaigns!$Y$5:$Y$204,"&lt;="&amp;S$6,Actuals_Campaigns!$AB$5:$AB$204,"Y")+SUMIFS(Actuals_Campaigns!$AC$5:$AC$204,Actuals_Campaigns!$S$5:$S$204,"&gt;="&amp;S$5,Actuals_Campaigns!$S$5:$S$204,"&lt;="&amp;S$6,Actuals_Campaigns!$AB$5:$AB$204,"Y")</f>
        <v/>
      </c>
      <c r="T10" s="31">
        <f>SUMIFS(Actuals_Campaigns!$X$5:$X$204,Actuals_Campaigns!$Y$5:$Y$204,"&gt;="&amp;T$5,Actuals_Campaigns!$Y$5:$Y$204,"&lt;="&amp;T$6,Actuals_Campaigns!$AB$5:$AB$204,"Y")+SUMIFS(Actuals_Campaigns!$AC$5:$AC$204,Actuals_Campaigns!$S$5:$S$204,"&gt;="&amp;T$5,Actuals_Campaigns!$S$5:$S$204,"&lt;="&amp;T$6,Actuals_Campaigns!$AB$5:$AB$204,"Y")</f>
        <v/>
      </c>
      <c r="U10" s="31">
        <f>SUMIFS(Actuals_Campaigns!$X$5:$X$204,Actuals_Campaigns!$Y$5:$Y$204,"&gt;="&amp;U$5,Actuals_Campaigns!$Y$5:$Y$204,"&lt;="&amp;U$6,Actuals_Campaigns!$AB$5:$AB$204,"Y")+SUMIFS(Actuals_Campaigns!$AC$5:$AC$204,Actuals_Campaigns!$S$5:$S$204,"&gt;="&amp;U$5,Actuals_Campaigns!$S$5:$S$204,"&lt;="&amp;U$6,Actuals_Campaigns!$AB$5:$AB$204,"Y")</f>
        <v/>
      </c>
      <c r="V10" s="31">
        <f>SUMIFS(Actuals_Campaigns!$X$5:$X$204,Actuals_Campaigns!$Y$5:$Y$204,"&gt;="&amp;V$5,Actuals_Campaigns!$Y$5:$Y$204,"&lt;="&amp;V$6,Actuals_Campaigns!$AB$5:$AB$204,"Y")+SUMIFS(Actuals_Campaigns!$AC$5:$AC$204,Actuals_Campaigns!$S$5:$S$204,"&gt;="&amp;V$5,Actuals_Campaigns!$S$5:$S$204,"&lt;="&amp;V$6,Actuals_Campaigns!$AB$5:$AB$204,"Y")</f>
        <v/>
      </c>
      <c r="W10" s="31">
        <f>SUMIFS(Actuals_Campaigns!$X$5:$X$204,Actuals_Campaigns!$Y$5:$Y$204,"&gt;="&amp;W$5,Actuals_Campaigns!$Y$5:$Y$204,"&lt;="&amp;W$6,Actuals_Campaigns!$AB$5:$AB$204,"Y")+SUMIFS(Actuals_Campaigns!$AC$5:$AC$204,Actuals_Campaigns!$S$5:$S$204,"&gt;="&amp;W$5,Actuals_Campaigns!$S$5:$S$204,"&lt;="&amp;W$6,Actuals_Campaigns!$AB$5:$AB$204,"Y")</f>
        <v/>
      </c>
      <c r="X10" s="31">
        <f>SUMIFS(Actuals_Campaigns!$X$5:$X$204,Actuals_Campaigns!$Y$5:$Y$204,"&gt;="&amp;X$5,Actuals_Campaigns!$Y$5:$Y$204,"&lt;="&amp;X$6,Actuals_Campaigns!$AB$5:$AB$204,"Y")+SUMIFS(Actuals_Campaigns!$AC$5:$AC$204,Actuals_Campaigns!$S$5:$S$204,"&gt;="&amp;X$5,Actuals_Campaigns!$S$5:$S$204,"&lt;="&amp;X$6,Actuals_Campaigns!$AB$5:$AB$204,"Y")</f>
        <v/>
      </c>
      <c r="Y10" s="31">
        <f>SUMIFS(Actuals_Campaigns!$X$5:$X$204,Actuals_Campaigns!$Y$5:$Y$204,"&gt;="&amp;Y$5,Actuals_Campaigns!$Y$5:$Y$204,"&lt;="&amp;Y$6,Actuals_Campaigns!$AB$5:$AB$204,"Y")+SUMIFS(Actuals_Campaigns!$AC$5:$AC$204,Actuals_Campaigns!$S$5:$S$204,"&gt;="&amp;Y$5,Actuals_Campaigns!$S$5:$S$204,"&lt;="&amp;Y$6,Actuals_Campaigns!$AB$5:$AB$204,"Y")</f>
        <v/>
      </c>
      <c r="Z10" s="31">
        <f>SUMIFS(Actuals_Campaigns!$X$5:$X$204,Actuals_Campaigns!$Y$5:$Y$204,"&gt;="&amp;Z$5,Actuals_Campaigns!$Y$5:$Y$204,"&lt;="&amp;Z$6,Actuals_Campaigns!$AB$5:$AB$204,"Y")+SUMIFS(Actuals_Campaigns!$AC$5:$AC$204,Actuals_Campaigns!$S$5:$S$204,"&gt;="&amp;Z$5,Actuals_Campaigns!$S$5:$S$204,"&lt;="&amp;Z$6,Actuals_Campaigns!$AB$5:$AB$204,"Y")</f>
        <v/>
      </c>
      <c r="AA10" s="31">
        <f>SUMIFS(Actuals_Campaigns!$X$5:$X$204,Actuals_Campaigns!$Y$5:$Y$204,"&gt;="&amp;AA$5,Actuals_Campaigns!$Y$5:$Y$204,"&lt;="&amp;AA$6,Actuals_Campaigns!$AB$5:$AB$204,"Y")+SUMIFS(Actuals_Campaigns!$AC$5:$AC$204,Actuals_Campaigns!$S$5:$S$204,"&gt;="&amp;AA$5,Actuals_Campaigns!$S$5:$S$204,"&lt;="&amp;AA$6,Actuals_Campaigns!$AB$5:$AB$204,"Y")</f>
        <v/>
      </c>
      <c r="AB10" s="31">
        <f>SUMIFS(Actuals_Campaigns!$X$5:$X$204,Actuals_Campaigns!$Y$5:$Y$204,"&gt;="&amp;AB$5,Actuals_Campaigns!$Y$5:$Y$204,"&lt;="&amp;AB$6,Actuals_Campaigns!$AB$5:$AB$204,"Y")+SUMIFS(Actuals_Campaigns!$AC$5:$AC$204,Actuals_Campaigns!$S$5:$S$204,"&gt;="&amp;AB$5,Actuals_Campaigns!$S$5:$S$204,"&lt;="&amp;AB$6,Actuals_Campaigns!$AB$5:$AB$204,"Y")</f>
        <v/>
      </c>
      <c r="AC10" s="33">
        <f>SUM(C10:AB10)</f>
        <v/>
      </c>
    </row>
    <row r="11">
      <c r="B11" s="8" t="inlineStr">
        <is>
          <t>Total receipts</t>
        </is>
      </c>
      <c r="C11" s="33">
        <f>SUM(C9:C10)</f>
        <v/>
      </c>
      <c r="D11" s="33">
        <f>SUM(D9:D10)</f>
        <v/>
      </c>
      <c r="E11" s="33">
        <f>SUM(E9:E10)</f>
        <v/>
      </c>
      <c r="F11" s="33">
        <f>SUM(F9:F10)</f>
        <v/>
      </c>
      <c r="G11" s="33">
        <f>SUM(G9:G10)</f>
        <v/>
      </c>
      <c r="H11" s="33">
        <f>SUM(H9:H10)</f>
        <v/>
      </c>
      <c r="I11" s="33">
        <f>SUM(I9:I10)</f>
        <v/>
      </c>
      <c r="J11" s="33">
        <f>SUM(J9:J10)</f>
        <v/>
      </c>
      <c r="K11" s="33">
        <f>SUM(K9:K10)</f>
        <v/>
      </c>
      <c r="L11" s="33">
        <f>SUM(L9:L10)</f>
        <v/>
      </c>
      <c r="M11" s="33">
        <f>SUM(M9:M10)</f>
        <v/>
      </c>
      <c r="N11" s="33">
        <f>SUM(N9:N10)</f>
        <v/>
      </c>
      <c r="O11" s="33">
        <f>SUM(O9:O10)</f>
        <v/>
      </c>
      <c r="P11" s="33">
        <f>SUM(P9:P10)</f>
        <v/>
      </c>
      <c r="Q11" s="33">
        <f>SUM(Q9:Q10)</f>
        <v/>
      </c>
      <c r="R11" s="33">
        <f>SUM(R9:R10)</f>
        <v/>
      </c>
      <c r="S11" s="33">
        <f>SUM(S9:S10)</f>
        <v/>
      </c>
      <c r="T11" s="33">
        <f>SUM(T9:T10)</f>
        <v/>
      </c>
      <c r="U11" s="33">
        <f>SUM(U9:U10)</f>
        <v/>
      </c>
      <c r="V11" s="33">
        <f>SUM(V9:V10)</f>
        <v/>
      </c>
      <c r="W11" s="33">
        <f>SUM(W9:W10)</f>
        <v/>
      </c>
      <c r="X11" s="33">
        <f>SUM(X9:X10)</f>
        <v/>
      </c>
      <c r="Y11" s="33">
        <f>SUM(Y9:Y10)</f>
        <v/>
      </c>
      <c r="Z11" s="33">
        <f>SUM(Z9:Z10)</f>
        <v/>
      </c>
      <c r="AA11" s="33">
        <f>SUM(AA9:AA10)</f>
        <v/>
      </c>
      <c r="AB11" s="33">
        <f>SUM(AB9:AB10)</f>
        <v/>
      </c>
      <c r="AC11" s="33">
        <f>SUM(C11:AB11)</f>
        <v/>
      </c>
    </row>
    <row r="12">
      <c r="A12" s="3" t="inlineStr">
        <is>
          <t>Direct drop costs</t>
        </is>
      </c>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row>
    <row r="13">
      <c r="B13" t="inlineStr">
        <is>
          <t>Display kits, plan</t>
        </is>
      </c>
      <c r="C13" s="31">
        <f>-SUMIFS(Drop_PnL!$T$7:$T$18,Drop_PnL!$AX$7:$AX$18,"&gt;="&amp;C$5,Drop_PnL!$AX$7:$AX$18,"&lt;="&amp;C$6,Drop_PnL!$AZ$7:$AZ$18,"N")</f>
        <v/>
      </c>
      <c r="D13" s="31">
        <f>-SUMIFS(Drop_PnL!$T$7:$T$18,Drop_PnL!$AX$7:$AX$18,"&gt;="&amp;D$5,Drop_PnL!$AX$7:$AX$18,"&lt;="&amp;D$6,Drop_PnL!$AZ$7:$AZ$18,"N")</f>
        <v/>
      </c>
      <c r="E13" s="31">
        <f>-SUMIFS(Drop_PnL!$T$7:$T$18,Drop_PnL!$AX$7:$AX$18,"&gt;="&amp;E$5,Drop_PnL!$AX$7:$AX$18,"&lt;="&amp;E$6,Drop_PnL!$AZ$7:$AZ$18,"N")</f>
        <v/>
      </c>
      <c r="F13" s="31">
        <f>-SUMIFS(Drop_PnL!$T$7:$T$18,Drop_PnL!$AX$7:$AX$18,"&gt;="&amp;F$5,Drop_PnL!$AX$7:$AX$18,"&lt;="&amp;F$6,Drop_PnL!$AZ$7:$AZ$18,"N")</f>
        <v/>
      </c>
      <c r="G13" s="31">
        <f>-SUMIFS(Drop_PnL!$T$7:$T$18,Drop_PnL!$AX$7:$AX$18,"&gt;="&amp;G$5,Drop_PnL!$AX$7:$AX$18,"&lt;="&amp;G$6,Drop_PnL!$AZ$7:$AZ$18,"N")</f>
        <v/>
      </c>
      <c r="H13" s="31">
        <f>-SUMIFS(Drop_PnL!$T$7:$T$18,Drop_PnL!$AX$7:$AX$18,"&gt;="&amp;H$5,Drop_PnL!$AX$7:$AX$18,"&lt;="&amp;H$6,Drop_PnL!$AZ$7:$AZ$18,"N")</f>
        <v/>
      </c>
      <c r="I13" s="31">
        <f>-SUMIFS(Drop_PnL!$T$7:$T$18,Drop_PnL!$AX$7:$AX$18,"&gt;="&amp;I$5,Drop_PnL!$AX$7:$AX$18,"&lt;="&amp;I$6,Drop_PnL!$AZ$7:$AZ$18,"N")</f>
        <v/>
      </c>
      <c r="J13" s="31">
        <f>-SUMIFS(Drop_PnL!$T$7:$T$18,Drop_PnL!$AX$7:$AX$18,"&gt;="&amp;J$5,Drop_PnL!$AX$7:$AX$18,"&lt;="&amp;J$6,Drop_PnL!$AZ$7:$AZ$18,"N")</f>
        <v/>
      </c>
      <c r="K13" s="31">
        <f>-SUMIFS(Drop_PnL!$T$7:$T$18,Drop_PnL!$AX$7:$AX$18,"&gt;="&amp;K$5,Drop_PnL!$AX$7:$AX$18,"&lt;="&amp;K$6,Drop_PnL!$AZ$7:$AZ$18,"N")</f>
        <v/>
      </c>
      <c r="L13" s="31">
        <f>-SUMIFS(Drop_PnL!$T$7:$T$18,Drop_PnL!$AX$7:$AX$18,"&gt;="&amp;L$5,Drop_PnL!$AX$7:$AX$18,"&lt;="&amp;L$6,Drop_PnL!$AZ$7:$AZ$18,"N")</f>
        <v/>
      </c>
      <c r="M13" s="31">
        <f>-SUMIFS(Drop_PnL!$T$7:$T$18,Drop_PnL!$AX$7:$AX$18,"&gt;="&amp;M$5,Drop_PnL!$AX$7:$AX$18,"&lt;="&amp;M$6,Drop_PnL!$AZ$7:$AZ$18,"N")</f>
        <v/>
      </c>
      <c r="N13" s="31">
        <f>-SUMIFS(Drop_PnL!$T$7:$T$18,Drop_PnL!$AX$7:$AX$18,"&gt;="&amp;N$5,Drop_PnL!$AX$7:$AX$18,"&lt;="&amp;N$6,Drop_PnL!$AZ$7:$AZ$18,"N")</f>
        <v/>
      </c>
      <c r="O13" s="31">
        <f>-SUMIFS(Drop_PnL!$T$7:$T$18,Drop_PnL!$AX$7:$AX$18,"&gt;="&amp;O$5,Drop_PnL!$AX$7:$AX$18,"&lt;="&amp;O$6,Drop_PnL!$AZ$7:$AZ$18,"N")</f>
        <v/>
      </c>
      <c r="P13" s="31">
        <f>-SUMIFS(Drop_PnL!$T$7:$T$18,Drop_PnL!$AX$7:$AX$18,"&gt;="&amp;P$5,Drop_PnL!$AX$7:$AX$18,"&lt;="&amp;P$6,Drop_PnL!$AZ$7:$AZ$18,"N")</f>
        <v/>
      </c>
      <c r="Q13" s="31">
        <f>-SUMIFS(Drop_PnL!$T$7:$T$18,Drop_PnL!$AX$7:$AX$18,"&gt;="&amp;Q$5,Drop_PnL!$AX$7:$AX$18,"&lt;="&amp;Q$6,Drop_PnL!$AZ$7:$AZ$18,"N")</f>
        <v/>
      </c>
      <c r="R13" s="31">
        <f>-SUMIFS(Drop_PnL!$T$7:$T$18,Drop_PnL!$AX$7:$AX$18,"&gt;="&amp;R$5,Drop_PnL!$AX$7:$AX$18,"&lt;="&amp;R$6,Drop_PnL!$AZ$7:$AZ$18,"N")</f>
        <v/>
      </c>
      <c r="S13" s="31">
        <f>-SUMIFS(Drop_PnL!$T$7:$T$18,Drop_PnL!$AX$7:$AX$18,"&gt;="&amp;S$5,Drop_PnL!$AX$7:$AX$18,"&lt;="&amp;S$6,Drop_PnL!$AZ$7:$AZ$18,"N")</f>
        <v/>
      </c>
      <c r="T13" s="31">
        <f>-SUMIFS(Drop_PnL!$T$7:$T$18,Drop_PnL!$AX$7:$AX$18,"&gt;="&amp;T$5,Drop_PnL!$AX$7:$AX$18,"&lt;="&amp;T$6,Drop_PnL!$AZ$7:$AZ$18,"N")</f>
        <v/>
      </c>
      <c r="U13" s="31">
        <f>-SUMIFS(Drop_PnL!$T$7:$T$18,Drop_PnL!$AX$7:$AX$18,"&gt;="&amp;U$5,Drop_PnL!$AX$7:$AX$18,"&lt;="&amp;U$6,Drop_PnL!$AZ$7:$AZ$18,"N")</f>
        <v/>
      </c>
      <c r="V13" s="31">
        <f>-SUMIFS(Drop_PnL!$T$7:$T$18,Drop_PnL!$AX$7:$AX$18,"&gt;="&amp;V$5,Drop_PnL!$AX$7:$AX$18,"&lt;="&amp;V$6,Drop_PnL!$AZ$7:$AZ$18,"N")</f>
        <v/>
      </c>
      <c r="W13" s="31">
        <f>-SUMIFS(Drop_PnL!$T$7:$T$18,Drop_PnL!$AX$7:$AX$18,"&gt;="&amp;W$5,Drop_PnL!$AX$7:$AX$18,"&lt;="&amp;W$6,Drop_PnL!$AZ$7:$AZ$18,"N")</f>
        <v/>
      </c>
      <c r="X13" s="31">
        <f>-SUMIFS(Drop_PnL!$T$7:$T$18,Drop_PnL!$AX$7:$AX$18,"&gt;="&amp;X$5,Drop_PnL!$AX$7:$AX$18,"&lt;="&amp;X$6,Drop_PnL!$AZ$7:$AZ$18,"N")</f>
        <v/>
      </c>
      <c r="Y13" s="31">
        <f>-SUMIFS(Drop_PnL!$T$7:$T$18,Drop_PnL!$AX$7:$AX$18,"&gt;="&amp;Y$5,Drop_PnL!$AX$7:$AX$18,"&lt;="&amp;Y$6,Drop_PnL!$AZ$7:$AZ$18,"N")</f>
        <v/>
      </c>
      <c r="Z13" s="31">
        <f>-SUMIFS(Drop_PnL!$T$7:$T$18,Drop_PnL!$AX$7:$AX$18,"&gt;="&amp;Z$5,Drop_PnL!$AX$7:$AX$18,"&lt;="&amp;Z$6,Drop_PnL!$AZ$7:$AZ$18,"N")</f>
        <v/>
      </c>
      <c r="AA13" s="31">
        <f>-SUMIFS(Drop_PnL!$T$7:$T$18,Drop_PnL!$AX$7:$AX$18,"&gt;="&amp;AA$5,Drop_PnL!$AX$7:$AX$18,"&lt;="&amp;AA$6,Drop_PnL!$AZ$7:$AZ$18,"N")</f>
        <v/>
      </c>
      <c r="AB13" s="31">
        <f>-SUMIFS(Drop_PnL!$T$7:$T$18,Drop_PnL!$AX$7:$AX$18,"&gt;="&amp;AB$5,Drop_PnL!$AX$7:$AX$18,"&lt;="&amp;AB$6,Drop_PnL!$AZ$7:$AZ$18,"N")</f>
        <v/>
      </c>
      <c r="AC13" s="33">
        <f>SUM(C13:AB13)</f>
        <v/>
      </c>
    </row>
    <row r="14">
      <c r="B14" t="inlineStr">
        <is>
          <t>Transport, plan</t>
        </is>
      </c>
      <c r="C14" s="31">
        <f>-SUMIFS(Drop_PnL!$U$7:$U$18,Drop_PnL!$AY$7:$AY$18,"&gt;="&amp;C$5,Drop_PnL!$AY$7:$AY$18,"&lt;="&amp;C$6,Drop_PnL!$AZ$7:$AZ$18,"N")</f>
        <v/>
      </c>
      <c r="D14" s="31">
        <f>-SUMIFS(Drop_PnL!$U$7:$U$18,Drop_PnL!$AY$7:$AY$18,"&gt;="&amp;D$5,Drop_PnL!$AY$7:$AY$18,"&lt;="&amp;D$6,Drop_PnL!$AZ$7:$AZ$18,"N")</f>
        <v/>
      </c>
      <c r="E14" s="31">
        <f>-SUMIFS(Drop_PnL!$U$7:$U$18,Drop_PnL!$AY$7:$AY$18,"&gt;="&amp;E$5,Drop_PnL!$AY$7:$AY$18,"&lt;="&amp;E$6,Drop_PnL!$AZ$7:$AZ$18,"N")</f>
        <v/>
      </c>
      <c r="F14" s="31">
        <f>-SUMIFS(Drop_PnL!$U$7:$U$18,Drop_PnL!$AY$7:$AY$18,"&gt;="&amp;F$5,Drop_PnL!$AY$7:$AY$18,"&lt;="&amp;F$6,Drop_PnL!$AZ$7:$AZ$18,"N")</f>
        <v/>
      </c>
      <c r="G14" s="31">
        <f>-SUMIFS(Drop_PnL!$U$7:$U$18,Drop_PnL!$AY$7:$AY$18,"&gt;="&amp;G$5,Drop_PnL!$AY$7:$AY$18,"&lt;="&amp;G$6,Drop_PnL!$AZ$7:$AZ$18,"N")</f>
        <v/>
      </c>
      <c r="H14" s="31">
        <f>-SUMIFS(Drop_PnL!$U$7:$U$18,Drop_PnL!$AY$7:$AY$18,"&gt;="&amp;H$5,Drop_PnL!$AY$7:$AY$18,"&lt;="&amp;H$6,Drop_PnL!$AZ$7:$AZ$18,"N")</f>
        <v/>
      </c>
      <c r="I14" s="31">
        <f>-SUMIFS(Drop_PnL!$U$7:$U$18,Drop_PnL!$AY$7:$AY$18,"&gt;="&amp;I$5,Drop_PnL!$AY$7:$AY$18,"&lt;="&amp;I$6,Drop_PnL!$AZ$7:$AZ$18,"N")</f>
        <v/>
      </c>
      <c r="J14" s="31">
        <f>-SUMIFS(Drop_PnL!$U$7:$U$18,Drop_PnL!$AY$7:$AY$18,"&gt;="&amp;J$5,Drop_PnL!$AY$7:$AY$18,"&lt;="&amp;J$6,Drop_PnL!$AZ$7:$AZ$18,"N")</f>
        <v/>
      </c>
      <c r="K14" s="31">
        <f>-SUMIFS(Drop_PnL!$U$7:$U$18,Drop_PnL!$AY$7:$AY$18,"&gt;="&amp;K$5,Drop_PnL!$AY$7:$AY$18,"&lt;="&amp;K$6,Drop_PnL!$AZ$7:$AZ$18,"N")</f>
        <v/>
      </c>
      <c r="L14" s="31">
        <f>-SUMIFS(Drop_PnL!$U$7:$U$18,Drop_PnL!$AY$7:$AY$18,"&gt;="&amp;L$5,Drop_PnL!$AY$7:$AY$18,"&lt;="&amp;L$6,Drop_PnL!$AZ$7:$AZ$18,"N")</f>
        <v/>
      </c>
      <c r="M14" s="31">
        <f>-SUMIFS(Drop_PnL!$U$7:$U$18,Drop_PnL!$AY$7:$AY$18,"&gt;="&amp;M$5,Drop_PnL!$AY$7:$AY$18,"&lt;="&amp;M$6,Drop_PnL!$AZ$7:$AZ$18,"N")</f>
        <v/>
      </c>
      <c r="N14" s="31">
        <f>-SUMIFS(Drop_PnL!$U$7:$U$18,Drop_PnL!$AY$7:$AY$18,"&gt;="&amp;N$5,Drop_PnL!$AY$7:$AY$18,"&lt;="&amp;N$6,Drop_PnL!$AZ$7:$AZ$18,"N")</f>
        <v/>
      </c>
      <c r="O14" s="31">
        <f>-SUMIFS(Drop_PnL!$U$7:$U$18,Drop_PnL!$AY$7:$AY$18,"&gt;="&amp;O$5,Drop_PnL!$AY$7:$AY$18,"&lt;="&amp;O$6,Drop_PnL!$AZ$7:$AZ$18,"N")</f>
        <v/>
      </c>
      <c r="P14" s="31">
        <f>-SUMIFS(Drop_PnL!$U$7:$U$18,Drop_PnL!$AY$7:$AY$18,"&gt;="&amp;P$5,Drop_PnL!$AY$7:$AY$18,"&lt;="&amp;P$6,Drop_PnL!$AZ$7:$AZ$18,"N")</f>
        <v/>
      </c>
      <c r="Q14" s="31">
        <f>-SUMIFS(Drop_PnL!$U$7:$U$18,Drop_PnL!$AY$7:$AY$18,"&gt;="&amp;Q$5,Drop_PnL!$AY$7:$AY$18,"&lt;="&amp;Q$6,Drop_PnL!$AZ$7:$AZ$18,"N")</f>
        <v/>
      </c>
      <c r="R14" s="31">
        <f>-SUMIFS(Drop_PnL!$U$7:$U$18,Drop_PnL!$AY$7:$AY$18,"&gt;="&amp;R$5,Drop_PnL!$AY$7:$AY$18,"&lt;="&amp;R$6,Drop_PnL!$AZ$7:$AZ$18,"N")</f>
        <v/>
      </c>
      <c r="S14" s="31">
        <f>-SUMIFS(Drop_PnL!$U$7:$U$18,Drop_PnL!$AY$7:$AY$18,"&gt;="&amp;S$5,Drop_PnL!$AY$7:$AY$18,"&lt;="&amp;S$6,Drop_PnL!$AZ$7:$AZ$18,"N")</f>
        <v/>
      </c>
      <c r="T14" s="31">
        <f>-SUMIFS(Drop_PnL!$U$7:$U$18,Drop_PnL!$AY$7:$AY$18,"&gt;="&amp;T$5,Drop_PnL!$AY$7:$AY$18,"&lt;="&amp;T$6,Drop_PnL!$AZ$7:$AZ$18,"N")</f>
        <v/>
      </c>
      <c r="U14" s="31">
        <f>-SUMIFS(Drop_PnL!$U$7:$U$18,Drop_PnL!$AY$7:$AY$18,"&gt;="&amp;U$5,Drop_PnL!$AY$7:$AY$18,"&lt;="&amp;U$6,Drop_PnL!$AZ$7:$AZ$18,"N")</f>
        <v/>
      </c>
      <c r="V14" s="31">
        <f>-SUMIFS(Drop_PnL!$U$7:$U$18,Drop_PnL!$AY$7:$AY$18,"&gt;="&amp;V$5,Drop_PnL!$AY$7:$AY$18,"&lt;="&amp;V$6,Drop_PnL!$AZ$7:$AZ$18,"N")</f>
        <v/>
      </c>
      <c r="W14" s="31">
        <f>-SUMIFS(Drop_PnL!$U$7:$U$18,Drop_PnL!$AY$7:$AY$18,"&gt;="&amp;W$5,Drop_PnL!$AY$7:$AY$18,"&lt;="&amp;W$6,Drop_PnL!$AZ$7:$AZ$18,"N")</f>
        <v/>
      </c>
      <c r="X14" s="31">
        <f>-SUMIFS(Drop_PnL!$U$7:$U$18,Drop_PnL!$AY$7:$AY$18,"&gt;="&amp;X$5,Drop_PnL!$AY$7:$AY$18,"&lt;="&amp;X$6,Drop_PnL!$AZ$7:$AZ$18,"N")</f>
        <v/>
      </c>
      <c r="Y14" s="31">
        <f>-SUMIFS(Drop_PnL!$U$7:$U$18,Drop_PnL!$AY$7:$AY$18,"&gt;="&amp;Y$5,Drop_PnL!$AY$7:$AY$18,"&lt;="&amp;Y$6,Drop_PnL!$AZ$7:$AZ$18,"N")</f>
        <v/>
      </c>
      <c r="Z14" s="31">
        <f>-SUMIFS(Drop_PnL!$U$7:$U$18,Drop_PnL!$AY$7:$AY$18,"&gt;="&amp;Z$5,Drop_PnL!$AY$7:$AY$18,"&lt;="&amp;Z$6,Drop_PnL!$AZ$7:$AZ$18,"N")</f>
        <v/>
      </c>
      <c r="AA14" s="31">
        <f>-SUMIFS(Drop_PnL!$U$7:$U$18,Drop_PnL!$AY$7:$AY$18,"&gt;="&amp;AA$5,Drop_PnL!$AY$7:$AY$18,"&lt;="&amp;AA$6,Drop_PnL!$AZ$7:$AZ$18,"N")</f>
        <v/>
      </c>
      <c r="AB14" s="31">
        <f>-SUMIFS(Drop_PnL!$U$7:$U$18,Drop_PnL!$AY$7:$AY$18,"&gt;="&amp;AB$5,Drop_PnL!$AY$7:$AY$18,"&lt;="&amp;AB$6,Drop_PnL!$AZ$7:$AZ$18,"N")</f>
        <v/>
      </c>
      <c r="AC14" s="33">
        <f>SUM(C14:AB14)</f>
        <v/>
      </c>
    </row>
    <row r="15">
      <c r="B15" t="inlineStr">
        <is>
          <t>Kit mailing, plan (needs quote)</t>
        </is>
      </c>
      <c r="C15" s="31">
        <f>-SUMIFS(Drop_PnL!$V$7:$V$18,Drop_PnL!$AX$7:$AX$18,"&gt;="&amp;C$5,Drop_PnL!$AX$7:$AX$18,"&lt;="&amp;C$6,Drop_PnL!$AZ$7:$AZ$18,"N")</f>
        <v/>
      </c>
      <c r="D15" s="31">
        <f>-SUMIFS(Drop_PnL!$V$7:$V$18,Drop_PnL!$AX$7:$AX$18,"&gt;="&amp;D$5,Drop_PnL!$AX$7:$AX$18,"&lt;="&amp;D$6,Drop_PnL!$AZ$7:$AZ$18,"N")</f>
        <v/>
      </c>
      <c r="E15" s="31">
        <f>-SUMIFS(Drop_PnL!$V$7:$V$18,Drop_PnL!$AX$7:$AX$18,"&gt;="&amp;E$5,Drop_PnL!$AX$7:$AX$18,"&lt;="&amp;E$6,Drop_PnL!$AZ$7:$AZ$18,"N")</f>
        <v/>
      </c>
      <c r="F15" s="31">
        <f>-SUMIFS(Drop_PnL!$V$7:$V$18,Drop_PnL!$AX$7:$AX$18,"&gt;="&amp;F$5,Drop_PnL!$AX$7:$AX$18,"&lt;="&amp;F$6,Drop_PnL!$AZ$7:$AZ$18,"N")</f>
        <v/>
      </c>
      <c r="G15" s="31">
        <f>-SUMIFS(Drop_PnL!$V$7:$V$18,Drop_PnL!$AX$7:$AX$18,"&gt;="&amp;G$5,Drop_PnL!$AX$7:$AX$18,"&lt;="&amp;G$6,Drop_PnL!$AZ$7:$AZ$18,"N")</f>
        <v/>
      </c>
      <c r="H15" s="31">
        <f>-SUMIFS(Drop_PnL!$V$7:$V$18,Drop_PnL!$AX$7:$AX$18,"&gt;="&amp;H$5,Drop_PnL!$AX$7:$AX$18,"&lt;="&amp;H$6,Drop_PnL!$AZ$7:$AZ$18,"N")</f>
        <v/>
      </c>
      <c r="I15" s="31">
        <f>-SUMIFS(Drop_PnL!$V$7:$V$18,Drop_PnL!$AX$7:$AX$18,"&gt;="&amp;I$5,Drop_PnL!$AX$7:$AX$18,"&lt;="&amp;I$6,Drop_PnL!$AZ$7:$AZ$18,"N")</f>
        <v/>
      </c>
      <c r="J15" s="31">
        <f>-SUMIFS(Drop_PnL!$V$7:$V$18,Drop_PnL!$AX$7:$AX$18,"&gt;="&amp;J$5,Drop_PnL!$AX$7:$AX$18,"&lt;="&amp;J$6,Drop_PnL!$AZ$7:$AZ$18,"N")</f>
        <v/>
      </c>
      <c r="K15" s="31">
        <f>-SUMIFS(Drop_PnL!$V$7:$V$18,Drop_PnL!$AX$7:$AX$18,"&gt;="&amp;K$5,Drop_PnL!$AX$7:$AX$18,"&lt;="&amp;K$6,Drop_PnL!$AZ$7:$AZ$18,"N")</f>
        <v/>
      </c>
      <c r="L15" s="31">
        <f>-SUMIFS(Drop_PnL!$V$7:$V$18,Drop_PnL!$AX$7:$AX$18,"&gt;="&amp;L$5,Drop_PnL!$AX$7:$AX$18,"&lt;="&amp;L$6,Drop_PnL!$AZ$7:$AZ$18,"N")</f>
        <v/>
      </c>
      <c r="M15" s="31">
        <f>-SUMIFS(Drop_PnL!$V$7:$V$18,Drop_PnL!$AX$7:$AX$18,"&gt;="&amp;M$5,Drop_PnL!$AX$7:$AX$18,"&lt;="&amp;M$6,Drop_PnL!$AZ$7:$AZ$18,"N")</f>
        <v/>
      </c>
      <c r="N15" s="31">
        <f>-SUMIFS(Drop_PnL!$V$7:$V$18,Drop_PnL!$AX$7:$AX$18,"&gt;="&amp;N$5,Drop_PnL!$AX$7:$AX$18,"&lt;="&amp;N$6,Drop_PnL!$AZ$7:$AZ$18,"N")</f>
        <v/>
      </c>
      <c r="O15" s="31">
        <f>-SUMIFS(Drop_PnL!$V$7:$V$18,Drop_PnL!$AX$7:$AX$18,"&gt;="&amp;O$5,Drop_PnL!$AX$7:$AX$18,"&lt;="&amp;O$6,Drop_PnL!$AZ$7:$AZ$18,"N")</f>
        <v/>
      </c>
      <c r="P15" s="31">
        <f>-SUMIFS(Drop_PnL!$V$7:$V$18,Drop_PnL!$AX$7:$AX$18,"&gt;="&amp;P$5,Drop_PnL!$AX$7:$AX$18,"&lt;="&amp;P$6,Drop_PnL!$AZ$7:$AZ$18,"N")</f>
        <v/>
      </c>
      <c r="Q15" s="31">
        <f>-SUMIFS(Drop_PnL!$V$7:$V$18,Drop_PnL!$AX$7:$AX$18,"&gt;="&amp;Q$5,Drop_PnL!$AX$7:$AX$18,"&lt;="&amp;Q$6,Drop_PnL!$AZ$7:$AZ$18,"N")</f>
        <v/>
      </c>
      <c r="R15" s="31">
        <f>-SUMIFS(Drop_PnL!$V$7:$V$18,Drop_PnL!$AX$7:$AX$18,"&gt;="&amp;R$5,Drop_PnL!$AX$7:$AX$18,"&lt;="&amp;R$6,Drop_PnL!$AZ$7:$AZ$18,"N")</f>
        <v/>
      </c>
      <c r="S15" s="31">
        <f>-SUMIFS(Drop_PnL!$V$7:$V$18,Drop_PnL!$AX$7:$AX$18,"&gt;="&amp;S$5,Drop_PnL!$AX$7:$AX$18,"&lt;="&amp;S$6,Drop_PnL!$AZ$7:$AZ$18,"N")</f>
        <v/>
      </c>
      <c r="T15" s="31">
        <f>-SUMIFS(Drop_PnL!$V$7:$V$18,Drop_PnL!$AX$7:$AX$18,"&gt;="&amp;T$5,Drop_PnL!$AX$7:$AX$18,"&lt;="&amp;T$6,Drop_PnL!$AZ$7:$AZ$18,"N")</f>
        <v/>
      </c>
      <c r="U15" s="31">
        <f>-SUMIFS(Drop_PnL!$V$7:$V$18,Drop_PnL!$AX$7:$AX$18,"&gt;="&amp;U$5,Drop_PnL!$AX$7:$AX$18,"&lt;="&amp;U$6,Drop_PnL!$AZ$7:$AZ$18,"N")</f>
        <v/>
      </c>
      <c r="V15" s="31">
        <f>-SUMIFS(Drop_PnL!$V$7:$V$18,Drop_PnL!$AX$7:$AX$18,"&gt;="&amp;V$5,Drop_PnL!$AX$7:$AX$18,"&lt;="&amp;V$6,Drop_PnL!$AZ$7:$AZ$18,"N")</f>
        <v/>
      </c>
      <c r="W15" s="31">
        <f>-SUMIFS(Drop_PnL!$V$7:$V$18,Drop_PnL!$AX$7:$AX$18,"&gt;="&amp;W$5,Drop_PnL!$AX$7:$AX$18,"&lt;="&amp;W$6,Drop_PnL!$AZ$7:$AZ$18,"N")</f>
        <v/>
      </c>
      <c r="X15" s="31">
        <f>-SUMIFS(Drop_PnL!$V$7:$V$18,Drop_PnL!$AX$7:$AX$18,"&gt;="&amp;X$5,Drop_PnL!$AX$7:$AX$18,"&lt;="&amp;X$6,Drop_PnL!$AZ$7:$AZ$18,"N")</f>
        <v/>
      </c>
      <c r="Y15" s="31">
        <f>-SUMIFS(Drop_PnL!$V$7:$V$18,Drop_PnL!$AX$7:$AX$18,"&gt;="&amp;Y$5,Drop_PnL!$AX$7:$AX$18,"&lt;="&amp;Y$6,Drop_PnL!$AZ$7:$AZ$18,"N")</f>
        <v/>
      </c>
      <c r="Z15" s="31">
        <f>-SUMIFS(Drop_PnL!$V$7:$V$18,Drop_PnL!$AX$7:$AX$18,"&gt;="&amp;Z$5,Drop_PnL!$AX$7:$AX$18,"&lt;="&amp;Z$6,Drop_PnL!$AZ$7:$AZ$18,"N")</f>
        <v/>
      </c>
      <c r="AA15" s="31">
        <f>-SUMIFS(Drop_PnL!$V$7:$V$18,Drop_PnL!$AX$7:$AX$18,"&gt;="&amp;AA$5,Drop_PnL!$AX$7:$AX$18,"&lt;="&amp;AA$6,Drop_PnL!$AZ$7:$AZ$18,"N")</f>
        <v/>
      </c>
      <c r="AB15" s="31">
        <f>-SUMIFS(Drop_PnL!$V$7:$V$18,Drop_PnL!$AX$7:$AX$18,"&gt;="&amp;AB$5,Drop_PnL!$AX$7:$AX$18,"&lt;="&amp;AB$6,Drop_PnL!$AZ$7:$AZ$18,"N")</f>
        <v/>
      </c>
      <c r="AC15" s="33">
        <f>SUM(C15:AB15)</f>
        <v/>
      </c>
    </row>
    <row r="16">
      <c r="B16" t="inlineStr">
        <is>
          <t>Card processing, plan</t>
        </is>
      </c>
      <c r="C16" s="31">
        <f>-(SUMIFS(Drop_PnL!$AU$7:$AU$18,Drop_PnL!$AO$7:$AO$18,"&gt;="&amp;C$5,Drop_PnL!$AO$7:$AO$18,"&lt;="&amp;C$6,Drop_PnL!$AZ$7:$AZ$18,"N")+SUMIFS(Drop_PnL!$AV$7:$AV$18,Drop_PnL!$AQ$7:$AQ$18,"&gt;="&amp;C$5,Drop_PnL!$AQ$7:$AQ$18,"&lt;="&amp;C$6,Drop_PnL!$AZ$7:$AZ$18,"N")+SUMIFS(Drop_PnL!$AW$7:$AW$18,Drop_PnL!$AS$7:$AS$18,"&gt;="&amp;C$5,Drop_PnL!$AS$7:$AS$18,"&lt;="&amp;C$6,Drop_PnL!$AZ$7:$AZ$18,"N"))</f>
        <v/>
      </c>
      <c r="D16" s="31">
        <f>-(SUMIFS(Drop_PnL!$AU$7:$AU$18,Drop_PnL!$AO$7:$AO$18,"&gt;="&amp;D$5,Drop_PnL!$AO$7:$AO$18,"&lt;="&amp;D$6,Drop_PnL!$AZ$7:$AZ$18,"N")+SUMIFS(Drop_PnL!$AV$7:$AV$18,Drop_PnL!$AQ$7:$AQ$18,"&gt;="&amp;D$5,Drop_PnL!$AQ$7:$AQ$18,"&lt;="&amp;D$6,Drop_PnL!$AZ$7:$AZ$18,"N")+SUMIFS(Drop_PnL!$AW$7:$AW$18,Drop_PnL!$AS$7:$AS$18,"&gt;="&amp;D$5,Drop_PnL!$AS$7:$AS$18,"&lt;="&amp;D$6,Drop_PnL!$AZ$7:$AZ$18,"N"))</f>
        <v/>
      </c>
      <c r="E16" s="31">
        <f>-(SUMIFS(Drop_PnL!$AU$7:$AU$18,Drop_PnL!$AO$7:$AO$18,"&gt;="&amp;E$5,Drop_PnL!$AO$7:$AO$18,"&lt;="&amp;E$6,Drop_PnL!$AZ$7:$AZ$18,"N")+SUMIFS(Drop_PnL!$AV$7:$AV$18,Drop_PnL!$AQ$7:$AQ$18,"&gt;="&amp;E$5,Drop_PnL!$AQ$7:$AQ$18,"&lt;="&amp;E$6,Drop_PnL!$AZ$7:$AZ$18,"N")+SUMIFS(Drop_PnL!$AW$7:$AW$18,Drop_PnL!$AS$7:$AS$18,"&gt;="&amp;E$5,Drop_PnL!$AS$7:$AS$18,"&lt;="&amp;E$6,Drop_PnL!$AZ$7:$AZ$18,"N"))</f>
        <v/>
      </c>
      <c r="F16" s="31">
        <f>-(SUMIFS(Drop_PnL!$AU$7:$AU$18,Drop_PnL!$AO$7:$AO$18,"&gt;="&amp;F$5,Drop_PnL!$AO$7:$AO$18,"&lt;="&amp;F$6,Drop_PnL!$AZ$7:$AZ$18,"N")+SUMIFS(Drop_PnL!$AV$7:$AV$18,Drop_PnL!$AQ$7:$AQ$18,"&gt;="&amp;F$5,Drop_PnL!$AQ$7:$AQ$18,"&lt;="&amp;F$6,Drop_PnL!$AZ$7:$AZ$18,"N")+SUMIFS(Drop_PnL!$AW$7:$AW$18,Drop_PnL!$AS$7:$AS$18,"&gt;="&amp;F$5,Drop_PnL!$AS$7:$AS$18,"&lt;="&amp;F$6,Drop_PnL!$AZ$7:$AZ$18,"N"))</f>
        <v/>
      </c>
      <c r="G16" s="31">
        <f>-(SUMIFS(Drop_PnL!$AU$7:$AU$18,Drop_PnL!$AO$7:$AO$18,"&gt;="&amp;G$5,Drop_PnL!$AO$7:$AO$18,"&lt;="&amp;G$6,Drop_PnL!$AZ$7:$AZ$18,"N")+SUMIFS(Drop_PnL!$AV$7:$AV$18,Drop_PnL!$AQ$7:$AQ$18,"&gt;="&amp;G$5,Drop_PnL!$AQ$7:$AQ$18,"&lt;="&amp;G$6,Drop_PnL!$AZ$7:$AZ$18,"N")+SUMIFS(Drop_PnL!$AW$7:$AW$18,Drop_PnL!$AS$7:$AS$18,"&gt;="&amp;G$5,Drop_PnL!$AS$7:$AS$18,"&lt;="&amp;G$6,Drop_PnL!$AZ$7:$AZ$18,"N"))</f>
        <v/>
      </c>
      <c r="H16" s="31">
        <f>-(SUMIFS(Drop_PnL!$AU$7:$AU$18,Drop_PnL!$AO$7:$AO$18,"&gt;="&amp;H$5,Drop_PnL!$AO$7:$AO$18,"&lt;="&amp;H$6,Drop_PnL!$AZ$7:$AZ$18,"N")+SUMIFS(Drop_PnL!$AV$7:$AV$18,Drop_PnL!$AQ$7:$AQ$18,"&gt;="&amp;H$5,Drop_PnL!$AQ$7:$AQ$18,"&lt;="&amp;H$6,Drop_PnL!$AZ$7:$AZ$18,"N")+SUMIFS(Drop_PnL!$AW$7:$AW$18,Drop_PnL!$AS$7:$AS$18,"&gt;="&amp;H$5,Drop_PnL!$AS$7:$AS$18,"&lt;="&amp;H$6,Drop_PnL!$AZ$7:$AZ$18,"N"))</f>
        <v/>
      </c>
      <c r="I16" s="31">
        <f>-(SUMIFS(Drop_PnL!$AU$7:$AU$18,Drop_PnL!$AO$7:$AO$18,"&gt;="&amp;I$5,Drop_PnL!$AO$7:$AO$18,"&lt;="&amp;I$6,Drop_PnL!$AZ$7:$AZ$18,"N")+SUMIFS(Drop_PnL!$AV$7:$AV$18,Drop_PnL!$AQ$7:$AQ$18,"&gt;="&amp;I$5,Drop_PnL!$AQ$7:$AQ$18,"&lt;="&amp;I$6,Drop_PnL!$AZ$7:$AZ$18,"N")+SUMIFS(Drop_PnL!$AW$7:$AW$18,Drop_PnL!$AS$7:$AS$18,"&gt;="&amp;I$5,Drop_PnL!$AS$7:$AS$18,"&lt;="&amp;I$6,Drop_PnL!$AZ$7:$AZ$18,"N"))</f>
        <v/>
      </c>
      <c r="J16" s="31">
        <f>-(SUMIFS(Drop_PnL!$AU$7:$AU$18,Drop_PnL!$AO$7:$AO$18,"&gt;="&amp;J$5,Drop_PnL!$AO$7:$AO$18,"&lt;="&amp;J$6,Drop_PnL!$AZ$7:$AZ$18,"N")+SUMIFS(Drop_PnL!$AV$7:$AV$18,Drop_PnL!$AQ$7:$AQ$18,"&gt;="&amp;J$5,Drop_PnL!$AQ$7:$AQ$18,"&lt;="&amp;J$6,Drop_PnL!$AZ$7:$AZ$18,"N")+SUMIFS(Drop_PnL!$AW$7:$AW$18,Drop_PnL!$AS$7:$AS$18,"&gt;="&amp;J$5,Drop_PnL!$AS$7:$AS$18,"&lt;="&amp;J$6,Drop_PnL!$AZ$7:$AZ$18,"N"))</f>
        <v/>
      </c>
      <c r="K16" s="31">
        <f>-(SUMIFS(Drop_PnL!$AU$7:$AU$18,Drop_PnL!$AO$7:$AO$18,"&gt;="&amp;K$5,Drop_PnL!$AO$7:$AO$18,"&lt;="&amp;K$6,Drop_PnL!$AZ$7:$AZ$18,"N")+SUMIFS(Drop_PnL!$AV$7:$AV$18,Drop_PnL!$AQ$7:$AQ$18,"&gt;="&amp;K$5,Drop_PnL!$AQ$7:$AQ$18,"&lt;="&amp;K$6,Drop_PnL!$AZ$7:$AZ$18,"N")+SUMIFS(Drop_PnL!$AW$7:$AW$18,Drop_PnL!$AS$7:$AS$18,"&gt;="&amp;K$5,Drop_PnL!$AS$7:$AS$18,"&lt;="&amp;K$6,Drop_PnL!$AZ$7:$AZ$18,"N"))</f>
        <v/>
      </c>
      <c r="L16" s="31">
        <f>-(SUMIFS(Drop_PnL!$AU$7:$AU$18,Drop_PnL!$AO$7:$AO$18,"&gt;="&amp;L$5,Drop_PnL!$AO$7:$AO$18,"&lt;="&amp;L$6,Drop_PnL!$AZ$7:$AZ$18,"N")+SUMIFS(Drop_PnL!$AV$7:$AV$18,Drop_PnL!$AQ$7:$AQ$18,"&gt;="&amp;L$5,Drop_PnL!$AQ$7:$AQ$18,"&lt;="&amp;L$6,Drop_PnL!$AZ$7:$AZ$18,"N")+SUMIFS(Drop_PnL!$AW$7:$AW$18,Drop_PnL!$AS$7:$AS$18,"&gt;="&amp;L$5,Drop_PnL!$AS$7:$AS$18,"&lt;="&amp;L$6,Drop_PnL!$AZ$7:$AZ$18,"N"))</f>
        <v/>
      </c>
      <c r="M16" s="31">
        <f>-(SUMIFS(Drop_PnL!$AU$7:$AU$18,Drop_PnL!$AO$7:$AO$18,"&gt;="&amp;M$5,Drop_PnL!$AO$7:$AO$18,"&lt;="&amp;M$6,Drop_PnL!$AZ$7:$AZ$18,"N")+SUMIFS(Drop_PnL!$AV$7:$AV$18,Drop_PnL!$AQ$7:$AQ$18,"&gt;="&amp;M$5,Drop_PnL!$AQ$7:$AQ$18,"&lt;="&amp;M$6,Drop_PnL!$AZ$7:$AZ$18,"N")+SUMIFS(Drop_PnL!$AW$7:$AW$18,Drop_PnL!$AS$7:$AS$18,"&gt;="&amp;M$5,Drop_PnL!$AS$7:$AS$18,"&lt;="&amp;M$6,Drop_PnL!$AZ$7:$AZ$18,"N"))</f>
        <v/>
      </c>
      <c r="N16" s="31">
        <f>-(SUMIFS(Drop_PnL!$AU$7:$AU$18,Drop_PnL!$AO$7:$AO$18,"&gt;="&amp;N$5,Drop_PnL!$AO$7:$AO$18,"&lt;="&amp;N$6,Drop_PnL!$AZ$7:$AZ$18,"N")+SUMIFS(Drop_PnL!$AV$7:$AV$18,Drop_PnL!$AQ$7:$AQ$18,"&gt;="&amp;N$5,Drop_PnL!$AQ$7:$AQ$18,"&lt;="&amp;N$6,Drop_PnL!$AZ$7:$AZ$18,"N")+SUMIFS(Drop_PnL!$AW$7:$AW$18,Drop_PnL!$AS$7:$AS$18,"&gt;="&amp;N$5,Drop_PnL!$AS$7:$AS$18,"&lt;="&amp;N$6,Drop_PnL!$AZ$7:$AZ$18,"N"))</f>
        <v/>
      </c>
      <c r="O16" s="31">
        <f>-(SUMIFS(Drop_PnL!$AU$7:$AU$18,Drop_PnL!$AO$7:$AO$18,"&gt;="&amp;O$5,Drop_PnL!$AO$7:$AO$18,"&lt;="&amp;O$6,Drop_PnL!$AZ$7:$AZ$18,"N")+SUMIFS(Drop_PnL!$AV$7:$AV$18,Drop_PnL!$AQ$7:$AQ$18,"&gt;="&amp;O$5,Drop_PnL!$AQ$7:$AQ$18,"&lt;="&amp;O$6,Drop_PnL!$AZ$7:$AZ$18,"N")+SUMIFS(Drop_PnL!$AW$7:$AW$18,Drop_PnL!$AS$7:$AS$18,"&gt;="&amp;O$5,Drop_PnL!$AS$7:$AS$18,"&lt;="&amp;O$6,Drop_PnL!$AZ$7:$AZ$18,"N"))</f>
        <v/>
      </c>
      <c r="P16" s="31">
        <f>-(SUMIFS(Drop_PnL!$AU$7:$AU$18,Drop_PnL!$AO$7:$AO$18,"&gt;="&amp;P$5,Drop_PnL!$AO$7:$AO$18,"&lt;="&amp;P$6,Drop_PnL!$AZ$7:$AZ$18,"N")+SUMIFS(Drop_PnL!$AV$7:$AV$18,Drop_PnL!$AQ$7:$AQ$18,"&gt;="&amp;P$5,Drop_PnL!$AQ$7:$AQ$18,"&lt;="&amp;P$6,Drop_PnL!$AZ$7:$AZ$18,"N")+SUMIFS(Drop_PnL!$AW$7:$AW$18,Drop_PnL!$AS$7:$AS$18,"&gt;="&amp;P$5,Drop_PnL!$AS$7:$AS$18,"&lt;="&amp;P$6,Drop_PnL!$AZ$7:$AZ$18,"N"))</f>
        <v/>
      </c>
      <c r="Q16" s="31">
        <f>-(SUMIFS(Drop_PnL!$AU$7:$AU$18,Drop_PnL!$AO$7:$AO$18,"&gt;="&amp;Q$5,Drop_PnL!$AO$7:$AO$18,"&lt;="&amp;Q$6,Drop_PnL!$AZ$7:$AZ$18,"N")+SUMIFS(Drop_PnL!$AV$7:$AV$18,Drop_PnL!$AQ$7:$AQ$18,"&gt;="&amp;Q$5,Drop_PnL!$AQ$7:$AQ$18,"&lt;="&amp;Q$6,Drop_PnL!$AZ$7:$AZ$18,"N")+SUMIFS(Drop_PnL!$AW$7:$AW$18,Drop_PnL!$AS$7:$AS$18,"&gt;="&amp;Q$5,Drop_PnL!$AS$7:$AS$18,"&lt;="&amp;Q$6,Drop_PnL!$AZ$7:$AZ$18,"N"))</f>
        <v/>
      </c>
      <c r="R16" s="31">
        <f>-(SUMIFS(Drop_PnL!$AU$7:$AU$18,Drop_PnL!$AO$7:$AO$18,"&gt;="&amp;R$5,Drop_PnL!$AO$7:$AO$18,"&lt;="&amp;R$6,Drop_PnL!$AZ$7:$AZ$18,"N")+SUMIFS(Drop_PnL!$AV$7:$AV$18,Drop_PnL!$AQ$7:$AQ$18,"&gt;="&amp;R$5,Drop_PnL!$AQ$7:$AQ$18,"&lt;="&amp;R$6,Drop_PnL!$AZ$7:$AZ$18,"N")+SUMIFS(Drop_PnL!$AW$7:$AW$18,Drop_PnL!$AS$7:$AS$18,"&gt;="&amp;R$5,Drop_PnL!$AS$7:$AS$18,"&lt;="&amp;R$6,Drop_PnL!$AZ$7:$AZ$18,"N"))</f>
        <v/>
      </c>
      <c r="S16" s="31">
        <f>-(SUMIFS(Drop_PnL!$AU$7:$AU$18,Drop_PnL!$AO$7:$AO$18,"&gt;="&amp;S$5,Drop_PnL!$AO$7:$AO$18,"&lt;="&amp;S$6,Drop_PnL!$AZ$7:$AZ$18,"N")+SUMIFS(Drop_PnL!$AV$7:$AV$18,Drop_PnL!$AQ$7:$AQ$18,"&gt;="&amp;S$5,Drop_PnL!$AQ$7:$AQ$18,"&lt;="&amp;S$6,Drop_PnL!$AZ$7:$AZ$18,"N")+SUMIFS(Drop_PnL!$AW$7:$AW$18,Drop_PnL!$AS$7:$AS$18,"&gt;="&amp;S$5,Drop_PnL!$AS$7:$AS$18,"&lt;="&amp;S$6,Drop_PnL!$AZ$7:$AZ$18,"N"))</f>
        <v/>
      </c>
      <c r="T16" s="31">
        <f>-(SUMIFS(Drop_PnL!$AU$7:$AU$18,Drop_PnL!$AO$7:$AO$18,"&gt;="&amp;T$5,Drop_PnL!$AO$7:$AO$18,"&lt;="&amp;T$6,Drop_PnL!$AZ$7:$AZ$18,"N")+SUMIFS(Drop_PnL!$AV$7:$AV$18,Drop_PnL!$AQ$7:$AQ$18,"&gt;="&amp;T$5,Drop_PnL!$AQ$7:$AQ$18,"&lt;="&amp;T$6,Drop_PnL!$AZ$7:$AZ$18,"N")+SUMIFS(Drop_PnL!$AW$7:$AW$18,Drop_PnL!$AS$7:$AS$18,"&gt;="&amp;T$5,Drop_PnL!$AS$7:$AS$18,"&lt;="&amp;T$6,Drop_PnL!$AZ$7:$AZ$18,"N"))</f>
        <v/>
      </c>
      <c r="U16" s="31">
        <f>-(SUMIFS(Drop_PnL!$AU$7:$AU$18,Drop_PnL!$AO$7:$AO$18,"&gt;="&amp;U$5,Drop_PnL!$AO$7:$AO$18,"&lt;="&amp;U$6,Drop_PnL!$AZ$7:$AZ$18,"N")+SUMIFS(Drop_PnL!$AV$7:$AV$18,Drop_PnL!$AQ$7:$AQ$18,"&gt;="&amp;U$5,Drop_PnL!$AQ$7:$AQ$18,"&lt;="&amp;U$6,Drop_PnL!$AZ$7:$AZ$18,"N")+SUMIFS(Drop_PnL!$AW$7:$AW$18,Drop_PnL!$AS$7:$AS$18,"&gt;="&amp;U$5,Drop_PnL!$AS$7:$AS$18,"&lt;="&amp;U$6,Drop_PnL!$AZ$7:$AZ$18,"N"))</f>
        <v/>
      </c>
      <c r="V16" s="31">
        <f>-(SUMIFS(Drop_PnL!$AU$7:$AU$18,Drop_PnL!$AO$7:$AO$18,"&gt;="&amp;V$5,Drop_PnL!$AO$7:$AO$18,"&lt;="&amp;V$6,Drop_PnL!$AZ$7:$AZ$18,"N")+SUMIFS(Drop_PnL!$AV$7:$AV$18,Drop_PnL!$AQ$7:$AQ$18,"&gt;="&amp;V$5,Drop_PnL!$AQ$7:$AQ$18,"&lt;="&amp;V$6,Drop_PnL!$AZ$7:$AZ$18,"N")+SUMIFS(Drop_PnL!$AW$7:$AW$18,Drop_PnL!$AS$7:$AS$18,"&gt;="&amp;V$5,Drop_PnL!$AS$7:$AS$18,"&lt;="&amp;V$6,Drop_PnL!$AZ$7:$AZ$18,"N"))</f>
        <v/>
      </c>
      <c r="W16" s="31">
        <f>-(SUMIFS(Drop_PnL!$AU$7:$AU$18,Drop_PnL!$AO$7:$AO$18,"&gt;="&amp;W$5,Drop_PnL!$AO$7:$AO$18,"&lt;="&amp;W$6,Drop_PnL!$AZ$7:$AZ$18,"N")+SUMIFS(Drop_PnL!$AV$7:$AV$18,Drop_PnL!$AQ$7:$AQ$18,"&gt;="&amp;W$5,Drop_PnL!$AQ$7:$AQ$18,"&lt;="&amp;W$6,Drop_PnL!$AZ$7:$AZ$18,"N")+SUMIFS(Drop_PnL!$AW$7:$AW$18,Drop_PnL!$AS$7:$AS$18,"&gt;="&amp;W$5,Drop_PnL!$AS$7:$AS$18,"&lt;="&amp;W$6,Drop_PnL!$AZ$7:$AZ$18,"N"))</f>
        <v/>
      </c>
      <c r="X16" s="31">
        <f>-(SUMIFS(Drop_PnL!$AU$7:$AU$18,Drop_PnL!$AO$7:$AO$18,"&gt;="&amp;X$5,Drop_PnL!$AO$7:$AO$18,"&lt;="&amp;X$6,Drop_PnL!$AZ$7:$AZ$18,"N")+SUMIFS(Drop_PnL!$AV$7:$AV$18,Drop_PnL!$AQ$7:$AQ$18,"&gt;="&amp;X$5,Drop_PnL!$AQ$7:$AQ$18,"&lt;="&amp;X$6,Drop_PnL!$AZ$7:$AZ$18,"N")+SUMIFS(Drop_PnL!$AW$7:$AW$18,Drop_PnL!$AS$7:$AS$18,"&gt;="&amp;X$5,Drop_PnL!$AS$7:$AS$18,"&lt;="&amp;X$6,Drop_PnL!$AZ$7:$AZ$18,"N"))</f>
        <v/>
      </c>
      <c r="Y16" s="31">
        <f>-(SUMIFS(Drop_PnL!$AU$7:$AU$18,Drop_PnL!$AO$7:$AO$18,"&gt;="&amp;Y$5,Drop_PnL!$AO$7:$AO$18,"&lt;="&amp;Y$6,Drop_PnL!$AZ$7:$AZ$18,"N")+SUMIFS(Drop_PnL!$AV$7:$AV$18,Drop_PnL!$AQ$7:$AQ$18,"&gt;="&amp;Y$5,Drop_PnL!$AQ$7:$AQ$18,"&lt;="&amp;Y$6,Drop_PnL!$AZ$7:$AZ$18,"N")+SUMIFS(Drop_PnL!$AW$7:$AW$18,Drop_PnL!$AS$7:$AS$18,"&gt;="&amp;Y$5,Drop_PnL!$AS$7:$AS$18,"&lt;="&amp;Y$6,Drop_PnL!$AZ$7:$AZ$18,"N"))</f>
        <v/>
      </c>
      <c r="Z16" s="31">
        <f>-(SUMIFS(Drop_PnL!$AU$7:$AU$18,Drop_PnL!$AO$7:$AO$18,"&gt;="&amp;Z$5,Drop_PnL!$AO$7:$AO$18,"&lt;="&amp;Z$6,Drop_PnL!$AZ$7:$AZ$18,"N")+SUMIFS(Drop_PnL!$AV$7:$AV$18,Drop_PnL!$AQ$7:$AQ$18,"&gt;="&amp;Z$5,Drop_PnL!$AQ$7:$AQ$18,"&lt;="&amp;Z$6,Drop_PnL!$AZ$7:$AZ$18,"N")+SUMIFS(Drop_PnL!$AW$7:$AW$18,Drop_PnL!$AS$7:$AS$18,"&gt;="&amp;Z$5,Drop_PnL!$AS$7:$AS$18,"&lt;="&amp;Z$6,Drop_PnL!$AZ$7:$AZ$18,"N"))</f>
        <v/>
      </c>
      <c r="AA16" s="31">
        <f>-(SUMIFS(Drop_PnL!$AU$7:$AU$18,Drop_PnL!$AO$7:$AO$18,"&gt;="&amp;AA$5,Drop_PnL!$AO$7:$AO$18,"&lt;="&amp;AA$6,Drop_PnL!$AZ$7:$AZ$18,"N")+SUMIFS(Drop_PnL!$AV$7:$AV$18,Drop_PnL!$AQ$7:$AQ$18,"&gt;="&amp;AA$5,Drop_PnL!$AQ$7:$AQ$18,"&lt;="&amp;AA$6,Drop_PnL!$AZ$7:$AZ$18,"N")+SUMIFS(Drop_PnL!$AW$7:$AW$18,Drop_PnL!$AS$7:$AS$18,"&gt;="&amp;AA$5,Drop_PnL!$AS$7:$AS$18,"&lt;="&amp;AA$6,Drop_PnL!$AZ$7:$AZ$18,"N"))</f>
        <v/>
      </c>
      <c r="AB16" s="31">
        <f>-(SUMIFS(Drop_PnL!$AU$7:$AU$18,Drop_PnL!$AO$7:$AO$18,"&gt;="&amp;AB$5,Drop_PnL!$AO$7:$AO$18,"&lt;="&amp;AB$6,Drop_PnL!$AZ$7:$AZ$18,"N")+SUMIFS(Drop_PnL!$AV$7:$AV$18,Drop_PnL!$AQ$7:$AQ$18,"&gt;="&amp;AB$5,Drop_PnL!$AQ$7:$AQ$18,"&lt;="&amp;AB$6,Drop_PnL!$AZ$7:$AZ$18,"N")+SUMIFS(Drop_PnL!$AW$7:$AW$18,Drop_PnL!$AS$7:$AS$18,"&gt;="&amp;AB$5,Drop_PnL!$AS$7:$AS$18,"&lt;="&amp;AB$6,Drop_PnL!$AZ$7:$AZ$18,"N"))</f>
        <v/>
      </c>
      <c r="AC16" s="33">
        <f>SUM(C16:AB16)</f>
        <v/>
      </c>
    </row>
    <row r="17">
      <c r="B17" t="inlineStr">
        <is>
          <t>Direct costs and processing, actual</t>
        </is>
      </c>
      <c r="C17" s="31">
        <f>-(SUMIFS(Actuals_DropCosts!$F$5:$F$104,Actuals_DropCosts!$B$5:$B$104,"&gt;="&amp;C$5,Actuals_DropCosts!$B$5:$B$104,"&lt;="&amp;C$6,Actuals_DropCosts!$K$5:$K$104,"Y")+SUMIFS(Actuals_DropCosts!$G$5:$G$104,Actuals_DropCosts!$B$5:$B$104,"&gt;="&amp;C$5,Actuals_DropCosts!$B$5:$B$104,"&lt;="&amp;C$6,Actuals_DropCosts!$K$5:$K$104,"Y")+SUMIFS(Actuals_DropCosts!$H$5:$H$104,Actuals_DropCosts!$B$5:$B$104,"&gt;="&amp;C$5,Actuals_DropCosts!$B$5:$B$104,"&lt;="&amp;C$6,Actuals_DropCosts!$K$5:$K$104,"Y")+SUMIFS(Actuals_Campaigns!$T$5:$T$204,Actuals_Campaigns!$S$5:$S$204,"&gt;="&amp;C$5,Actuals_Campaigns!$S$5:$S$204,"&lt;="&amp;C$6,Actuals_Campaigns!$AB$5:$AB$204,"Y"))</f>
        <v/>
      </c>
      <c r="D17" s="31">
        <f>-(SUMIFS(Actuals_DropCosts!$F$5:$F$104,Actuals_DropCosts!$B$5:$B$104,"&gt;="&amp;D$5,Actuals_DropCosts!$B$5:$B$104,"&lt;="&amp;D$6,Actuals_DropCosts!$K$5:$K$104,"Y")+SUMIFS(Actuals_DropCosts!$G$5:$G$104,Actuals_DropCosts!$B$5:$B$104,"&gt;="&amp;D$5,Actuals_DropCosts!$B$5:$B$104,"&lt;="&amp;D$6,Actuals_DropCosts!$K$5:$K$104,"Y")+SUMIFS(Actuals_DropCosts!$H$5:$H$104,Actuals_DropCosts!$B$5:$B$104,"&gt;="&amp;D$5,Actuals_DropCosts!$B$5:$B$104,"&lt;="&amp;D$6,Actuals_DropCosts!$K$5:$K$104,"Y")+SUMIFS(Actuals_Campaigns!$T$5:$T$204,Actuals_Campaigns!$S$5:$S$204,"&gt;="&amp;D$5,Actuals_Campaigns!$S$5:$S$204,"&lt;="&amp;D$6,Actuals_Campaigns!$AB$5:$AB$204,"Y"))</f>
        <v/>
      </c>
      <c r="E17" s="31">
        <f>-(SUMIFS(Actuals_DropCosts!$F$5:$F$104,Actuals_DropCosts!$B$5:$B$104,"&gt;="&amp;E$5,Actuals_DropCosts!$B$5:$B$104,"&lt;="&amp;E$6,Actuals_DropCosts!$K$5:$K$104,"Y")+SUMIFS(Actuals_DropCosts!$G$5:$G$104,Actuals_DropCosts!$B$5:$B$104,"&gt;="&amp;E$5,Actuals_DropCosts!$B$5:$B$104,"&lt;="&amp;E$6,Actuals_DropCosts!$K$5:$K$104,"Y")+SUMIFS(Actuals_DropCosts!$H$5:$H$104,Actuals_DropCosts!$B$5:$B$104,"&gt;="&amp;E$5,Actuals_DropCosts!$B$5:$B$104,"&lt;="&amp;E$6,Actuals_DropCosts!$K$5:$K$104,"Y")+SUMIFS(Actuals_Campaigns!$T$5:$T$204,Actuals_Campaigns!$S$5:$S$204,"&gt;="&amp;E$5,Actuals_Campaigns!$S$5:$S$204,"&lt;="&amp;E$6,Actuals_Campaigns!$AB$5:$AB$204,"Y"))</f>
        <v/>
      </c>
      <c r="F17" s="31">
        <f>-(SUMIFS(Actuals_DropCosts!$F$5:$F$104,Actuals_DropCosts!$B$5:$B$104,"&gt;="&amp;F$5,Actuals_DropCosts!$B$5:$B$104,"&lt;="&amp;F$6,Actuals_DropCosts!$K$5:$K$104,"Y")+SUMIFS(Actuals_DropCosts!$G$5:$G$104,Actuals_DropCosts!$B$5:$B$104,"&gt;="&amp;F$5,Actuals_DropCosts!$B$5:$B$104,"&lt;="&amp;F$6,Actuals_DropCosts!$K$5:$K$104,"Y")+SUMIFS(Actuals_DropCosts!$H$5:$H$104,Actuals_DropCosts!$B$5:$B$104,"&gt;="&amp;F$5,Actuals_DropCosts!$B$5:$B$104,"&lt;="&amp;F$6,Actuals_DropCosts!$K$5:$K$104,"Y")+SUMIFS(Actuals_Campaigns!$T$5:$T$204,Actuals_Campaigns!$S$5:$S$204,"&gt;="&amp;F$5,Actuals_Campaigns!$S$5:$S$204,"&lt;="&amp;F$6,Actuals_Campaigns!$AB$5:$AB$204,"Y"))</f>
        <v/>
      </c>
      <c r="G17" s="31">
        <f>-(SUMIFS(Actuals_DropCosts!$F$5:$F$104,Actuals_DropCosts!$B$5:$B$104,"&gt;="&amp;G$5,Actuals_DropCosts!$B$5:$B$104,"&lt;="&amp;G$6,Actuals_DropCosts!$K$5:$K$104,"Y")+SUMIFS(Actuals_DropCosts!$G$5:$G$104,Actuals_DropCosts!$B$5:$B$104,"&gt;="&amp;G$5,Actuals_DropCosts!$B$5:$B$104,"&lt;="&amp;G$6,Actuals_DropCosts!$K$5:$K$104,"Y")+SUMIFS(Actuals_DropCosts!$H$5:$H$104,Actuals_DropCosts!$B$5:$B$104,"&gt;="&amp;G$5,Actuals_DropCosts!$B$5:$B$104,"&lt;="&amp;G$6,Actuals_DropCosts!$K$5:$K$104,"Y")+SUMIFS(Actuals_Campaigns!$T$5:$T$204,Actuals_Campaigns!$S$5:$S$204,"&gt;="&amp;G$5,Actuals_Campaigns!$S$5:$S$204,"&lt;="&amp;G$6,Actuals_Campaigns!$AB$5:$AB$204,"Y"))</f>
        <v/>
      </c>
      <c r="H17" s="31">
        <f>-(SUMIFS(Actuals_DropCosts!$F$5:$F$104,Actuals_DropCosts!$B$5:$B$104,"&gt;="&amp;H$5,Actuals_DropCosts!$B$5:$B$104,"&lt;="&amp;H$6,Actuals_DropCosts!$K$5:$K$104,"Y")+SUMIFS(Actuals_DropCosts!$G$5:$G$104,Actuals_DropCosts!$B$5:$B$104,"&gt;="&amp;H$5,Actuals_DropCosts!$B$5:$B$104,"&lt;="&amp;H$6,Actuals_DropCosts!$K$5:$K$104,"Y")+SUMIFS(Actuals_DropCosts!$H$5:$H$104,Actuals_DropCosts!$B$5:$B$104,"&gt;="&amp;H$5,Actuals_DropCosts!$B$5:$B$104,"&lt;="&amp;H$6,Actuals_DropCosts!$K$5:$K$104,"Y")+SUMIFS(Actuals_Campaigns!$T$5:$T$204,Actuals_Campaigns!$S$5:$S$204,"&gt;="&amp;H$5,Actuals_Campaigns!$S$5:$S$204,"&lt;="&amp;H$6,Actuals_Campaigns!$AB$5:$AB$204,"Y"))</f>
        <v/>
      </c>
      <c r="I17" s="31">
        <f>-(SUMIFS(Actuals_DropCosts!$F$5:$F$104,Actuals_DropCosts!$B$5:$B$104,"&gt;="&amp;I$5,Actuals_DropCosts!$B$5:$B$104,"&lt;="&amp;I$6,Actuals_DropCosts!$K$5:$K$104,"Y")+SUMIFS(Actuals_DropCosts!$G$5:$G$104,Actuals_DropCosts!$B$5:$B$104,"&gt;="&amp;I$5,Actuals_DropCosts!$B$5:$B$104,"&lt;="&amp;I$6,Actuals_DropCosts!$K$5:$K$104,"Y")+SUMIFS(Actuals_DropCosts!$H$5:$H$104,Actuals_DropCosts!$B$5:$B$104,"&gt;="&amp;I$5,Actuals_DropCosts!$B$5:$B$104,"&lt;="&amp;I$6,Actuals_DropCosts!$K$5:$K$104,"Y")+SUMIFS(Actuals_Campaigns!$T$5:$T$204,Actuals_Campaigns!$S$5:$S$204,"&gt;="&amp;I$5,Actuals_Campaigns!$S$5:$S$204,"&lt;="&amp;I$6,Actuals_Campaigns!$AB$5:$AB$204,"Y"))</f>
        <v/>
      </c>
      <c r="J17" s="31">
        <f>-(SUMIFS(Actuals_DropCosts!$F$5:$F$104,Actuals_DropCosts!$B$5:$B$104,"&gt;="&amp;J$5,Actuals_DropCosts!$B$5:$B$104,"&lt;="&amp;J$6,Actuals_DropCosts!$K$5:$K$104,"Y")+SUMIFS(Actuals_DropCosts!$G$5:$G$104,Actuals_DropCosts!$B$5:$B$104,"&gt;="&amp;J$5,Actuals_DropCosts!$B$5:$B$104,"&lt;="&amp;J$6,Actuals_DropCosts!$K$5:$K$104,"Y")+SUMIFS(Actuals_DropCosts!$H$5:$H$104,Actuals_DropCosts!$B$5:$B$104,"&gt;="&amp;J$5,Actuals_DropCosts!$B$5:$B$104,"&lt;="&amp;J$6,Actuals_DropCosts!$K$5:$K$104,"Y")+SUMIFS(Actuals_Campaigns!$T$5:$T$204,Actuals_Campaigns!$S$5:$S$204,"&gt;="&amp;J$5,Actuals_Campaigns!$S$5:$S$204,"&lt;="&amp;J$6,Actuals_Campaigns!$AB$5:$AB$204,"Y"))</f>
        <v/>
      </c>
      <c r="K17" s="31">
        <f>-(SUMIFS(Actuals_DropCosts!$F$5:$F$104,Actuals_DropCosts!$B$5:$B$104,"&gt;="&amp;K$5,Actuals_DropCosts!$B$5:$B$104,"&lt;="&amp;K$6,Actuals_DropCosts!$K$5:$K$104,"Y")+SUMIFS(Actuals_DropCosts!$G$5:$G$104,Actuals_DropCosts!$B$5:$B$104,"&gt;="&amp;K$5,Actuals_DropCosts!$B$5:$B$104,"&lt;="&amp;K$6,Actuals_DropCosts!$K$5:$K$104,"Y")+SUMIFS(Actuals_DropCosts!$H$5:$H$104,Actuals_DropCosts!$B$5:$B$104,"&gt;="&amp;K$5,Actuals_DropCosts!$B$5:$B$104,"&lt;="&amp;K$6,Actuals_DropCosts!$K$5:$K$104,"Y")+SUMIFS(Actuals_Campaigns!$T$5:$T$204,Actuals_Campaigns!$S$5:$S$204,"&gt;="&amp;K$5,Actuals_Campaigns!$S$5:$S$204,"&lt;="&amp;K$6,Actuals_Campaigns!$AB$5:$AB$204,"Y"))</f>
        <v/>
      </c>
      <c r="L17" s="31">
        <f>-(SUMIFS(Actuals_DropCosts!$F$5:$F$104,Actuals_DropCosts!$B$5:$B$104,"&gt;="&amp;L$5,Actuals_DropCosts!$B$5:$B$104,"&lt;="&amp;L$6,Actuals_DropCosts!$K$5:$K$104,"Y")+SUMIFS(Actuals_DropCosts!$G$5:$G$104,Actuals_DropCosts!$B$5:$B$104,"&gt;="&amp;L$5,Actuals_DropCosts!$B$5:$B$104,"&lt;="&amp;L$6,Actuals_DropCosts!$K$5:$K$104,"Y")+SUMIFS(Actuals_DropCosts!$H$5:$H$104,Actuals_DropCosts!$B$5:$B$104,"&gt;="&amp;L$5,Actuals_DropCosts!$B$5:$B$104,"&lt;="&amp;L$6,Actuals_DropCosts!$K$5:$K$104,"Y")+SUMIFS(Actuals_Campaigns!$T$5:$T$204,Actuals_Campaigns!$S$5:$S$204,"&gt;="&amp;L$5,Actuals_Campaigns!$S$5:$S$204,"&lt;="&amp;L$6,Actuals_Campaigns!$AB$5:$AB$204,"Y"))</f>
        <v/>
      </c>
      <c r="M17" s="31">
        <f>-(SUMIFS(Actuals_DropCosts!$F$5:$F$104,Actuals_DropCosts!$B$5:$B$104,"&gt;="&amp;M$5,Actuals_DropCosts!$B$5:$B$104,"&lt;="&amp;M$6,Actuals_DropCosts!$K$5:$K$104,"Y")+SUMIFS(Actuals_DropCosts!$G$5:$G$104,Actuals_DropCosts!$B$5:$B$104,"&gt;="&amp;M$5,Actuals_DropCosts!$B$5:$B$104,"&lt;="&amp;M$6,Actuals_DropCosts!$K$5:$K$104,"Y")+SUMIFS(Actuals_DropCosts!$H$5:$H$104,Actuals_DropCosts!$B$5:$B$104,"&gt;="&amp;M$5,Actuals_DropCosts!$B$5:$B$104,"&lt;="&amp;M$6,Actuals_DropCosts!$K$5:$K$104,"Y")+SUMIFS(Actuals_Campaigns!$T$5:$T$204,Actuals_Campaigns!$S$5:$S$204,"&gt;="&amp;M$5,Actuals_Campaigns!$S$5:$S$204,"&lt;="&amp;M$6,Actuals_Campaigns!$AB$5:$AB$204,"Y"))</f>
        <v/>
      </c>
      <c r="N17" s="31">
        <f>-(SUMIFS(Actuals_DropCosts!$F$5:$F$104,Actuals_DropCosts!$B$5:$B$104,"&gt;="&amp;N$5,Actuals_DropCosts!$B$5:$B$104,"&lt;="&amp;N$6,Actuals_DropCosts!$K$5:$K$104,"Y")+SUMIFS(Actuals_DropCosts!$G$5:$G$104,Actuals_DropCosts!$B$5:$B$104,"&gt;="&amp;N$5,Actuals_DropCosts!$B$5:$B$104,"&lt;="&amp;N$6,Actuals_DropCosts!$K$5:$K$104,"Y")+SUMIFS(Actuals_DropCosts!$H$5:$H$104,Actuals_DropCosts!$B$5:$B$104,"&gt;="&amp;N$5,Actuals_DropCosts!$B$5:$B$104,"&lt;="&amp;N$6,Actuals_DropCosts!$K$5:$K$104,"Y")+SUMIFS(Actuals_Campaigns!$T$5:$T$204,Actuals_Campaigns!$S$5:$S$204,"&gt;="&amp;N$5,Actuals_Campaigns!$S$5:$S$204,"&lt;="&amp;N$6,Actuals_Campaigns!$AB$5:$AB$204,"Y"))</f>
        <v/>
      </c>
      <c r="O17" s="31">
        <f>-(SUMIFS(Actuals_DropCosts!$F$5:$F$104,Actuals_DropCosts!$B$5:$B$104,"&gt;="&amp;O$5,Actuals_DropCosts!$B$5:$B$104,"&lt;="&amp;O$6,Actuals_DropCosts!$K$5:$K$104,"Y")+SUMIFS(Actuals_DropCosts!$G$5:$G$104,Actuals_DropCosts!$B$5:$B$104,"&gt;="&amp;O$5,Actuals_DropCosts!$B$5:$B$104,"&lt;="&amp;O$6,Actuals_DropCosts!$K$5:$K$104,"Y")+SUMIFS(Actuals_DropCosts!$H$5:$H$104,Actuals_DropCosts!$B$5:$B$104,"&gt;="&amp;O$5,Actuals_DropCosts!$B$5:$B$104,"&lt;="&amp;O$6,Actuals_DropCosts!$K$5:$K$104,"Y")+SUMIFS(Actuals_Campaigns!$T$5:$T$204,Actuals_Campaigns!$S$5:$S$204,"&gt;="&amp;O$5,Actuals_Campaigns!$S$5:$S$204,"&lt;="&amp;O$6,Actuals_Campaigns!$AB$5:$AB$204,"Y"))</f>
        <v/>
      </c>
      <c r="P17" s="31">
        <f>-(SUMIFS(Actuals_DropCosts!$F$5:$F$104,Actuals_DropCosts!$B$5:$B$104,"&gt;="&amp;P$5,Actuals_DropCosts!$B$5:$B$104,"&lt;="&amp;P$6,Actuals_DropCosts!$K$5:$K$104,"Y")+SUMIFS(Actuals_DropCosts!$G$5:$G$104,Actuals_DropCosts!$B$5:$B$104,"&gt;="&amp;P$5,Actuals_DropCosts!$B$5:$B$104,"&lt;="&amp;P$6,Actuals_DropCosts!$K$5:$K$104,"Y")+SUMIFS(Actuals_DropCosts!$H$5:$H$104,Actuals_DropCosts!$B$5:$B$104,"&gt;="&amp;P$5,Actuals_DropCosts!$B$5:$B$104,"&lt;="&amp;P$6,Actuals_DropCosts!$K$5:$K$104,"Y")+SUMIFS(Actuals_Campaigns!$T$5:$T$204,Actuals_Campaigns!$S$5:$S$204,"&gt;="&amp;P$5,Actuals_Campaigns!$S$5:$S$204,"&lt;="&amp;P$6,Actuals_Campaigns!$AB$5:$AB$204,"Y"))</f>
        <v/>
      </c>
      <c r="Q17" s="31">
        <f>-(SUMIFS(Actuals_DropCosts!$F$5:$F$104,Actuals_DropCosts!$B$5:$B$104,"&gt;="&amp;Q$5,Actuals_DropCosts!$B$5:$B$104,"&lt;="&amp;Q$6,Actuals_DropCosts!$K$5:$K$104,"Y")+SUMIFS(Actuals_DropCosts!$G$5:$G$104,Actuals_DropCosts!$B$5:$B$104,"&gt;="&amp;Q$5,Actuals_DropCosts!$B$5:$B$104,"&lt;="&amp;Q$6,Actuals_DropCosts!$K$5:$K$104,"Y")+SUMIFS(Actuals_DropCosts!$H$5:$H$104,Actuals_DropCosts!$B$5:$B$104,"&gt;="&amp;Q$5,Actuals_DropCosts!$B$5:$B$104,"&lt;="&amp;Q$6,Actuals_DropCosts!$K$5:$K$104,"Y")+SUMIFS(Actuals_Campaigns!$T$5:$T$204,Actuals_Campaigns!$S$5:$S$204,"&gt;="&amp;Q$5,Actuals_Campaigns!$S$5:$S$204,"&lt;="&amp;Q$6,Actuals_Campaigns!$AB$5:$AB$204,"Y"))</f>
        <v/>
      </c>
      <c r="R17" s="31">
        <f>-(SUMIFS(Actuals_DropCosts!$F$5:$F$104,Actuals_DropCosts!$B$5:$B$104,"&gt;="&amp;R$5,Actuals_DropCosts!$B$5:$B$104,"&lt;="&amp;R$6,Actuals_DropCosts!$K$5:$K$104,"Y")+SUMIFS(Actuals_DropCosts!$G$5:$G$104,Actuals_DropCosts!$B$5:$B$104,"&gt;="&amp;R$5,Actuals_DropCosts!$B$5:$B$104,"&lt;="&amp;R$6,Actuals_DropCosts!$K$5:$K$104,"Y")+SUMIFS(Actuals_DropCosts!$H$5:$H$104,Actuals_DropCosts!$B$5:$B$104,"&gt;="&amp;R$5,Actuals_DropCosts!$B$5:$B$104,"&lt;="&amp;R$6,Actuals_DropCosts!$K$5:$K$104,"Y")+SUMIFS(Actuals_Campaigns!$T$5:$T$204,Actuals_Campaigns!$S$5:$S$204,"&gt;="&amp;R$5,Actuals_Campaigns!$S$5:$S$204,"&lt;="&amp;R$6,Actuals_Campaigns!$AB$5:$AB$204,"Y"))</f>
        <v/>
      </c>
      <c r="S17" s="31">
        <f>-(SUMIFS(Actuals_DropCosts!$F$5:$F$104,Actuals_DropCosts!$B$5:$B$104,"&gt;="&amp;S$5,Actuals_DropCosts!$B$5:$B$104,"&lt;="&amp;S$6,Actuals_DropCosts!$K$5:$K$104,"Y")+SUMIFS(Actuals_DropCosts!$G$5:$G$104,Actuals_DropCosts!$B$5:$B$104,"&gt;="&amp;S$5,Actuals_DropCosts!$B$5:$B$104,"&lt;="&amp;S$6,Actuals_DropCosts!$K$5:$K$104,"Y")+SUMIFS(Actuals_DropCosts!$H$5:$H$104,Actuals_DropCosts!$B$5:$B$104,"&gt;="&amp;S$5,Actuals_DropCosts!$B$5:$B$104,"&lt;="&amp;S$6,Actuals_DropCosts!$K$5:$K$104,"Y")+SUMIFS(Actuals_Campaigns!$T$5:$T$204,Actuals_Campaigns!$S$5:$S$204,"&gt;="&amp;S$5,Actuals_Campaigns!$S$5:$S$204,"&lt;="&amp;S$6,Actuals_Campaigns!$AB$5:$AB$204,"Y"))</f>
        <v/>
      </c>
      <c r="T17" s="31">
        <f>-(SUMIFS(Actuals_DropCosts!$F$5:$F$104,Actuals_DropCosts!$B$5:$B$104,"&gt;="&amp;T$5,Actuals_DropCosts!$B$5:$B$104,"&lt;="&amp;T$6,Actuals_DropCosts!$K$5:$K$104,"Y")+SUMIFS(Actuals_DropCosts!$G$5:$G$104,Actuals_DropCosts!$B$5:$B$104,"&gt;="&amp;T$5,Actuals_DropCosts!$B$5:$B$104,"&lt;="&amp;T$6,Actuals_DropCosts!$K$5:$K$104,"Y")+SUMIFS(Actuals_DropCosts!$H$5:$H$104,Actuals_DropCosts!$B$5:$B$104,"&gt;="&amp;T$5,Actuals_DropCosts!$B$5:$B$104,"&lt;="&amp;T$6,Actuals_DropCosts!$K$5:$K$104,"Y")+SUMIFS(Actuals_Campaigns!$T$5:$T$204,Actuals_Campaigns!$S$5:$S$204,"&gt;="&amp;T$5,Actuals_Campaigns!$S$5:$S$204,"&lt;="&amp;T$6,Actuals_Campaigns!$AB$5:$AB$204,"Y"))</f>
        <v/>
      </c>
      <c r="U17" s="31">
        <f>-(SUMIFS(Actuals_DropCosts!$F$5:$F$104,Actuals_DropCosts!$B$5:$B$104,"&gt;="&amp;U$5,Actuals_DropCosts!$B$5:$B$104,"&lt;="&amp;U$6,Actuals_DropCosts!$K$5:$K$104,"Y")+SUMIFS(Actuals_DropCosts!$G$5:$G$104,Actuals_DropCosts!$B$5:$B$104,"&gt;="&amp;U$5,Actuals_DropCosts!$B$5:$B$104,"&lt;="&amp;U$6,Actuals_DropCosts!$K$5:$K$104,"Y")+SUMIFS(Actuals_DropCosts!$H$5:$H$104,Actuals_DropCosts!$B$5:$B$104,"&gt;="&amp;U$5,Actuals_DropCosts!$B$5:$B$104,"&lt;="&amp;U$6,Actuals_DropCosts!$K$5:$K$104,"Y")+SUMIFS(Actuals_Campaigns!$T$5:$T$204,Actuals_Campaigns!$S$5:$S$204,"&gt;="&amp;U$5,Actuals_Campaigns!$S$5:$S$204,"&lt;="&amp;U$6,Actuals_Campaigns!$AB$5:$AB$204,"Y"))</f>
        <v/>
      </c>
      <c r="V17" s="31">
        <f>-(SUMIFS(Actuals_DropCosts!$F$5:$F$104,Actuals_DropCosts!$B$5:$B$104,"&gt;="&amp;V$5,Actuals_DropCosts!$B$5:$B$104,"&lt;="&amp;V$6,Actuals_DropCosts!$K$5:$K$104,"Y")+SUMIFS(Actuals_DropCosts!$G$5:$G$104,Actuals_DropCosts!$B$5:$B$104,"&gt;="&amp;V$5,Actuals_DropCosts!$B$5:$B$104,"&lt;="&amp;V$6,Actuals_DropCosts!$K$5:$K$104,"Y")+SUMIFS(Actuals_DropCosts!$H$5:$H$104,Actuals_DropCosts!$B$5:$B$104,"&gt;="&amp;V$5,Actuals_DropCosts!$B$5:$B$104,"&lt;="&amp;V$6,Actuals_DropCosts!$K$5:$K$104,"Y")+SUMIFS(Actuals_Campaigns!$T$5:$T$204,Actuals_Campaigns!$S$5:$S$204,"&gt;="&amp;V$5,Actuals_Campaigns!$S$5:$S$204,"&lt;="&amp;V$6,Actuals_Campaigns!$AB$5:$AB$204,"Y"))</f>
        <v/>
      </c>
      <c r="W17" s="31">
        <f>-(SUMIFS(Actuals_DropCosts!$F$5:$F$104,Actuals_DropCosts!$B$5:$B$104,"&gt;="&amp;W$5,Actuals_DropCosts!$B$5:$B$104,"&lt;="&amp;W$6,Actuals_DropCosts!$K$5:$K$104,"Y")+SUMIFS(Actuals_DropCosts!$G$5:$G$104,Actuals_DropCosts!$B$5:$B$104,"&gt;="&amp;W$5,Actuals_DropCosts!$B$5:$B$104,"&lt;="&amp;W$6,Actuals_DropCosts!$K$5:$K$104,"Y")+SUMIFS(Actuals_DropCosts!$H$5:$H$104,Actuals_DropCosts!$B$5:$B$104,"&gt;="&amp;W$5,Actuals_DropCosts!$B$5:$B$104,"&lt;="&amp;W$6,Actuals_DropCosts!$K$5:$K$104,"Y")+SUMIFS(Actuals_Campaigns!$T$5:$T$204,Actuals_Campaigns!$S$5:$S$204,"&gt;="&amp;W$5,Actuals_Campaigns!$S$5:$S$204,"&lt;="&amp;W$6,Actuals_Campaigns!$AB$5:$AB$204,"Y"))</f>
        <v/>
      </c>
      <c r="X17" s="31">
        <f>-(SUMIFS(Actuals_DropCosts!$F$5:$F$104,Actuals_DropCosts!$B$5:$B$104,"&gt;="&amp;X$5,Actuals_DropCosts!$B$5:$B$104,"&lt;="&amp;X$6,Actuals_DropCosts!$K$5:$K$104,"Y")+SUMIFS(Actuals_DropCosts!$G$5:$G$104,Actuals_DropCosts!$B$5:$B$104,"&gt;="&amp;X$5,Actuals_DropCosts!$B$5:$B$104,"&lt;="&amp;X$6,Actuals_DropCosts!$K$5:$K$104,"Y")+SUMIFS(Actuals_DropCosts!$H$5:$H$104,Actuals_DropCosts!$B$5:$B$104,"&gt;="&amp;X$5,Actuals_DropCosts!$B$5:$B$104,"&lt;="&amp;X$6,Actuals_DropCosts!$K$5:$K$104,"Y")+SUMIFS(Actuals_Campaigns!$T$5:$T$204,Actuals_Campaigns!$S$5:$S$204,"&gt;="&amp;X$5,Actuals_Campaigns!$S$5:$S$204,"&lt;="&amp;X$6,Actuals_Campaigns!$AB$5:$AB$204,"Y"))</f>
        <v/>
      </c>
      <c r="Y17" s="31">
        <f>-(SUMIFS(Actuals_DropCosts!$F$5:$F$104,Actuals_DropCosts!$B$5:$B$104,"&gt;="&amp;Y$5,Actuals_DropCosts!$B$5:$B$104,"&lt;="&amp;Y$6,Actuals_DropCosts!$K$5:$K$104,"Y")+SUMIFS(Actuals_DropCosts!$G$5:$G$104,Actuals_DropCosts!$B$5:$B$104,"&gt;="&amp;Y$5,Actuals_DropCosts!$B$5:$B$104,"&lt;="&amp;Y$6,Actuals_DropCosts!$K$5:$K$104,"Y")+SUMIFS(Actuals_DropCosts!$H$5:$H$104,Actuals_DropCosts!$B$5:$B$104,"&gt;="&amp;Y$5,Actuals_DropCosts!$B$5:$B$104,"&lt;="&amp;Y$6,Actuals_DropCosts!$K$5:$K$104,"Y")+SUMIFS(Actuals_Campaigns!$T$5:$T$204,Actuals_Campaigns!$S$5:$S$204,"&gt;="&amp;Y$5,Actuals_Campaigns!$S$5:$S$204,"&lt;="&amp;Y$6,Actuals_Campaigns!$AB$5:$AB$204,"Y"))</f>
        <v/>
      </c>
      <c r="Z17" s="31">
        <f>-(SUMIFS(Actuals_DropCosts!$F$5:$F$104,Actuals_DropCosts!$B$5:$B$104,"&gt;="&amp;Z$5,Actuals_DropCosts!$B$5:$B$104,"&lt;="&amp;Z$6,Actuals_DropCosts!$K$5:$K$104,"Y")+SUMIFS(Actuals_DropCosts!$G$5:$G$104,Actuals_DropCosts!$B$5:$B$104,"&gt;="&amp;Z$5,Actuals_DropCosts!$B$5:$B$104,"&lt;="&amp;Z$6,Actuals_DropCosts!$K$5:$K$104,"Y")+SUMIFS(Actuals_DropCosts!$H$5:$H$104,Actuals_DropCosts!$B$5:$B$104,"&gt;="&amp;Z$5,Actuals_DropCosts!$B$5:$B$104,"&lt;="&amp;Z$6,Actuals_DropCosts!$K$5:$K$104,"Y")+SUMIFS(Actuals_Campaigns!$T$5:$T$204,Actuals_Campaigns!$S$5:$S$204,"&gt;="&amp;Z$5,Actuals_Campaigns!$S$5:$S$204,"&lt;="&amp;Z$6,Actuals_Campaigns!$AB$5:$AB$204,"Y"))</f>
        <v/>
      </c>
      <c r="AA17" s="31">
        <f>-(SUMIFS(Actuals_DropCosts!$F$5:$F$104,Actuals_DropCosts!$B$5:$B$104,"&gt;="&amp;AA$5,Actuals_DropCosts!$B$5:$B$104,"&lt;="&amp;AA$6,Actuals_DropCosts!$K$5:$K$104,"Y")+SUMIFS(Actuals_DropCosts!$G$5:$G$104,Actuals_DropCosts!$B$5:$B$104,"&gt;="&amp;AA$5,Actuals_DropCosts!$B$5:$B$104,"&lt;="&amp;AA$6,Actuals_DropCosts!$K$5:$K$104,"Y")+SUMIFS(Actuals_DropCosts!$H$5:$H$104,Actuals_DropCosts!$B$5:$B$104,"&gt;="&amp;AA$5,Actuals_DropCosts!$B$5:$B$104,"&lt;="&amp;AA$6,Actuals_DropCosts!$K$5:$K$104,"Y")+SUMIFS(Actuals_Campaigns!$T$5:$T$204,Actuals_Campaigns!$S$5:$S$204,"&gt;="&amp;AA$5,Actuals_Campaigns!$S$5:$S$204,"&lt;="&amp;AA$6,Actuals_Campaigns!$AB$5:$AB$204,"Y"))</f>
        <v/>
      </c>
      <c r="AB17" s="31">
        <f>-(SUMIFS(Actuals_DropCosts!$F$5:$F$104,Actuals_DropCosts!$B$5:$B$104,"&gt;="&amp;AB$5,Actuals_DropCosts!$B$5:$B$104,"&lt;="&amp;AB$6,Actuals_DropCosts!$K$5:$K$104,"Y")+SUMIFS(Actuals_DropCosts!$G$5:$G$104,Actuals_DropCosts!$B$5:$B$104,"&gt;="&amp;AB$5,Actuals_DropCosts!$B$5:$B$104,"&lt;="&amp;AB$6,Actuals_DropCosts!$K$5:$K$104,"Y")+SUMIFS(Actuals_DropCosts!$H$5:$H$104,Actuals_DropCosts!$B$5:$B$104,"&gt;="&amp;AB$5,Actuals_DropCosts!$B$5:$B$104,"&lt;="&amp;AB$6,Actuals_DropCosts!$K$5:$K$104,"Y")+SUMIFS(Actuals_Campaigns!$T$5:$T$204,Actuals_Campaigns!$S$5:$S$204,"&gt;="&amp;AB$5,Actuals_Campaigns!$S$5:$S$204,"&lt;="&amp;AB$6,Actuals_Campaigns!$AB$5:$AB$204,"Y"))</f>
        <v/>
      </c>
      <c r="AC17" s="33">
        <f>SUM(C17:AB17)</f>
        <v/>
      </c>
    </row>
    <row r="18">
      <c r="B18" s="8" t="inlineStr">
        <is>
          <t>Total direct costs</t>
        </is>
      </c>
      <c r="C18" s="33">
        <f>SUM(C13:C17)</f>
        <v/>
      </c>
      <c r="D18" s="33">
        <f>SUM(D13:D17)</f>
        <v/>
      </c>
      <c r="E18" s="33">
        <f>SUM(E13:E17)</f>
        <v/>
      </c>
      <c r="F18" s="33">
        <f>SUM(F13:F17)</f>
        <v/>
      </c>
      <c r="G18" s="33">
        <f>SUM(G13:G17)</f>
        <v/>
      </c>
      <c r="H18" s="33">
        <f>SUM(H13:H17)</f>
        <v/>
      </c>
      <c r="I18" s="33">
        <f>SUM(I13:I17)</f>
        <v/>
      </c>
      <c r="J18" s="33">
        <f>SUM(J13:J17)</f>
        <v/>
      </c>
      <c r="K18" s="33">
        <f>SUM(K13:K17)</f>
        <v/>
      </c>
      <c r="L18" s="33">
        <f>SUM(L13:L17)</f>
        <v/>
      </c>
      <c r="M18" s="33">
        <f>SUM(M13:M17)</f>
        <v/>
      </c>
      <c r="N18" s="33">
        <f>SUM(N13:N17)</f>
        <v/>
      </c>
      <c r="O18" s="33">
        <f>SUM(O13:O17)</f>
        <v/>
      </c>
      <c r="P18" s="33">
        <f>SUM(P13:P17)</f>
        <v/>
      </c>
      <c r="Q18" s="33">
        <f>SUM(Q13:Q17)</f>
        <v/>
      </c>
      <c r="R18" s="33">
        <f>SUM(R13:R17)</f>
        <v/>
      </c>
      <c r="S18" s="33">
        <f>SUM(S13:S17)</f>
        <v/>
      </c>
      <c r="T18" s="33">
        <f>SUM(T13:T17)</f>
        <v/>
      </c>
      <c r="U18" s="33">
        <f>SUM(U13:U17)</f>
        <v/>
      </c>
      <c r="V18" s="33">
        <f>SUM(V13:V17)</f>
        <v/>
      </c>
      <c r="W18" s="33">
        <f>SUM(W13:W17)</f>
        <v/>
      </c>
      <c r="X18" s="33">
        <f>SUM(X13:X17)</f>
        <v/>
      </c>
      <c r="Y18" s="33">
        <f>SUM(Y13:Y17)</f>
        <v/>
      </c>
      <c r="Z18" s="33">
        <f>SUM(Z13:Z17)</f>
        <v/>
      </c>
      <c r="AA18" s="33">
        <f>SUM(AA13:AA17)</f>
        <v/>
      </c>
      <c r="AB18" s="33">
        <f>SUM(AB13:AB17)</f>
        <v/>
      </c>
      <c r="AC18" s="33">
        <f>SUM(C18:AB18)</f>
        <v/>
      </c>
    </row>
    <row r="19">
      <c r="A19" s="3" t="inlineStr">
        <is>
          <t>Overhead, paid once here (drop allocations are views of these lines)</t>
        </is>
      </c>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row>
    <row r="20">
      <c r="B20" t="inlineStr">
        <is>
          <t>Software</t>
        </is>
      </c>
      <c r="C20" s="31">
        <f>-SUMIFS(Cash_Ledger!$D$5:$D$53,Cash_Ledger!$C$5:$C$53,"&gt;="&amp;C$5,Cash_Ledger!$C$5:$C$53,"&lt;="&amp;C$6,Cash_Ledger!$A$5:$A$53,"software")</f>
        <v/>
      </c>
      <c r="D20" s="31">
        <f>-SUMIFS(Cash_Ledger!$D$5:$D$53,Cash_Ledger!$C$5:$C$53,"&gt;="&amp;D$5,Cash_Ledger!$C$5:$C$53,"&lt;="&amp;D$6,Cash_Ledger!$A$5:$A$53,"software")</f>
        <v/>
      </c>
      <c r="E20" s="31">
        <f>-SUMIFS(Cash_Ledger!$D$5:$D$53,Cash_Ledger!$C$5:$C$53,"&gt;="&amp;E$5,Cash_Ledger!$C$5:$C$53,"&lt;="&amp;E$6,Cash_Ledger!$A$5:$A$53,"software")</f>
        <v/>
      </c>
      <c r="F20" s="31">
        <f>-SUMIFS(Cash_Ledger!$D$5:$D$53,Cash_Ledger!$C$5:$C$53,"&gt;="&amp;F$5,Cash_Ledger!$C$5:$C$53,"&lt;="&amp;F$6,Cash_Ledger!$A$5:$A$53,"software")</f>
        <v/>
      </c>
      <c r="G20" s="31">
        <f>-SUMIFS(Cash_Ledger!$D$5:$D$53,Cash_Ledger!$C$5:$C$53,"&gt;="&amp;G$5,Cash_Ledger!$C$5:$C$53,"&lt;="&amp;G$6,Cash_Ledger!$A$5:$A$53,"software")</f>
        <v/>
      </c>
      <c r="H20" s="31">
        <f>-SUMIFS(Cash_Ledger!$D$5:$D$53,Cash_Ledger!$C$5:$C$53,"&gt;="&amp;H$5,Cash_Ledger!$C$5:$C$53,"&lt;="&amp;H$6,Cash_Ledger!$A$5:$A$53,"software")</f>
        <v/>
      </c>
      <c r="I20" s="31">
        <f>-SUMIFS(Cash_Ledger!$D$5:$D$53,Cash_Ledger!$C$5:$C$53,"&gt;="&amp;I$5,Cash_Ledger!$C$5:$C$53,"&lt;="&amp;I$6,Cash_Ledger!$A$5:$A$53,"software")</f>
        <v/>
      </c>
      <c r="J20" s="31">
        <f>-SUMIFS(Cash_Ledger!$D$5:$D$53,Cash_Ledger!$C$5:$C$53,"&gt;="&amp;J$5,Cash_Ledger!$C$5:$C$53,"&lt;="&amp;J$6,Cash_Ledger!$A$5:$A$53,"software")</f>
        <v/>
      </c>
      <c r="K20" s="31">
        <f>-SUMIFS(Cash_Ledger!$D$5:$D$53,Cash_Ledger!$C$5:$C$53,"&gt;="&amp;K$5,Cash_Ledger!$C$5:$C$53,"&lt;="&amp;K$6,Cash_Ledger!$A$5:$A$53,"software")</f>
        <v/>
      </c>
      <c r="L20" s="31">
        <f>-SUMIFS(Cash_Ledger!$D$5:$D$53,Cash_Ledger!$C$5:$C$53,"&gt;="&amp;L$5,Cash_Ledger!$C$5:$C$53,"&lt;="&amp;L$6,Cash_Ledger!$A$5:$A$53,"software")</f>
        <v/>
      </c>
      <c r="M20" s="31">
        <f>-SUMIFS(Cash_Ledger!$D$5:$D$53,Cash_Ledger!$C$5:$C$53,"&gt;="&amp;M$5,Cash_Ledger!$C$5:$C$53,"&lt;="&amp;M$6,Cash_Ledger!$A$5:$A$53,"software")</f>
        <v/>
      </c>
      <c r="N20" s="31">
        <f>-SUMIFS(Cash_Ledger!$D$5:$D$53,Cash_Ledger!$C$5:$C$53,"&gt;="&amp;N$5,Cash_Ledger!$C$5:$C$53,"&lt;="&amp;N$6,Cash_Ledger!$A$5:$A$53,"software")</f>
        <v/>
      </c>
      <c r="O20" s="31">
        <f>-SUMIFS(Cash_Ledger!$D$5:$D$53,Cash_Ledger!$C$5:$C$53,"&gt;="&amp;O$5,Cash_Ledger!$C$5:$C$53,"&lt;="&amp;O$6,Cash_Ledger!$A$5:$A$53,"software")</f>
        <v/>
      </c>
      <c r="P20" s="31">
        <f>-SUMIFS(Cash_Ledger!$D$5:$D$53,Cash_Ledger!$C$5:$C$53,"&gt;="&amp;P$5,Cash_Ledger!$C$5:$C$53,"&lt;="&amp;P$6,Cash_Ledger!$A$5:$A$53,"software")</f>
        <v/>
      </c>
      <c r="Q20" s="31">
        <f>-SUMIFS(Cash_Ledger!$D$5:$D$53,Cash_Ledger!$C$5:$C$53,"&gt;="&amp;Q$5,Cash_Ledger!$C$5:$C$53,"&lt;="&amp;Q$6,Cash_Ledger!$A$5:$A$53,"software")</f>
        <v/>
      </c>
      <c r="R20" s="31">
        <f>-SUMIFS(Cash_Ledger!$D$5:$D$53,Cash_Ledger!$C$5:$C$53,"&gt;="&amp;R$5,Cash_Ledger!$C$5:$C$53,"&lt;="&amp;R$6,Cash_Ledger!$A$5:$A$53,"software")</f>
        <v/>
      </c>
      <c r="S20" s="31">
        <f>-SUMIFS(Cash_Ledger!$D$5:$D$53,Cash_Ledger!$C$5:$C$53,"&gt;="&amp;S$5,Cash_Ledger!$C$5:$C$53,"&lt;="&amp;S$6,Cash_Ledger!$A$5:$A$53,"software")</f>
        <v/>
      </c>
      <c r="T20" s="31">
        <f>-SUMIFS(Cash_Ledger!$D$5:$D$53,Cash_Ledger!$C$5:$C$53,"&gt;="&amp;T$5,Cash_Ledger!$C$5:$C$53,"&lt;="&amp;T$6,Cash_Ledger!$A$5:$A$53,"software")</f>
        <v/>
      </c>
      <c r="U20" s="31">
        <f>-SUMIFS(Cash_Ledger!$D$5:$D$53,Cash_Ledger!$C$5:$C$53,"&gt;="&amp;U$5,Cash_Ledger!$C$5:$C$53,"&lt;="&amp;U$6,Cash_Ledger!$A$5:$A$53,"software")</f>
        <v/>
      </c>
      <c r="V20" s="31">
        <f>-SUMIFS(Cash_Ledger!$D$5:$D$53,Cash_Ledger!$C$5:$C$53,"&gt;="&amp;V$5,Cash_Ledger!$C$5:$C$53,"&lt;="&amp;V$6,Cash_Ledger!$A$5:$A$53,"software")</f>
        <v/>
      </c>
      <c r="W20" s="31">
        <f>-SUMIFS(Cash_Ledger!$D$5:$D$53,Cash_Ledger!$C$5:$C$53,"&gt;="&amp;W$5,Cash_Ledger!$C$5:$C$53,"&lt;="&amp;W$6,Cash_Ledger!$A$5:$A$53,"software")</f>
        <v/>
      </c>
      <c r="X20" s="31">
        <f>-SUMIFS(Cash_Ledger!$D$5:$D$53,Cash_Ledger!$C$5:$C$53,"&gt;="&amp;X$5,Cash_Ledger!$C$5:$C$53,"&lt;="&amp;X$6,Cash_Ledger!$A$5:$A$53,"software")</f>
        <v/>
      </c>
      <c r="Y20" s="31">
        <f>-SUMIFS(Cash_Ledger!$D$5:$D$53,Cash_Ledger!$C$5:$C$53,"&gt;="&amp;Y$5,Cash_Ledger!$C$5:$C$53,"&lt;="&amp;Y$6,Cash_Ledger!$A$5:$A$53,"software")</f>
        <v/>
      </c>
      <c r="Z20" s="31">
        <f>-SUMIFS(Cash_Ledger!$D$5:$D$53,Cash_Ledger!$C$5:$C$53,"&gt;="&amp;Z$5,Cash_Ledger!$C$5:$C$53,"&lt;="&amp;Z$6,Cash_Ledger!$A$5:$A$53,"software")</f>
        <v/>
      </c>
      <c r="AA20" s="31">
        <f>-SUMIFS(Cash_Ledger!$D$5:$D$53,Cash_Ledger!$C$5:$C$53,"&gt;="&amp;AA$5,Cash_Ledger!$C$5:$C$53,"&lt;="&amp;AA$6,Cash_Ledger!$A$5:$A$53,"software")</f>
        <v/>
      </c>
      <c r="AB20" s="31">
        <f>-SUMIFS(Cash_Ledger!$D$5:$D$53,Cash_Ledger!$C$5:$C$53,"&gt;="&amp;AB$5,Cash_Ledger!$C$5:$C$53,"&lt;="&amp;AB$6,Cash_Ledger!$A$5:$A$53,"software")</f>
        <v/>
      </c>
      <c r="AC20" s="33">
        <f>SUM(C20:AB20)</f>
        <v/>
      </c>
    </row>
    <row r="21">
      <c r="B21" t="inlineStr">
        <is>
          <t>Insurance</t>
        </is>
      </c>
      <c r="C21" s="31">
        <f>-SUMIFS(Cash_Ledger!$D$5:$D$53,Cash_Ledger!$C$5:$C$53,"&gt;="&amp;C$5,Cash_Ledger!$C$5:$C$53,"&lt;="&amp;C$6,Cash_Ledger!$A$5:$A$53,"insurance")</f>
        <v/>
      </c>
      <c r="D21" s="31">
        <f>-SUMIFS(Cash_Ledger!$D$5:$D$53,Cash_Ledger!$C$5:$C$53,"&gt;="&amp;D$5,Cash_Ledger!$C$5:$C$53,"&lt;="&amp;D$6,Cash_Ledger!$A$5:$A$53,"insurance")</f>
        <v/>
      </c>
      <c r="E21" s="31">
        <f>-SUMIFS(Cash_Ledger!$D$5:$D$53,Cash_Ledger!$C$5:$C$53,"&gt;="&amp;E$5,Cash_Ledger!$C$5:$C$53,"&lt;="&amp;E$6,Cash_Ledger!$A$5:$A$53,"insurance")</f>
        <v/>
      </c>
      <c r="F21" s="31">
        <f>-SUMIFS(Cash_Ledger!$D$5:$D$53,Cash_Ledger!$C$5:$C$53,"&gt;="&amp;F$5,Cash_Ledger!$C$5:$C$53,"&lt;="&amp;F$6,Cash_Ledger!$A$5:$A$53,"insurance")</f>
        <v/>
      </c>
      <c r="G21" s="31">
        <f>-SUMIFS(Cash_Ledger!$D$5:$D$53,Cash_Ledger!$C$5:$C$53,"&gt;="&amp;G$5,Cash_Ledger!$C$5:$C$53,"&lt;="&amp;G$6,Cash_Ledger!$A$5:$A$53,"insurance")</f>
        <v/>
      </c>
      <c r="H21" s="31">
        <f>-SUMIFS(Cash_Ledger!$D$5:$D$53,Cash_Ledger!$C$5:$C$53,"&gt;="&amp;H$5,Cash_Ledger!$C$5:$C$53,"&lt;="&amp;H$6,Cash_Ledger!$A$5:$A$53,"insurance")</f>
        <v/>
      </c>
      <c r="I21" s="31">
        <f>-SUMIFS(Cash_Ledger!$D$5:$D$53,Cash_Ledger!$C$5:$C$53,"&gt;="&amp;I$5,Cash_Ledger!$C$5:$C$53,"&lt;="&amp;I$6,Cash_Ledger!$A$5:$A$53,"insurance")</f>
        <v/>
      </c>
      <c r="J21" s="31">
        <f>-SUMIFS(Cash_Ledger!$D$5:$D$53,Cash_Ledger!$C$5:$C$53,"&gt;="&amp;J$5,Cash_Ledger!$C$5:$C$53,"&lt;="&amp;J$6,Cash_Ledger!$A$5:$A$53,"insurance")</f>
        <v/>
      </c>
      <c r="K21" s="31">
        <f>-SUMIFS(Cash_Ledger!$D$5:$D$53,Cash_Ledger!$C$5:$C$53,"&gt;="&amp;K$5,Cash_Ledger!$C$5:$C$53,"&lt;="&amp;K$6,Cash_Ledger!$A$5:$A$53,"insurance")</f>
        <v/>
      </c>
      <c r="L21" s="31">
        <f>-SUMIFS(Cash_Ledger!$D$5:$D$53,Cash_Ledger!$C$5:$C$53,"&gt;="&amp;L$5,Cash_Ledger!$C$5:$C$53,"&lt;="&amp;L$6,Cash_Ledger!$A$5:$A$53,"insurance")</f>
        <v/>
      </c>
      <c r="M21" s="31">
        <f>-SUMIFS(Cash_Ledger!$D$5:$D$53,Cash_Ledger!$C$5:$C$53,"&gt;="&amp;M$5,Cash_Ledger!$C$5:$C$53,"&lt;="&amp;M$6,Cash_Ledger!$A$5:$A$53,"insurance")</f>
        <v/>
      </c>
      <c r="N21" s="31">
        <f>-SUMIFS(Cash_Ledger!$D$5:$D$53,Cash_Ledger!$C$5:$C$53,"&gt;="&amp;N$5,Cash_Ledger!$C$5:$C$53,"&lt;="&amp;N$6,Cash_Ledger!$A$5:$A$53,"insurance")</f>
        <v/>
      </c>
      <c r="O21" s="31">
        <f>-SUMIFS(Cash_Ledger!$D$5:$D$53,Cash_Ledger!$C$5:$C$53,"&gt;="&amp;O$5,Cash_Ledger!$C$5:$C$53,"&lt;="&amp;O$6,Cash_Ledger!$A$5:$A$53,"insurance")</f>
        <v/>
      </c>
      <c r="P21" s="31">
        <f>-SUMIFS(Cash_Ledger!$D$5:$D$53,Cash_Ledger!$C$5:$C$53,"&gt;="&amp;P$5,Cash_Ledger!$C$5:$C$53,"&lt;="&amp;P$6,Cash_Ledger!$A$5:$A$53,"insurance")</f>
        <v/>
      </c>
      <c r="Q21" s="31">
        <f>-SUMIFS(Cash_Ledger!$D$5:$D$53,Cash_Ledger!$C$5:$C$53,"&gt;="&amp;Q$5,Cash_Ledger!$C$5:$C$53,"&lt;="&amp;Q$6,Cash_Ledger!$A$5:$A$53,"insurance")</f>
        <v/>
      </c>
      <c r="R21" s="31">
        <f>-SUMIFS(Cash_Ledger!$D$5:$D$53,Cash_Ledger!$C$5:$C$53,"&gt;="&amp;R$5,Cash_Ledger!$C$5:$C$53,"&lt;="&amp;R$6,Cash_Ledger!$A$5:$A$53,"insurance")</f>
        <v/>
      </c>
      <c r="S21" s="31">
        <f>-SUMIFS(Cash_Ledger!$D$5:$D$53,Cash_Ledger!$C$5:$C$53,"&gt;="&amp;S$5,Cash_Ledger!$C$5:$C$53,"&lt;="&amp;S$6,Cash_Ledger!$A$5:$A$53,"insurance")</f>
        <v/>
      </c>
      <c r="T21" s="31">
        <f>-SUMIFS(Cash_Ledger!$D$5:$D$53,Cash_Ledger!$C$5:$C$53,"&gt;="&amp;T$5,Cash_Ledger!$C$5:$C$53,"&lt;="&amp;T$6,Cash_Ledger!$A$5:$A$53,"insurance")</f>
        <v/>
      </c>
      <c r="U21" s="31">
        <f>-SUMIFS(Cash_Ledger!$D$5:$D$53,Cash_Ledger!$C$5:$C$53,"&gt;="&amp;U$5,Cash_Ledger!$C$5:$C$53,"&lt;="&amp;U$6,Cash_Ledger!$A$5:$A$53,"insurance")</f>
        <v/>
      </c>
      <c r="V21" s="31">
        <f>-SUMIFS(Cash_Ledger!$D$5:$D$53,Cash_Ledger!$C$5:$C$53,"&gt;="&amp;V$5,Cash_Ledger!$C$5:$C$53,"&lt;="&amp;V$6,Cash_Ledger!$A$5:$A$53,"insurance")</f>
        <v/>
      </c>
      <c r="W21" s="31">
        <f>-SUMIFS(Cash_Ledger!$D$5:$D$53,Cash_Ledger!$C$5:$C$53,"&gt;="&amp;W$5,Cash_Ledger!$C$5:$C$53,"&lt;="&amp;W$6,Cash_Ledger!$A$5:$A$53,"insurance")</f>
        <v/>
      </c>
      <c r="X21" s="31">
        <f>-SUMIFS(Cash_Ledger!$D$5:$D$53,Cash_Ledger!$C$5:$C$53,"&gt;="&amp;X$5,Cash_Ledger!$C$5:$C$53,"&lt;="&amp;X$6,Cash_Ledger!$A$5:$A$53,"insurance")</f>
        <v/>
      </c>
      <c r="Y21" s="31">
        <f>-SUMIFS(Cash_Ledger!$D$5:$D$53,Cash_Ledger!$C$5:$C$53,"&gt;="&amp;Y$5,Cash_Ledger!$C$5:$C$53,"&lt;="&amp;Y$6,Cash_Ledger!$A$5:$A$53,"insurance")</f>
        <v/>
      </c>
      <c r="Z21" s="31">
        <f>-SUMIFS(Cash_Ledger!$D$5:$D$53,Cash_Ledger!$C$5:$C$53,"&gt;="&amp;Z$5,Cash_Ledger!$C$5:$C$53,"&lt;="&amp;Z$6,Cash_Ledger!$A$5:$A$53,"insurance")</f>
        <v/>
      </c>
      <c r="AA21" s="31">
        <f>-SUMIFS(Cash_Ledger!$D$5:$D$53,Cash_Ledger!$C$5:$C$53,"&gt;="&amp;AA$5,Cash_Ledger!$C$5:$C$53,"&lt;="&amp;AA$6,Cash_Ledger!$A$5:$A$53,"insurance")</f>
        <v/>
      </c>
      <c r="AB21" s="31">
        <f>-SUMIFS(Cash_Ledger!$D$5:$D$53,Cash_Ledger!$C$5:$C$53,"&gt;="&amp;AB$5,Cash_Ledger!$C$5:$C$53,"&lt;="&amp;AB$6,Cash_Ledger!$A$5:$A$53,"insurance")</f>
        <v/>
      </c>
      <c r="AC21" s="33">
        <f>SUM(C21:AB21)</f>
        <v/>
      </c>
    </row>
    <row r="22">
      <c r="B22" t="inlineStr">
        <is>
          <t>Storage</t>
        </is>
      </c>
      <c r="C22" s="31">
        <f>-SUMIFS(Cash_Ledger!$D$5:$D$53,Cash_Ledger!$C$5:$C$53,"&gt;="&amp;C$5,Cash_Ledger!$C$5:$C$53,"&lt;="&amp;C$6,Cash_Ledger!$A$5:$A$53,"storage")</f>
        <v/>
      </c>
      <c r="D22" s="31">
        <f>-SUMIFS(Cash_Ledger!$D$5:$D$53,Cash_Ledger!$C$5:$C$53,"&gt;="&amp;D$5,Cash_Ledger!$C$5:$C$53,"&lt;="&amp;D$6,Cash_Ledger!$A$5:$A$53,"storage")</f>
        <v/>
      </c>
      <c r="E22" s="31">
        <f>-SUMIFS(Cash_Ledger!$D$5:$D$53,Cash_Ledger!$C$5:$C$53,"&gt;="&amp;E$5,Cash_Ledger!$C$5:$C$53,"&lt;="&amp;E$6,Cash_Ledger!$A$5:$A$53,"storage")</f>
        <v/>
      </c>
      <c r="F22" s="31">
        <f>-SUMIFS(Cash_Ledger!$D$5:$D$53,Cash_Ledger!$C$5:$C$53,"&gt;="&amp;F$5,Cash_Ledger!$C$5:$C$53,"&lt;="&amp;F$6,Cash_Ledger!$A$5:$A$53,"storage")</f>
        <v/>
      </c>
      <c r="G22" s="31">
        <f>-SUMIFS(Cash_Ledger!$D$5:$D$53,Cash_Ledger!$C$5:$C$53,"&gt;="&amp;G$5,Cash_Ledger!$C$5:$C$53,"&lt;="&amp;G$6,Cash_Ledger!$A$5:$A$53,"storage")</f>
        <v/>
      </c>
      <c r="H22" s="31">
        <f>-SUMIFS(Cash_Ledger!$D$5:$D$53,Cash_Ledger!$C$5:$C$53,"&gt;="&amp;H$5,Cash_Ledger!$C$5:$C$53,"&lt;="&amp;H$6,Cash_Ledger!$A$5:$A$53,"storage")</f>
        <v/>
      </c>
      <c r="I22" s="31">
        <f>-SUMIFS(Cash_Ledger!$D$5:$D$53,Cash_Ledger!$C$5:$C$53,"&gt;="&amp;I$5,Cash_Ledger!$C$5:$C$53,"&lt;="&amp;I$6,Cash_Ledger!$A$5:$A$53,"storage")</f>
        <v/>
      </c>
      <c r="J22" s="31">
        <f>-SUMIFS(Cash_Ledger!$D$5:$D$53,Cash_Ledger!$C$5:$C$53,"&gt;="&amp;J$5,Cash_Ledger!$C$5:$C$53,"&lt;="&amp;J$6,Cash_Ledger!$A$5:$A$53,"storage")</f>
        <v/>
      </c>
      <c r="K22" s="31">
        <f>-SUMIFS(Cash_Ledger!$D$5:$D$53,Cash_Ledger!$C$5:$C$53,"&gt;="&amp;K$5,Cash_Ledger!$C$5:$C$53,"&lt;="&amp;K$6,Cash_Ledger!$A$5:$A$53,"storage")</f>
        <v/>
      </c>
      <c r="L22" s="31">
        <f>-SUMIFS(Cash_Ledger!$D$5:$D$53,Cash_Ledger!$C$5:$C$53,"&gt;="&amp;L$5,Cash_Ledger!$C$5:$C$53,"&lt;="&amp;L$6,Cash_Ledger!$A$5:$A$53,"storage")</f>
        <v/>
      </c>
      <c r="M22" s="31">
        <f>-SUMIFS(Cash_Ledger!$D$5:$D$53,Cash_Ledger!$C$5:$C$53,"&gt;="&amp;M$5,Cash_Ledger!$C$5:$C$53,"&lt;="&amp;M$6,Cash_Ledger!$A$5:$A$53,"storage")</f>
        <v/>
      </c>
      <c r="N22" s="31">
        <f>-SUMIFS(Cash_Ledger!$D$5:$D$53,Cash_Ledger!$C$5:$C$53,"&gt;="&amp;N$5,Cash_Ledger!$C$5:$C$53,"&lt;="&amp;N$6,Cash_Ledger!$A$5:$A$53,"storage")</f>
        <v/>
      </c>
      <c r="O22" s="31">
        <f>-SUMIFS(Cash_Ledger!$D$5:$D$53,Cash_Ledger!$C$5:$C$53,"&gt;="&amp;O$5,Cash_Ledger!$C$5:$C$53,"&lt;="&amp;O$6,Cash_Ledger!$A$5:$A$53,"storage")</f>
        <v/>
      </c>
      <c r="P22" s="31">
        <f>-SUMIFS(Cash_Ledger!$D$5:$D$53,Cash_Ledger!$C$5:$C$53,"&gt;="&amp;P$5,Cash_Ledger!$C$5:$C$53,"&lt;="&amp;P$6,Cash_Ledger!$A$5:$A$53,"storage")</f>
        <v/>
      </c>
      <c r="Q22" s="31">
        <f>-SUMIFS(Cash_Ledger!$D$5:$D$53,Cash_Ledger!$C$5:$C$53,"&gt;="&amp;Q$5,Cash_Ledger!$C$5:$C$53,"&lt;="&amp;Q$6,Cash_Ledger!$A$5:$A$53,"storage")</f>
        <v/>
      </c>
      <c r="R22" s="31">
        <f>-SUMIFS(Cash_Ledger!$D$5:$D$53,Cash_Ledger!$C$5:$C$53,"&gt;="&amp;R$5,Cash_Ledger!$C$5:$C$53,"&lt;="&amp;R$6,Cash_Ledger!$A$5:$A$53,"storage")</f>
        <v/>
      </c>
      <c r="S22" s="31">
        <f>-SUMIFS(Cash_Ledger!$D$5:$D$53,Cash_Ledger!$C$5:$C$53,"&gt;="&amp;S$5,Cash_Ledger!$C$5:$C$53,"&lt;="&amp;S$6,Cash_Ledger!$A$5:$A$53,"storage")</f>
        <v/>
      </c>
      <c r="T22" s="31">
        <f>-SUMIFS(Cash_Ledger!$D$5:$D$53,Cash_Ledger!$C$5:$C$53,"&gt;="&amp;T$5,Cash_Ledger!$C$5:$C$53,"&lt;="&amp;T$6,Cash_Ledger!$A$5:$A$53,"storage")</f>
        <v/>
      </c>
      <c r="U22" s="31">
        <f>-SUMIFS(Cash_Ledger!$D$5:$D$53,Cash_Ledger!$C$5:$C$53,"&gt;="&amp;U$5,Cash_Ledger!$C$5:$C$53,"&lt;="&amp;U$6,Cash_Ledger!$A$5:$A$53,"storage")</f>
        <v/>
      </c>
      <c r="V22" s="31">
        <f>-SUMIFS(Cash_Ledger!$D$5:$D$53,Cash_Ledger!$C$5:$C$53,"&gt;="&amp;V$5,Cash_Ledger!$C$5:$C$53,"&lt;="&amp;V$6,Cash_Ledger!$A$5:$A$53,"storage")</f>
        <v/>
      </c>
      <c r="W22" s="31">
        <f>-SUMIFS(Cash_Ledger!$D$5:$D$53,Cash_Ledger!$C$5:$C$53,"&gt;="&amp;W$5,Cash_Ledger!$C$5:$C$53,"&lt;="&amp;W$6,Cash_Ledger!$A$5:$A$53,"storage")</f>
        <v/>
      </c>
      <c r="X22" s="31">
        <f>-SUMIFS(Cash_Ledger!$D$5:$D$53,Cash_Ledger!$C$5:$C$53,"&gt;="&amp;X$5,Cash_Ledger!$C$5:$C$53,"&lt;="&amp;X$6,Cash_Ledger!$A$5:$A$53,"storage")</f>
        <v/>
      </c>
      <c r="Y22" s="31">
        <f>-SUMIFS(Cash_Ledger!$D$5:$D$53,Cash_Ledger!$C$5:$C$53,"&gt;="&amp;Y$5,Cash_Ledger!$C$5:$C$53,"&lt;="&amp;Y$6,Cash_Ledger!$A$5:$A$53,"storage")</f>
        <v/>
      </c>
      <c r="Z22" s="31">
        <f>-SUMIFS(Cash_Ledger!$D$5:$D$53,Cash_Ledger!$C$5:$C$53,"&gt;="&amp;Z$5,Cash_Ledger!$C$5:$C$53,"&lt;="&amp;Z$6,Cash_Ledger!$A$5:$A$53,"storage")</f>
        <v/>
      </c>
      <c r="AA22" s="31">
        <f>-SUMIFS(Cash_Ledger!$D$5:$D$53,Cash_Ledger!$C$5:$C$53,"&gt;="&amp;AA$5,Cash_Ledger!$C$5:$C$53,"&lt;="&amp;AA$6,Cash_Ledger!$A$5:$A$53,"storage")</f>
        <v/>
      </c>
      <c r="AB22" s="31">
        <f>-SUMIFS(Cash_Ledger!$D$5:$D$53,Cash_Ledger!$C$5:$C$53,"&gt;="&amp;AB$5,Cash_Ledger!$C$5:$C$53,"&lt;="&amp;AB$6,Cash_Ledger!$A$5:$A$53,"storage")</f>
        <v/>
      </c>
      <c r="AC22" s="33">
        <f>SUM(C22:AB22)</f>
        <v/>
      </c>
    </row>
    <row r="23">
      <c r="B23" t="inlineStr">
        <is>
          <t>Phone</t>
        </is>
      </c>
      <c r="C23" s="31">
        <f>-SUMIFS(Cash_Ledger!$D$5:$D$53,Cash_Ledger!$C$5:$C$53,"&gt;="&amp;C$5,Cash_Ledger!$C$5:$C$53,"&lt;="&amp;C$6,Cash_Ledger!$A$5:$A$53,"phone")</f>
        <v/>
      </c>
      <c r="D23" s="31">
        <f>-SUMIFS(Cash_Ledger!$D$5:$D$53,Cash_Ledger!$C$5:$C$53,"&gt;="&amp;D$5,Cash_Ledger!$C$5:$C$53,"&lt;="&amp;D$6,Cash_Ledger!$A$5:$A$53,"phone")</f>
        <v/>
      </c>
      <c r="E23" s="31">
        <f>-SUMIFS(Cash_Ledger!$D$5:$D$53,Cash_Ledger!$C$5:$C$53,"&gt;="&amp;E$5,Cash_Ledger!$C$5:$C$53,"&lt;="&amp;E$6,Cash_Ledger!$A$5:$A$53,"phone")</f>
        <v/>
      </c>
      <c r="F23" s="31">
        <f>-SUMIFS(Cash_Ledger!$D$5:$D$53,Cash_Ledger!$C$5:$C$53,"&gt;="&amp;F$5,Cash_Ledger!$C$5:$C$53,"&lt;="&amp;F$6,Cash_Ledger!$A$5:$A$53,"phone")</f>
        <v/>
      </c>
      <c r="G23" s="31">
        <f>-SUMIFS(Cash_Ledger!$D$5:$D$53,Cash_Ledger!$C$5:$C$53,"&gt;="&amp;G$5,Cash_Ledger!$C$5:$C$53,"&lt;="&amp;G$6,Cash_Ledger!$A$5:$A$53,"phone")</f>
        <v/>
      </c>
      <c r="H23" s="31">
        <f>-SUMIFS(Cash_Ledger!$D$5:$D$53,Cash_Ledger!$C$5:$C$53,"&gt;="&amp;H$5,Cash_Ledger!$C$5:$C$53,"&lt;="&amp;H$6,Cash_Ledger!$A$5:$A$53,"phone")</f>
        <v/>
      </c>
      <c r="I23" s="31">
        <f>-SUMIFS(Cash_Ledger!$D$5:$D$53,Cash_Ledger!$C$5:$C$53,"&gt;="&amp;I$5,Cash_Ledger!$C$5:$C$53,"&lt;="&amp;I$6,Cash_Ledger!$A$5:$A$53,"phone")</f>
        <v/>
      </c>
      <c r="J23" s="31">
        <f>-SUMIFS(Cash_Ledger!$D$5:$D$53,Cash_Ledger!$C$5:$C$53,"&gt;="&amp;J$5,Cash_Ledger!$C$5:$C$53,"&lt;="&amp;J$6,Cash_Ledger!$A$5:$A$53,"phone")</f>
        <v/>
      </c>
      <c r="K23" s="31">
        <f>-SUMIFS(Cash_Ledger!$D$5:$D$53,Cash_Ledger!$C$5:$C$53,"&gt;="&amp;K$5,Cash_Ledger!$C$5:$C$53,"&lt;="&amp;K$6,Cash_Ledger!$A$5:$A$53,"phone")</f>
        <v/>
      </c>
      <c r="L23" s="31">
        <f>-SUMIFS(Cash_Ledger!$D$5:$D$53,Cash_Ledger!$C$5:$C$53,"&gt;="&amp;L$5,Cash_Ledger!$C$5:$C$53,"&lt;="&amp;L$6,Cash_Ledger!$A$5:$A$53,"phone")</f>
        <v/>
      </c>
      <c r="M23" s="31">
        <f>-SUMIFS(Cash_Ledger!$D$5:$D$53,Cash_Ledger!$C$5:$C$53,"&gt;="&amp;M$5,Cash_Ledger!$C$5:$C$53,"&lt;="&amp;M$6,Cash_Ledger!$A$5:$A$53,"phone")</f>
        <v/>
      </c>
      <c r="N23" s="31">
        <f>-SUMIFS(Cash_Ledger!$D$5:$D$53,Cash_Ledger!$C$5:$C$53,"&gt;="&amp;N$5,Cash_Ledger!$C$5:$C$53,"&lt;="&amp;N$6,Cash_Ledger!$A$5:$A$53,"phone")</f>
        <v/>
      </c>
      <c r="O23" s="31">
        <f>-SUMIFS(Cash_Ledger!$D$5:$D$53,Cash_Ledger!$C$5:$C$53,"&gt;="&amp;O$5,Cash_Ledger!$C$5:$C$53,"&lt;="&amp;O$6,Cash_Ledger!$A$5:$A$53,"phone")</f>
        <v/>
      </c>
      <c r="P23" s="31">
        <f>-SUMIFS(Cash_Ledger!$D$5:$D$53,Cash_Ledger!$C$5:$C$53,"&gt;="&amp;P$5,Cash_Ledger!$C$5:$C$53,"&lt;="&amp;P$6,Cash_Ledger!$A$5:$A$53,"phone")</f>
        <v/>
      </c>
      <c r="Q23" s="31">
        <f>-SUMIFS(Cash_Ledger!$D$5:$D$53,Cash_Ledger!$C$5:$C$53,"&gt;="&amp;Q$5,Cash_Ledger!$C$5:$C$53,"&lt;="&amp;Q$6,Cash_Ledger!$A$5:$A$53,"phone")</f>
        <v/>
      </c>
      <c r="R23" s="31">
        <f>-SUMIFS(Cash_Ledger!$D$5:$D$53,Cash_Ledger!$C$5:$C$53,"&gt;="&amp;R$5,Cash_Ledger!$C$5:$C$53,"&lt;="&amp;R$6,Cash_Ledger!$A$5:$A$53,"phone")</f>
        <v/>
      </c>
      <c r="S23" s="31">
        <f>-SUMIFS(Cash_Ledger!$D$5:$D$53,Cash_Ledger!$C$5:$C$53,"&gt;="&amp;S$5,Cash_Ledger!$C$5:$C$53,"&lt;="&amp;S$6,Cash_Ledger!$A$5:$A$53,"phone")</f>
        <v/>
      </c>
      <c r="T23" s="31">
        <f>-SUMIFS(Cash_Ledger!$D$5:$D$53,Cash_Ledger!$C$5:$C$53,"&gt;="&amp;T$5,Cash_Ledger!$C$5:$C$53,"&lt;="&amp;T$6,Cash_Ledger!$A$5:$A$53,"phone")</f>
        <v/>
      </c>
      <c r="U23" s="31">
        <f>-SUMIFS(Cash_Ledger!$D$5:$D$53,Cash_Ledger!$C$5:$C$53,"&gt;="&amp;U$5,Cash_Ledger!$C$5:$C$53,"&lt;="&amp;U$6,Cash_Ledger!$A$5:$A$53,"phone")</f>
        <v/>
      </c>
      <c r="V23" s="31">
        <f>-SUMIFS(Cash_Ledger!$D$5:$D$53,Cash_Ledger!$C$5:$C$53,"&gt;="&amp;V$5,Cash_Ledger!$C$5:$C$53,"&lt;="&amp;V$6,Cash_Ledger!$A$5:$A$53,"phone")</f>
        <v/>
      </c>
      <c r="W23" s="31">
        <f>-SUMIFS(Cash_Ledger!$D$5:$D$53,Cash_Ledger!$C$5:$C$53,"&gt;="&amp;W$5,Cash_Ledger!$C$5:$C$53,"&lt;="&amp;W$6,Cash_Ledger!$A$5:$A$53,"phone")</f>
        <v/>
      </c>
      <c r="X23" s="31">
        <f>-SUMIFS(Cash_Ledger!$D$5:$D$53,Cash_Ledger!$C$5:$C$53,"&gt;="&amp;X$5,Cash_Ledger!$C$5:$C$53,"&lt;="&amp;X$6,Cash_Ledger!$A$5:$A$53,"phone")</f>
        <v/>
      </c>
      <c r="Y23" s="31">
        <f>-SUMIFS(Cash_Ledger!$D$5:$D$53,Cash_Ledger!$C$5:$C$53,"&gt;="&amp;Y$5,Cash_Ledger!$C$5:$C$53,"&lt;="&amp;Y$6,Cash_Ledger!$A$5:$A$53,"phone")</f>
        <v/>
      </c>
      <c r="Z23" s="31">
        <f>-SUMIFS(Cash_Ledger!$D$5:$D$53,Cash_Ledger!$C$5:$C$53,"&gt;="&amp;Z$5,Cash_Ledger!$C$5:$C$53,"&lt;="&amp;Z$6,Cash_Ledger!$A$5:$A$53,"phone")</f>
        <v/>
      </c>
      <c r="AA23" s="31">
        <f>-SUMIFS(Cash_Ledger!$D$5:$D$53,Cash_Ledger!$C$5:$C$53,"&gt;="&amp;AA$5,Cash_Ledger!$C$5:$C$53,"&lt;="&amp;AA$6,Cash_Ledger!$A$5:$A$53,"phone")</f>
        <v/>
      </c>
      <c r="AB23" s="31">
        <f>-SUMIFS(Cash_Ledger!$D$5:$D$53,Cash_Ledger!$C$5:$C$53,"&gt;="&amp;AB$5,Cash_Ledger!$C$5:$C$53,"&lt;="&amp;AB$6,Cash_Ledger!$A$5:$A$53,"phone")</f>
        <v/>
      </c>
      <c r="AC23" s="33">
        <f>SUM(C23:AB23)</f>
        <v/>
      </c>
    </row>
    <row r="24">
      <c r="B24" s="8" t="inlineStr">
        <is>
          <t>Total overhead</t>
        </is>
      </c>
      <c r="C24" s="33">
        <f>SUM(C20:C23)</f>
        <v/>
      </c>
      <c r="D24" s="33">
        <f>SUM(D20:D23)</f>
        <v/>
      </c>
      <c r="E24" s="33">
        <f>SUM(E20:E23)</f>
        <v/>
      </c>
      <c r="F24" s="33">
        <f>SUM(F20:F23)</f>
        <v/>
      </c>
      <c r="G24" s="33">
        <f>SUM(G20:G23)</f>
        <v/>
      </c>
      <c r="H24" s="33">
        <f>SUM(H20:H23)</f>
        <v/>
      </c>
      <c r="I24" s="33">
        <f>SUM(I20:I23)</f>
        <v/>
      </c>
      <c r="J24" s="33">
        <f>SUM(J20:J23)</f>
        <v/>
      </c>
      <c r="K24" s="33">
        <f>SUM(K20:K23)</f>
        <v/>
      </c>
      <c r="L24" s="33">
        <f>SUM(L20:L23)</f>
        <v/>
      </c>
      <c r="M24" s="33">
        <f>SUM(M20:M23)</f>
        <v/>
      </c>
      <c r="N24" s="33">
        <f>SUM(N20:N23)</f>
        <v/>
      </c>
      <c r="O24" s="33">
        <f>SUM(O20:O23)</f>
        <v/>
      </c>
      <c r="P24" s="33">
        <f>SUM(P20:P23)</f>
        <v/>
      </c>
      <c r="Q24" s="33">
        <f>SUM(Q20:Q23)</f>
        <v/>
      </c>
      <c r="R24" s="33">
        <f>SUM(R20:R23)</f>
        <v/>
      </c>
      <c r="S24" s="33">
        <f>SUM(S20:S23)</f>
        <v/>
      </c>
      <c r="T24" s="33">
        <f>SUM(T20:T23)</f>
        <v/>
      </c>
      <c r="U24" s="33">
        <f>SUM(U20:U23)</f>
        <v/>
      </c>
      <c r="V24" s="33">
        <f>SUM(V20:V23)</f>
        <v/>
      </c>
      <c r="W24" s="33">
        <f>SUM(W20:W23)</f>
        <v/>
      </c>
      <c r="X24" s="33">
        <f>SUM(X20:X23)</f>
        <v/>
      </c>
      <c r="Y24" s="33">
        <f>SUM(Y20:Y23)</f>
        <v/>
      </c>
      <c r="Z24" s="33">
        <f>SUM(Z20:Z23)</f>
        <v/>
      </c>
      <c r="AA24" s="33">
        <f>SUM(AA20:AA23)</f>
        <v/>
      </c>
      <c r="AB24" s="33">
        <f>SUM(AB20:AB23)</f>
        <v/>
      </c>
      <c r="AC24" s="33">
        <f>SUM(C24:AB24)</f>
        <v/>
      </c>
    </row>
    <row r="25">
      <c r="B25" t="inlineStr">
        <is>
          <t>Startup outlays (Inputs section 11)</t>
        </is>
      </c>
      <c r="C25" s="31">
        <f>-SUMIFS(Inputs!$Q$148:$Q$159,Inputs!$R$148:$R$159,"&gt;="&amp;C$5,Inputs!$R$148:$R$159,"&lt;="&amp;C$6)</f>
        <v/>
      </c>
      <c r="D25" s="31">
        <f>-SUMIFS(Inputs!$Q$148:$Q$159,Inputs!$R$148:$R$159,"&gt;="&amp;D$5,Inputs!$R$148:$R$159,"&lt;="&amp;D$6)</f>
        <v/>
      </c>
      <c r="E25" s="31">
        <f>-SUMIFS(Inputs!$Q$148:$Q$159,Inputs!$R$148:$R$159,"&gt;="&amp;E$5,Inputs!$R$148:$R$159,"&lt;="&amp;E$6)</f>
        <v/>
      </c>
      <c r="F25" s="31">
        <f>-SUMIFS(Inputs!$Q$148:$Q$159,Inputs!$R$148:$R$159,"&gt;="&amp;F$5,Inputs!$R$148:$R$159,"&lt;="&amp;F$6)</f>
        <v/>
      </c>
      <c r="G25" s="31">
        <f>-SUMIFS(Inputs!$Q$148:$Q$159,Inputs!$R$148:$R$159,"&gt;="&amp;G$5,Inputs!$R$148:$R$159,"&lt;="&amp;G$6)</f>
        <v/>
      </c>
      <c r="H25" s="31">
        <f>-SUMIFS(Inputs!$Q$148:$Q$159,Inputs!$R$148:$R$159,"&gt;="&amp;H$5,Inputs!$R$148:$R$159,"&lt;="&amp;H$6)</f>
        <v/>
      </c>
      <c r="I25" s="31">
        <f>-SUMIFS(Inputs!$Q$148:$Q$159,Inputs!$R$148:$R$159,"&gt;="&amp;I$5,Inputs!$R$148:$R$159,"&lt;="&amp;I$6)</f>
        <v/>
      </c>
      <c r="J25" s="31">
        <f>-SUMIFS(Inputs!$Q$148:$Q$159,Inputs!$R$148:$R$159,"&gt;="&amp;J$5,Inputs!$R$148:$R$159,"&lt;="&amp;J$6)</f>
        <v/>
      </c>
      <c r="K25" s="31">
        <f>-SUMIFS(Inputs!$Q$148:$Q$159,Inputs!$R$148:$R$159,"&gt;="&amp;K$5,Inputs!$R$148:$R$159,"&lt;="&amp;K$6)</f>
        <v/>
      </c>
      <c r="L25" s="31">
        <f>-SUMIFS(Inputs!$Q$148:$Q$159,Inputs!$R$148:$R$159,"&gt;="&amp;L$5,Inputs!$R$148:$R$159,"&lt;="&amp;L$6)</f>
        <v/>
      </c>
      <c r="M25" s="31">
        <f>-SUMIFS(Inputs!$Q$148:$Q$159,Inputs!$R$148:$R$159,"&gt;="&amp;M$5,Inputs!$R$148:$R$159,"&lt;="&amp;M$6)</f>
        <v/>
      </c>
      <c r="N25" s="31">
        <f>-SUMIFS(Inputs!$Q$148:$Q$159,Inputs!$R$148:$R$159,"&gt;="&amp;N$5,Inputs!$R$148:$R$159,"&lt;="&amp;N$6)</f>
        <v/>
      </c>
      <c r="O25" s="31">
        <f>-SUMIFS(Inputs!$Q$148:$Q$159,Inputs!$R$148:$R$159,"&gt;="&amp;O$5,Inputs!$R$148:$R$159,"&lt;="&amp;O$6)</f>
        <v/>
      </c>
      <c r="P25" s="31">
        <f>-SUMIFS(Inputs!$Q$148:$Q$159,Inputs!$R$148:$R$159,"&gt;="&amp;P$5,Inputs!$R$148:$R$159,"&lt;="&amp;P$6)</f>
        <v/>
      </c>
      <c r="Q25" s="31">
        <f>-SUMIFS(Inputs!$Q$148:$Q$159,Inputs!$R$148:$R$159,"&gt;="&amp;Q$5,Inputs!$R$148:$R$159,"&lt;="&amp;Q$6)</f>
        <v/>
      </c>
      <c r="R25" s="31">
        <f>-SUMIFS(Inputs!$Q$148:$Q$159,Inputs!$R$148:$R$159,"&gt;="&amp;R$5,Inputs!$R$148:$R$159,"&lt;="&amp;R$6)</f>
        <v/>
      </c>
      <c r="S25" s="31">
        <f>-SUMIFS(Inputs!$Q$148:$Q$159,Inputs!$R$148:$R$159,"&gt;="&amp;S$5,Inputs!$R$148:$R$159,"&lt;="&amp;S$6)</f>
        <v/>
      </c>
      <c r="T25" s="31">
        <f>-SUMIFS(Inputs!$Q$148:$Q$159,Inputs!$R$148:$R$159,"&gt;="&amp;T$5,Inputs!$R$148:$R$159,"&lt;="&amp;T$6)</f>
        <v/>
      </c>
      <c r="U25" s="31">
        <f>-SUMIFS(Inputs!$Q$148:$Q$159,Inputs!$R$148:$R$159,"&gt;="&amp;U$5,Inputs!$R$148:$R$159,"&lt;="&amp;U$6)</f>
        <v/>
      </c>
      <c r="V25" s="31">
        <f>-SUMIFS(Inputs!$Q$148:$Q$159,Inputs!$R$148:$R$159,"&gt;="&amp;V$5,Inputs!$R$148:$R$159,"&lt;="&amp;V$6)</f>
        <v/>
      </c>
      <c r="W25" s="31">
        <f>-SUMIFS(Inputs!$Q$148:$Q$159,Inputs!$R$148:$R$159,"&gt;="&amp;W$5,Inputs!$R$148:$R$159,"&lt;="&amp;W$6)</f>
        <v/>
      </c>
      <c r="X25" s="31">
        <f>-SUMIFS(Inputs!$Q$148:$Q$159,Inputs!$R$148:$R$159,"&gt;="&amp;X$5,Inputs!$R$148:$R$159,"&lt;="&amp;X$6)</f>
        <v/>
      </c>
      <c r="Y25" s="31">
        <f>-SUMIFS(Inputs!$Q$148:$Q$159,Inputs!$R$148:$R$159,"&gt;="&amp;Y$5,Inputs!$R$148:$R$159,"&lt;="&amp;Y$6)</f>
        <v/>
      </c>
      <c r="Z25" s="31">
        <f>-SUMIFS(Inputs!$Q$148:$Q$159,Inputs!$R$148:$R$159,"&gt;="&amp;Z$5,Inputs!$R$148:$R$159,"&lt;="&amp;Z$6)</f>
        <v/>
      </c>
      <c r="AA25" s="31">
        <f>-SUMIFS(Inputs!$Q$148:$Q$159,Inputs!$R$148:$R$159,"&gt;="&amp;AA$5,Inputs!$R$148:$R$159,"&lt;="&amp;AA$6)</f>
        <v/>
      </c>
      <c r="AB25" s="31">
        <f>-SUMIFS(Inputs!$Q$148:$Q$159,Inputs!$R$148:$R$159,"&gt;="&amp;AB$5,Inputs!$R$148:$R$159,"&lt;="&amp;AB$6)</f>
        <v/>
      </c>
      <c r="AC25" s="33">
        <f>SUM(C25:AB25)</f>
        <v/>
      </c>
    </row>
    <row r="26">
      <c r="B26" s="8" t="inlineStr">
        <is>
          <t>Net cash flow</t>
        </is>
      </c>
      <c r="C26" s="79">
        <f>C11+C18+C24+C25</f>
        <v/>
      </c>
      <c r="D26" s="79">
        <f>D11+D18+D24+D25</f>
        <v/>
      </c>
      <c r="E26" s="79">
        <f>E11+E18+E24+E25</f>
        <v/>
      </c>
      <c r="F26" s="79">
        <f>F11+F18+F24+F25</f>
        <v/>
      </c>
      <c r="G26" s="79">
        <f>G11+G18+G24+G25</f>
        <v/>
      </c>
      <c r="H26" s="79">
        <f>H11+H18+H24+H25</f>
        <v/>
      </c>
      <c r="I26" s="79">
        <f>I11+I18+I24+I25</f>
        <v/>
      </c>
      <c r="J26" s="79">
        <f>J11+J18+J24+J25</f>
        <v/>
      </c>
      <c r="K26" s="79">
        <f>K11+K18+K24+K25</f>
        <v/>
      </c>
      <c r="L26" s="79">
        <f>L11+L18+L24+L25</f>
        <v/>
      </c>
      <c r="M26" s="79">
        <f>M11+M18+M24+M25</f>
        <v/>
      </c>
      <c r="N26" s="79">
        <f>N11+N18+N24+N25</f>
        <v/>
      </c>
      <c r="O26" s="79">
        <f>O11+O18+O24+O25</f>
        <v/>
      </c>
      <c r="P26" s="79">
        <f>P11+P18+P24+P25</f>
        <v/>
      </c>
      <c r="Q26" s="79">
        <f>Q11+Q18+Q24+Q25</f>
        <v/>
      </c>
      <c r="R26" s="79">
        <f>R11+R18+R24+R25</f>
        <v/>
      </c>
      <c r="S26" s="79">
        <f>S11+S18+S24+S25</f>
        <v/>
      </c>
      <c r="T26" s="79">
        <f>T11+T18+T24+T25</f>
        <v/>
      </c>
      <c r="U26" s="79">
        <f>U11+U18+U24+U25</f>
        <v/>
      </c>
      <c r="V26" s="79">
        <f>V11+V18+V24+V25</f>
        <v/>
      </c>
      <c r="W26" s="79">
        <f>W11+W18+W24+W25</f>
        <v/>
      </c>
      <c r="X26" s="79">
        <f>X11+X18+X24+X25</f>
        <v/>
      </c>
      <c r="Y26" s="79">
        <f>Y11+Y18+Y24+Y25</f>
        <v/>
      </c>
      <c r="Z26" s="79">
        <f>Z11+Z18+Z24+Z25</f>
        <v/>
      </c>
      <c r="AA26" s="79">
        <f>AA11+AA18+AA24+AA25</f>
        <v/>
      </c>
      <c r="AB26" s="79">
        <f>AB11+AB18+AB24+AB25</f>
        <v/>
      </c>
      <c r="AC26" s="79">
        <f>SUM(C26:AB26)</f>
        <v/>
      </c>
    </row>
    <row r="27">
      <c r="B27" s="8" t="inlineStr">
        <is>
          <t>Cumulative net cash flow, before founder cash</t>
        </is>
      </c>
      <c r="C27" s="79">
        <f>C26</f>
        <v/>
      </c>
      <c r="D27" s="79">
        <f>C27+D26</f>
        <v/>
      </c>
      <c r="E27" s="79">
        <f>D27+E26</f>
        <v/>
      </c>
      <c r="F27" s="79">
        <f>E27+F26</f>
        <v/>
      </c>
      <c r="G27" s="79">
        <f>F27+G26</f>
        <v/>
      </c>
      <c r="H27" s="79">
        <f>G27+H26</f>
        <v/>
      </c>
      <c r="I27" s="79">
        <f>H27+I26</f>
        <v/>
      </c>
      <c r="J27" s="79">
        <f>I27+J26</f>
        <v/>
      </c>
      <c r="K27" s="79">
        <f>J27+K26</f>
        <v/>
      </c>
      <c r="L27" s="79">
        <f>K27+L26</f>
        <v/>
      </c>
      <c r="M27" s="79">
        <f>L27+M26</f>
        <v/>
      </c>
      <c r="N27" s="79">
        <f>M27+N26</f>
        <v/>
      </c>
      <c r="O27" s="79">
        <f>N27+O26</f>
        <v/>
      </c>
      <c r="P27" s="79">
        <f>O27+P26</f>
        <v/>
      </c>
      <c r="Q27" s="79">
        <f>P27+Q26</f>
        <v/>
      </c>
      <c r="R27" s="79">
        <f>Q27+R26</f>
        <v/>
      </c>
      <c r="S27" s="79">
        <f>R27+S26</f>
        <v/>
      </c>
      <c r="T27" s="79">
        <f>S27+T26</f>
        <v/>
      </c>
      <c r="U27" s="79">
        <f>T27+U26</f>
        <v/>
      </c>
      <c r="V27" s="79">
        <f>U27+V26</f>
        <v/>
      </c>
      <c r="W27" s="79">
        <f>V27+W26</f>
        <v/>
      </c>
      <c r="X27" s="79">
        <f>W27+X26</f>
        <v/>
      </c>
      <c r="Y27" s="79">
        <f>X27+Y26</f>
        <v/>
      </c>
      <c r="Z27" s="79">
        <f>Y27+Z26</f>
        <v/>
      </c>
      <c r="AA27" s="79">
        <f>Z27+AA26</f>
        <v/>
      </c>
      <c r="AB27" s="79">
        <f>AA27+AB26</f>
        <v/>
      </c>
      <c r="AC27" s="79">
        <f>AB27</f>
        <v/>
      </c>
    </row>
    <row r="28">
      <c r="B28" s="8" t="inlineStr">
        <is>
          <t>Founder cash in</t>
        </is>
      </c>
      <c r="C28" s="33">
        <f>IF(AND(Inputs!$C$106&gt;=C$5,Inputs!$C$106&lt;=C$6),N(Inputs!$C$105),0)</f>
        <v/>
      </c>
      <c r="D28" s="33">
        <f>IF(AND(Inputs!$C$106&gt;=D$5,Inputs!$C$106&lt;=D$6),N(Inputs!$C$105),0)</f>
        <v/>
      </c>
      <c r="E28" s="33">
        <f>IF(AND(Inputs!$C$106&gt;=E$5,Inputs!$C$106&lt;=E$6),N(Inputs!$C$105),0)</f>
        <v/>
      </c>
      <c r="F28" s="33">
        <f>IF(AND(Inputs!$C$106&gt;=F$5,Inputs!$C$106&lt;=F$6),N(Inputs!$C$105),0)</f>
        <v/>
      </c>
      <c r="G28" s="33">
        <f>IF(AND(Inputs!$C$106&gt;=G$5,Inputs!$C$106&lt;=G$6),N(Inputs!$C$105),0)</f>
        <v/>
      </c>
      <c r="H28" s="33">
        <f>IF(AND(Inputs!$C$106&gt;=H$5,Inputs!$C$106&lt;=H$6),N(Inputs!$C$105),0)</f>
        <v/>
      </c>
      <c r="I28" s="33">
        <f>IF(AND(Inputs!$C$106&gt;=I$5,Inputs!$C$106&lt;=I$6),N(Inputs!$C$105),0)</f>
        <v/>
      </c>
      <c r="J28" s="33">
        <f>IF(AND(Inputs!$C$106&gt;=J$5,Inputs!$C$106&lt;=J$6),N(Inputs!$C$105),0)</f>
        <v/>
      </c>
      <c r="K28" s="33">
        <f>IF(AND(Inputs!$C$106&gt;=K$5,Inputs!$C$106&lt;=K$6),N(Inputs!$C$105),0)</f>
        <v/>
      </c>
      <c r="L28" s="33">
        <f>IF(AND(Inputs!$C$106&gt;=L$5,Inputs!$C$106&lt;=L$6),N(Inputs!$C$105),0)</f>
        <v/>
      </c>
      <c r="M28" s="33">
        <f>IF(AND(Inputs!$C$106&gt;=M$5,Inputs!$C$106&lt;=M$6),N(Inputs!$C$105),0)</f>
        <v/>
      </c>
      <c r="N28" s="33">
        <f>IF(AND(Inputs!$C$106&gt;=N$5,Inputs!$C$106&lt;=N$6),N(Inputs!$C$105),0)</f>
        <v/>
      </c>
      <c r="O28" s="33">
        <f>IF(AND(Inputs!$C$106&gt;=O$5,Inputs!$C$106&lt;=O$6),N(Inputs!$C$105),0)</f>
        <v/>
      </c>
      <c r="P28" s="33">
        <f>IF(AND(Inputs!$C$106&gt;=P$5,Inputs!$C$106&lt;=P$6),N(Inputs!$C$105),0)</f>
        <v/>
      </c>
      <c r="Q28" s="33">
        <f>IF(AND(Inputs!$C$106&gt;=Q$5,Inputs!$C$106&lt;=Q$6),N(Inputs!$C$105),0)</f>
        <v/>
      </c>
      <c r="R28" s="33">
        <f>IF(AND(Inputs!$C$106&gt;=R$5,Inputs!$C$106&lt;=R$6),N(Inputs!$C$105),0)</f>
        <v/>
      </c>
      <c r="S28" s="33">
        <f>IF(AND(Inputs!$C$106&gt;=S$5,Inputs!$C$106&lt;=S$6),N(Inputs!$C$105),0)</f>
        <v/>
      </c>
      <c r="T28" s="33">
        <f>IF(AND(Inputs!$C$106&gt;=T$5,Inputs!$C$106&lt;=T$6),N(Inputs!$C$105),0)</f>
        <v/>
      </c>
      <c r="U28" s="33">
        <f>IF(AND(Inputs!$C$106&gt;=U$5,Inputs!$C$106&lt;=U$6),N(Inputs!$C$105),0)</f>
        <v/>
      </c>
      <c r="V28" s="33">
        <f>IF(AND(Inputs!$C$106&gt;=V$5,Inputs!$C$106&lt;=V$6),N(Inputs!$C$105),0)</f>
        <v/>
      </c>
      <c r="W28" s="33">
        <f>IF(AND(Inputs!$C$106&gt;=W$5,Inputs!$C$106&lt;=W$6),N(Inputs!$C$105),0)</f>
        <v/>
      </c>
      <c r="X28" s="33">
        <f>IF(AND(Inputs!$C$106&gt;=X$5,Inputs!$C$106&lt;=X$6),N(Inputs!$C$105),0)</f>
        <v/>
      </c>
      <c r="Y28" s="33">
        <f>IF(AND(Inputs!$C$106&gt;=Y$5,Inputs!$C$106&lt;=Y$6),N(Inputs!$C$105),0)</f>
        <v/>
      </c>
      <c r="Z28" s="33">
        <f>IF(AND(Inputs!$C$106&gt;=Z$5,Inputs!$C$106&lt;=Z$6),N(Inputs!$C$105),0)</f>
        <v/>
      </c>
      <c r="AA28" s="33">
        <f>IF(AND(Inputs!$C$106&gt;=AA$5,Inputs!$C$106&lt;=AA$6),N(Inputs!$C$105),0)</f>
        <v/>
      </c>
      <c r="AB28" s="33">
        <f>IF(AND(Inputs!$C$106&gt;=AB$5,Inputs!$C$106&lt;=AB$6),N(Inputs!$C$105),0)</f>
        <v/>
      </c>
      <c r="AC28" s="33">
        <f>SUM(C28:AB28)</f>
        <v/>
      </c>
    </row>
    <row r="29">
      <c r="B29" s="8" t="inlineStr">
        <is>
          <t>Cash balance with founder cash</t>
        </is>
      </c>
      <c r="C29" s="79">
        <f>C27+SUM($C28:C28)</f>
        <v/>
      </c>
      <c r="D29" s="79">
        <f>D27+SUM($C28:D28)</f>
        <v/>
      </c>
      <c r="E29" s="79">
        <f>E27+SUM($C28:E28)</f>
        <v/>
      </c>
      <c r="F29" s="79">
        <f>F27+SUM($C28:F28)</f>
        <v/>
      </c>
      <c r="G29" s="79">
        <f>G27+SUM($C28:G28)</f>
        <v/>
      </c>
      <c r="H29" s="79">
        <f>H27+SUM($C28:H28)</f>
        <v/>
      </c>
      <c r="I29" s="79">
        <f>I27+SUM($C28:I28)</f>
        <v/>
      </c>
      <c r="J29" s="79">
        <f>J27+SUM($C28:J28)</f>
        <v/>
      </c>
      <c r="K29" s="79">
        <f>K27+SUM($C28:K28)</f>
        <v/>
      </c>
      <c r="L29" s="79">
        <f>L27+SUM($C28:L28)</f>
        <v/>
      </c>
      <c r="M29" s="79">
        <f>M27+SUM($C28:M28)</f>
        <v/>
      </c>
      <c r="N29" s="79">
        <f>N27+SUM($C28:N28)</f>
        <v/>
      </c>
      <c r="O29" s="79">
        <f>O27+SUM($C28:O28)</f>
        <v/>
      </c>
      <c r="P29" s="79">
        <f>P27+SUM($C28:P28)</f>
        <v/>
      </c>
      <c r="Q29" s="79">
        <f>Q27+SUM($C28:Q28)</f>
        <v/>
      </c>
      <c r="R29" s="79">
        <f>R27+SUM($C28:R28)</f>
        <v/>
      </c>
      <c r="S29" s="79">
        <f>S27+SUM($C28:S28)</f>
        <v/>
      </c>
      <c r="T29" s="79">
        <f>T27+SUM($C28:T28)</f>
        <v/>
      </c>
      <c r="U29" s="79">
        <f>U27+SUM($C28:U28)</f>
        <v/>
      </c>
      <c r="V29" s="79">
        <f>V27+SUM($C28:V28)</f>
        <v/>
      </c>
      <c r="W29" s="79">
        <f>W27+SUM($C28:W28)</f>
        <v/>
      </c>
      <c r="X29" s="79">
        <f>X27+SUM($C28:X28)</f>
        <v/>
      </c>
      <c r="Y29" s="79">
        <f>Y27+SUM($C28:Y28)</f>
        <v/>
      </c>
      <c r="Z29" s="79">
        <f>Z27+SUM($C28:Z28)</f>
        <v/>
      </c>
      <c r="AA29" s="79">
        <f>AA27+SUM($C28:AA28)</f>
        <v/>
      </c>
      <c r="AB29" s="79">
        <f>AB27+SUM($C28:AB28)</f>
        <v/>
      </c>
      <c r="AC29" s="79">
        <f>AB29</f>
        <v/>
      </c>
    </row>
    <row r="31">
      <c r="A31" s="3" t="inlineStr">
        <is>
          <t>Lowest point and capital</t>
        </is>
      </c>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row>
    <row r="32">
      <c r="B32" t="inlineStr">
        <is>
          <t>Lowest cumulative net cash flow (before founder cash)</t>
        </is>
      </c>
      <c r="C32" s="13">
        <f>MIN(C27:AB27)</f>
        <v/>
      </c>
    </row>
    <row r="33">
      <c r="B33" t="inlineStr">
        <is>
          <t>Week of the lowest point</t>
        </is>
      </c>
      <c r="C33" s="19">
        <f>INDEX(C4:AB4,MATCH(C32,C27:AB27,0))</f>
        <v/>
      </c>
    </row>
    <row r="34">
      <c r="B34" t="inlineStr">
        <is>
          <t>That week starts</t>
        </is>
      </c>
      <c r="C34" s="80">
        <f>INDEX(C5:AB5,MATCH(C32,C27:AB27,0))</f>
        <v/>
      </c>
    </row>
    <row r="35">
      <c r="B35" t="inlineStr">
        <is>
          <t>Peak cash need (the lowest point, as a positive number)</t>
        </is>
      </c>
      <c r="C35" s="33">
        <f>-MIN(0,C32)</f>
        <v/>
      </c>
    </row>
    <row r="36">
      <c r="B36" t="inlineStr">
        <is>
          <t>Reserve held back (plan)</t>
        </is>
      </c>
      <c r="C36" s="33">
        <f>Inputs!$C$107</f>
        <v/>
      </c>
    </row>
    <row r="37">
      <c r="B37" t="inlineStr">
        <is>
          <t>Capital to commit: peak need plus reserve</t>
        </is>
      </c>
      <c r="C37" s="13">
        <f>C35+C36</f>
        <v/>
      </c>
    </row>
    <row r="38">
      <c r="B38" t="inlineStr">
        <is>
          <t>Plan capital figure, high end (Capital tab)</t>
        </is>
      </c>
      <c r="C38" s="33">
        <f>Capital!D14</f>
        <v/>
      </c>
    </row>
    <row r="39">
      <c r="B39" t="inlineStr">
        <is>
          <t>Gap: plan capital figure minus capital to commit (positive = headroom)</t>
        </is>
      </c>
      <c r="C39" s="13">
        <f>C38-C37</f>
        <v/>
      </c>
    </row>
    <row r="40">
      <c r="B40" t="inlineStr">
        <is>
          <t>Founder cash committed (Inputs)</t>
        </is>
      </c>
      <c r="C40" s="33">
        <f>IF(Inputs!$C$105="","not set",Inputs!$C$105)</f>
        <v/>
      </c>
    </row>
    <row r="41">
      <c r="B41" t="inlineStr">
        <is>
          <t>Lowest cash balance with founder cash</t>
        </is>
      </c>
      <c r="C41" s="33">
        <f>MIN(C29:AB29)</f>
        <v/>
      </c>
    </row>
    <row r="42">
      <c r="B42" t="inlineStr">
        <is>
          <t>Cumulative net cash at the end of week 26</t>
        </is>
      </c>
      <c r="C42" s="33">
        <f>AB27</f>
        <v/>
      </c>
    </row>
    <row r="45">
      <c r="A45" s="3" t="inlineStr">
        <is>
          <t>Monthly view (computed directly from the same sources, as a cross-check of the weekly grid)</t>
        </is>
      </c>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c r="AA45" s="4" t="n"/>
      <c r="AB45" s="4" t="n"/>
      <c r="AC45" s="4" t="n"/>
    </row>
    <row r="46">
      <c r="B46" s="8" t="inlineStr">
        <is>
          <t>Month starts</t>
        </is>
      </c>
      <c r="C46" s="81">
        <f>DATE(YEAR(Inputs!$C$10),MONTH(Inputs!$C$10),1)</f>
        <v/>
      </c>
      <c r="D46" s="81">
        <f>EDATE(C46,1)</f>
        <v/>
      </c>
      <c r="E46" s="81">
        <f>EDATE(D46,1)</f>
        <v/>
      </c>
      <c r="F46" s="81">
        <f>EDATE(E46,1)</f>
        <v/>
      </c>
      <c r="G46" s="81">
        <f>EDATE(F46,1)</f>
        <v/>
      </c>
      <c r="H46" s="81">
        <f>EDATE(G46,1)</f>
        <v/>
      </c>
      <c r="I46" s="81">
        <f>EDATE(H46,1)</f>
        <v/>
      </c>
      <c r="J46" s="82" t="inlineStr">
        <is>
          <t>Six months</t>
        </is>
      </c>
    </row>
    <row r="47">
      <c r="B47" s="8" t="inlineStr">
        <is>
          <t>Counted from</t>
        </is>
      </c>
      <c r="C47" s="78">
        <f>MAX(C46,Inputs!$C$10)</f>
        <v/>
      </c>
      <c r="D47" s="78">
        <f>MAX(D46,Inputs!$C$10)</f>
        <v/>
      </c>
      <c r="E47" s="78">
        <f>MAX(E46,Inputs!$C$10)</f>
        <v/>
      </c>
      <c r="F47" s="78">
        <f>MAX(F46,Inputs!$C$10)</f>
        <v/>
      </c>
      <c r="G47" s="78">
        <f>MAX(G46,Inputs!$C$10)</f>
        <v/>
      </c>
      <c r="H47" s="78">
        <f>MAX(H46,Inputs!$C$10)</f>
        <v/>
      </c>
      <c r="I47" s="78">
        <f>MAX(I46,Inputs!$C$10)</f>
        <v/>
      </c>
    </row>
    <row r="48">
      <c r="B48" s="8" t="inlineStr">
        <is>
          <t>Counted to</t>
        </is>
      </c>
      <c r="C48" s="78">
        <f>MIN(EOMONTH(C46,0),Cash_Flow!$AB$6)</f>
        <v/>
      </c>
      <c r="D48" s="78">
        <f>MIN(EOMONTH(D46,0),Cash_Flow!$AB$6)</f>
        <v/>
      </c>
      <c r="E48" s="78">
        <f>MIN(EOMONTH(E46,0),Cash_Flow!$AB$6)</f>
        <v/>
      </c>
      <c r="F48" s="78">
        <f>MIN(EOMONTH(F46,0),Cash_Flow!$AB$6)</f>
        <v/>
      </c>
      <c r="G48" s="78">
        <f>MIN(EOMONTH(G46,0),Cash_Flow!$AB$6)</f>
        <v/>
      </c>
      <c r="H48" s="78">
        <f>MIN(EOMONTH(H46,0),Cash_Flow!$AB$6)</f>
        <v/>
      </c>
      <c r="I48" s="78">
        <f>MIN(EOMONTH(I46,0),Cash_Flow!$AB$6)</f>
        <v/>
      </c>
    </row>
    <row r="49">
      <c r="B49" t="inlineStr">
        <is>
          <t>Brand receipts, plan (drops without actuals)</t>
        </is>
      </c>
      <c r="C49" s="31">
        <f>SUMIFS(Drop_PnL!$AP$7:$AP$18,Drop_PnL!$AO$7:$AO$18,"&gt;="&amp;C$47,Drop_PnL!$AO$7:$AO$18,"&lt;="&amp;C$48,Drop_PnL!$AZ$7:$AZ$18,"N")+SUMIFS(Drop_PnL!$AR$7:$AR$18,Drop_PnL!$AQ$7:$AQ$18,"&gt;="&amp;C$47,Drop_PnL!$AQ$7:$AQ$18,"&lt;="&amp;C$48,Drop_PnL!$AZ$7:$AZ$18,"N")+SUMIFS(Drop_PnL!$AT$7:$AT$18,Drop_PnL!$AS$7:$AS$18,"&gt;="&amp;C$47,Drop_PnL!$AS$7:$AS$18,"&lt;="&amp;C$48,Drop_PnL!$AZ$7:$AZ$18,"N")</f>
        <v/>
      </c>
      <c r="D49" s="31">
        <f>SUMIFS(Drop_PnL!$AP$7:$AP$18,Drop_PnL!$AO$7:$AO$18,"&gt;="&amp;D$47,Drop_PnL!$AO$7:$AO$18,"&lt;="&amp;D$48,Drop_PnL!$AZ$7:$AZ$18,"N")+SUMIFS(Drop_PnL!$AR$7:$AR$18,Drop_PnL!$AQ$7:$AQ$18,"&gt;="&amp;D$47,Drop_PnL!$AQ$7:$AQ$18,"&lt;="&amp;D$48,Drop_PnL!$AZ$7:$AZ$18,"N")+SUMIFS(Drop_PnL!$AT$7:$AT$18,Drop_PnL!$AS$7:$AS$18,"&gt;="&amp;D$47,Drop_PnL!$AS$7:$AS$18,"&lt;="&amp;D$48,Drop_PnL!$AZ$7:$AZ$18,"N")</f>
        <v/>
      </c>
      <c r="E49" s="31">
        <f>SUMIFS(Drop_PnL!$AP$7:$AP$18,Drop_PnL!$AO$7:$AO$18,"&gt;="&amp;E$47,Drop_PnL!$AO$7:$AO$18,"&lt;="&amp;E$48,Drop_PnL!$AZ$7:$AZ$18,"N")+SUMIFS(Drop_PnL!$AR$7:$AR$18,Drop_PnL!$AQ$7:$AQ$18,"&gt;="&amp;E$47,Drop_PnL!$AQ$7:$AQ$18,"&lt;="&amp;E$48,Drop_PnL!$AZ$7:$AZ$18,"N")+SUMIFS(Drop_PnL!$AT$7:$AT$18,Drop_PnL!$AS$7:$AS$18,"&gt;="&amp;E$47,Drop_PnL!$AS$7:$AS$18,"&lt;="&amp;E$48,Drop_PnL!$AZ$7:$AZ$18,"N")</f>
        <v/>
      </c>
      <c r="F49" s="31">
        <f>SUMIFS(Drop_PnL!$AP$7:$AP$18,Drop_PnL!$AO$7:$AO$18,"&gt;="&amp;F$47,Drop_PnL!$AO$7:$AO$18,"&lt;="&amp;F$48,Drop_PnL!$AZ$7:$AZ$18,"N")+SUMIFS(Drop_PnL!$AR$7:$AR$18,Drop_PnL!$AQ$7:$AQ$18,"&gt;="&amp;F$47,Drop_PnL!$AQ$7:$AQ$18,"&lt;="&amp;F$48,Drop_PnL!$AZ$7:$AZ$18,"N")+SUMIFS(Drop_PnL!$AT$7:$AT$18,Drop_PnL!$AS$7:$AS$18,"&gt;="&amp;F$47,Drop_PnL!$AS$7:$AS$18,"&lt;="&amp;F$48,Drop_PnL!$AZ$7:$AZ$18,"N")</f>
        <v/>
      </c>
      <c r="G49" s="31">
        <f>SUMIFS(Drop_PnL!$AP$7:$AP$18,Drop_PnL!$AO$7:$AO$18,"&gt;="&amp;G$47,Drop_PnL!$AO$7:$AO$18,"&lt;="&amp;G$48,Drop_PnL!$AZ$7:$AZ$18,"N")+SUMIFS(Drop_PnL!$AR$7:$AR$18,Drop_PnL!$AQ$7:$AQ$18,"&gt;="&amp;G$47,Drop_PnL!$AQ$7:$AQ$18,"&lt;="&amp;G$48,Drop_PnL!$AZ$7:$AZ$18,"N")+SUMIFS(Drop_PnL!$AT$7:$AT$18,Drop_PnL!$AS$7:$AS$18,"&gt;="&amp;G$47,Drop_PnL!$AS$7:$AS$18,"&lt;="&amp;G$48,Drop_PnL!$AZ$7:$AZ$18,"N")</f>
        <v/>
      </c>
      <c r="H49" s="31">
        <f>SUMIFS(Drop_PnL!$AP$7:$AP$18,Drop_PnL!$AO$7:$AO$18,"&gt;="&amp;H$47,Drop_PnL!$AO$7:$AO$18,"&lt;="&amp;H$48,Drop_PnL!$AZ$7:$AZ$18,"N")+SUMIFS(Drop_PnL!$AR$7:$AR$18,Drop_PnL!$AQ$7:$AQ$18,"&gt;="&amp;H$47,Drop_PnL!$AQ$7:$AQ$18,"&lt;="&amp;H$48,Drop_PnL!$AZ$7:$AZ$18,"N")+SUMIFS(Drop_PnL!$AT$7:$AT$18,Drop_PnL!$AS$7:$AS$18,"&gt;="&amp;H$47,Drop_PnL!$AS$7:$AS$18,"&lt;="&amp;H$48,Drop_PnL!$AZ$7:$AZ$18,"N")</f>
        <v/>
      </c>
      <c r="I49" s="31">
        <f>SUMIFS(Drop_PnL!$AP$7:$AP$18,Drop_PnL!$AO$7:$AO$18,"&gt;="&amp;I$47,Drop_PnL!$AO$7:$AO$18,"&lt;="&amp;I$48,Drop_PnL!$AZ$7:$AZ$18,"N")+SUMIFS(Drop_PnL!$AR$7:$AR$18,Drop_PnL!$AQ$7:$AQ$18,"&gt;="&amp;I$47,Drop_PnL!$AQ$7:$AQ$18,"&lt;="&amp;I$48,Drop_PnL!$AZ$7:$AZ$18,"N")+SUMIFS(Drop_PnL!$AT$7:$AT$18,Drop_PnL!$AS$7:$AS$18,"&gt;="&amp;I$47,Drop_PnL!$AS$7:$AS$18,"&lt;="&amp;I$48,Drop_PnL!$AZ$7:$AZ$18,"N")</f>
        <v/>
      </c>
      <c r="J49" s="33">
        <f>SUM(C49:I49)</f>
        <v/>
      </c>
    </row>
    <row r="50">
      <c r="B50" t="inlineStr">
        <is>
          <t>Brand receipts, actual (drops with actuals)</t>
        </is>
      </c>
      <c r="C50" s="31">
        <f>SUMIFS(Actuals_Campaigns!$X$5:$X$204,Actuals_Campaigns!$Y$5:$Y$204,"&gt;="&amp;C$47,Actuals_Campaigns!$Y$5:$Y$204,"&lt;="&amp;C$48,Actuals_Campaigns!$AB$5:$AB$204,"Y")+SUMIFS(Actuals_Campaigns!$AC$5:$AC$204,Actuals_Campaigns!$S$5:$S$204,"&gt;="&amp;C$47,Actuals_Campaigns!$S$5:$S$204,"&lt;="&amp;C$48,Actuals_Campaigns!$AB$5:$AB$204,"Y")</f>
        <v/>
      </c>
      <c r="D50" s="31">
        <f>SUMIFS(Actuals_Campaigns!$X$5:$X$204,Actuals_Campaigns!$Y$5:$Y$204,"&gt;="&amp;D$47,Actuals_Campaigns!$Y$5:$Y$204,"&lt;="&amp;D$48,Actuals_Campaigns!$AB$5:$AB$204,"Y")+SUMIFS(Actuals_Campaigns!$AC$5:$AC$204,Actuals_Campaigns!$S$5:$S$204,"&gt;="&amp;D$47,Actuals_Campaigns!$S$5:$S$204,"&lt;="&amp;D$48,Actuals_Campaigns!$AB$5:$AB$204,"Y")</f>
        <v/>
      </c>
      <c r="E50" s="31">
        <f>SUMIFS(Actuals_Campaigns!$X$5:$X$204,Actuals_Campaigns!$Y$5:$Y$204,"&gt;="&amp;E$47,Actuals_Campaigns!$Y$5:$Y$204,"&lt;="&amp;E$48,Actuals_Campaigns!$AB$5:$AB$204,"Y")+SUMIFS(Actuals_Campaigns!$AC$5:$AC$204,Actuals_Campaigns!$S$5:$S$204,"&gt;="&amp;E$47,Actuals_Campaigns!$S$5:$S$204,"&lt;="&amp;E$48,Actuals_Campaigns!$AB$5:$AB$204,"Y")</f>
        <v/>
      </c>
      <c r="F50" s="31">
        <f>SUMIFS(Actuals_Campaigns!$X$5:$X$204,Actuals_Campaigns!$Y$5:$Y$204,"&gt;="&amp;F$47,Actuals_Campaigns!$Y$5:$Y$204,"&lt;="&amp;F$48,Actuals_Campaigns!$AB$5:$AB$204,"Y")+SUMIFS(Actuals_Campaigns!$AC$5:$AC$204,Actuals_Campaigns!$S$5:$S$204,"&gt;="&amp;F$47,Actuals_Campaigns!$S$5:$S$204,"&lt;="&amp;F$48,Actuals_Campaigns!$AB$5:$AB$204,"Y")</f>
        <v/>
      </c>
      <c r="G50" s="31">
        <f>SUMIFS(Actuals_Campaigns!$X$5:$X$204,Actuals_Campaigns!$Y$5:$Y$204,"&gt;="&amp;G$47,Actuals_Campaigns!$Y$5:$Y$204,"&lt;="&amp;G$48,Actuals_Campaigns!$AB$5:$AB$204,"Y")+SUMIFS(Actuals_Campaigns!$AC$5:$AC$204,Actuals_Campaigns!$S$5:$S$204,"&gt;="&amp;G$47,Actuals_Campaigns!$S$5:$S$204,"&lt;="&amp;G$48,Actuals_Campaigns!$AB$5:$AB$204,"Y")</f>
        <v/>
      </c>
      <c r="H50" s="31">
        <f>SUMIFS(Actuals_Campaigns!$X$5:$X$204,Actuals_Campaigns!$Y$5:$Y$204,"&gt;="&amp;H$47,Actuals_Campaigns!$Y$5:$Y$204,"&lt;="&amp;H$48,Actuals_Campaigns!$AB$5:$AB$204,"Y")+SUMIFS(Actuals_Campaigns!$AC$5:$AC$204,Actuals_Campaigns!$S$5:$S$204,"&gt;="&amp;H$47,Actuals_Campaigns!$S$5:$S$204,"&lt;="&amp;H$48,Actuals_Campaigns!$AB$5:$AB$204,"Y")</f>
        <v/>
      </c>
      <c r="I50" s="31">
        <f>SUMIFS(Actuals_Campaigns!$X$5:$X$204,Actuals_Campaigns!$Y$5:$Y$204,"&gt;="&amp;I$47,Actuals_Campaigns!$Y$5:$Y$204,"&lt;="&amp;I$48,Actuals_Campaigns!$AB$5:$AB$204,"Y")+SUMIFS(Actuals_Campaigns!$AC$5:$AC$204,Actuals_Campaigns!$S$5:$S$204,"&gt;="&amp;I$47,Actuals_Campaigns!$S$5:$S$204,"&lt;="&amp;I$48,Actuals_Campaigns!$AB$5:$AB$204,"Y")</f>
        <v/>
      </c>
      <c r="J50" s="33">
        <f>SUM(C50:I50)</f>
        <v/>
      </c>
    </row>
    <row r="51">
      <c r="B51" s="8" t="inlineStr">
        <is>
          <t>Total receipts</t>
        </is>
      </c>
      <c r="C51" s="33">
        <f>C49+C50</f>
        <v/>
      </c>
      <c r="D51" s="33">
        <f>D49+D50</f>
        <v/>
      </c>
      <c r="E51" s="33">
        <f>E49+E50</f>
        <v/>
      </c>
      <c r="F51" s="33">
        <f>F49+F50</f>
        <v/>
      </c>
      <c r="G51" s="33">
        <f>G49+G50</f>
        <v/>
      </c>
      <c r="H51" s="33">
        <f>H49+H50</f>
        <v/>
      </c>
      <c r="I51" s="33">
        <f>I49+I50</f>
        <v/>
      </c>
      <c r="J51" s="33">
        <f>SUM(C51:I51)</f>
        <v/>
      </c>
    </row>
    <row r="52">
      <c r="B52" t="inlineStr">
        <is>
          <t>Display kits, plan</t>
        </is>
      </c>
      <c r="C52" s="31">
        <f>-SUMIFS(Drop_PnL!$T$7:$T$18,Drop_PnL!$AX$7:$AX$18,"&gt;="&amp;C$47,Drop_PnL!$AX$7:$AX$18,"&lt;="&amp;C$48,Drop_PnL!$AZ$7:$AZ$18,"N")</f>
        <v/>
      </c>
      <c r="D52" s="31">
        <f>-SUMIFS(Drop_PnL!$T$7:$T$18,Drop_PnL!$AX$7:$AX$18,"&gt;="&amp;D$47,Drop_PnL!$AX$7:$AX$18,"&lt;="&amp;D$48,Drop_PnL!$AZ$7:$AZ$18,"N")</f>
        <v/>
      </c>
      <c r="E52" s="31">
        <f>-SUMIFS(Drop_PnL!$T$7:$T$18,Drop_PnL!$AX$7:$AX$18,"&gt;="&amp;E$47,Drop_PnL!$AX$7:$AX$18,"&lt;="&amp;E$48,Drop_PnL!$AZ$7:$AZ$18,"N")</f>
        <v/>
      </c>
      <c r="F52" s="31">
        <f>-SUMIFS(Drop_PnL!$T$7:$T$18,Drop_PnL!$AX$7:$AX$18,"&gt;="&amp;F$47,Drop_PnL!$AX$7:$AX$18,"&lt;="&amp;F$48,Drop_PnL!$AZ$7:$AZ$18,"N")</f>
        <v/>
      </c>
      <c r="G52" s="31">
        <f>-SUMIFS(Drop_PnL!$T$7:$T$18,Drop_PnL!$AX$7:$AX$18,"&gt;="&amp;G$47,Drop_PnL!$AX$7:$AX$18,"&lt;="&amp;G$48,Drop_PnL!$AZ$7:$AZ$18,"N")</f>
        <v/>
      </c>
      <c r="H52" s="31">
        <f>-SUMIFS(Drop_PnL!$T$7:$T$18,Drop_PnL!$AX$7:$AX$18,"&gt;="&amp;H$47,Drop_PnL!$AX$7:$AX$18,"&lt;="&amp;H$48,Drop_PnL!$AZ$7:$AZ$18,"N")</f>
        <v/>
      </c>
      <c r="I52" s="31">
        <f>-SUMIFS(Drop_PnL!$T$7:$T$18,Drop_PnL!$AX$7:$AX$18,"&gt;="&amp;I$47,Drop_PnL!$AX$7:$AX$18,"&lt;="&amp;I$48,Drop_PnL!$AZ$7:$AZ$18,"N")</f>
        <v/>
      </c>
      <c r="J52" s="33">
        <f>SUM(C52:I52)</f>
        <v/>
      </c>
    </row>
    <row r="53">
      <c r="B53" t="inlineStr">
        <is>
          <t>Transport, plan</t>
        </is>
      </c>
      <c r="C53" s="31">
        <f>-SUMIFS(Drop_PnL!$U$7:$U$18,Drop_PnL!$AY$7:$AY$18,"&gt;="&amp;C$47,Drop_PnL!$AY$7:$AY$18,"&lt;="&amp;C$48,Drop_PnL!$AZ$7:$AZ$18,"N")</f>
        <v/>
      </c>
      <c r="D53" s="31">
        <f>-SUMIFS(Drop_PnL!$U$7:$U$18,Drop_PnL!$AY$7:$AY$18,"&gt;="&amp;D$47,Drop_PnL!$AY$7:$AY$18,"&lt;="&amp;D$48,Drop_PnL!$AZ$7:$AZ$18,"N")</f>
        <v/>
      </c>
      <c r="E53" s="31">
        <f>-SUMIFS(Drop_PnL!$U$7:$U$18,Drop_PnL!$AY$7:$AY$18,"&gt;="&amp;E$47,Drop_PnL!$AY$7:$AY$18,"&lt;="&amp;E$48,Drop_PnL!$AZ$7:$AZ$18,"N")</f>
        <v/>
      </c>
      <c r="F53" s="31">
        <f>-SUMIFS(Drop_PnL!$U$7:$U$18,Drop_PnL!$AY$7:$AY$18,"&gt;="&amp;F$47,Drop_PnL!$AY$7:$AY$18,"&lt;="&amp;F$48,Drop_PnL!$AZ$7:$AZ$18,"N")</f>
        <v/>
      </c>
      <c r="G53" s="31">
        <f>-SUMIFS(Drop_PnL!$U$7:$U$18,Drop_PnL!$AY$7:$AY$18,"&gt;="&amp;G$47,Drop_PnL!$AY$7:$AY$18,"&lt;="&amp;G$48,Drop_PnL!$AZ$7:$AZ$18,"N")</f>
        <v/>
      </c>
      <c r="H53" s="31">
        <f>-SUMIFS(Drop_PnL!$U$7:$U$18,Drop_PnL!$AY$7:$AY$18,"&gt;="&amp;H$47,Drop_PnL!$AY$7:$AY$18,"&lt;="&amp;H$48,Drop_PnL!$AZ$7:$AZ$18,"N")</f>
        <v/>
      </c>
      <c r="I53" s="31">
        <f>-SUMIFS(Drop_PnL!$U$7:$U$18,Drop_PnL!$AY$7:$AY$18,"&gt;="&amp;I$47,Drop_PnL!$AY$7:$AY$18,"&lt;="&amp;I$48,Drop_PnL!$AZ$7:$AZ$18,"N")</f>
        <v/>
      </c>
      <c r="J53" s="33">
        <f>SUM(C53:I53)</f>
        <v/>
      </c>
    </row>
    <row r="54">
      <c r="B54" t="inlineStr">
        <is>
          <t>Kit mailing, plan (needs quote)</t>
        </is>
      </c>
      <c r="C54" s="31">
        <f>-SUMIFS(Drop_PnL!$V$7:$V$18,Drop_PnL!$AX$7:$AX$18,"&gt;="&amp;C$47,Drop_PnL!$AX$7:$AX$18,"&lt;="&amp;C$48,Drop_PnL!$AZ$7:$AZ$18,"N")</f>
        <v/>
      </c>
      <c r="D54" s="31">
        <f>-SUMIFS(Drop_PnL!$V$7:$V$18,Drop_PnL!$AX$7:$AX$18,"&gt;="&amp;D$47,Drop_PnL!$AX$7:$AX$18,"&lt;="&amp;D$48,Drop_PnL!$AZ$7:$AZ$18,"N")</f>
        <v/>
      </c>
      <c r="E54" s="31">
        <f>-SUMIFS(Drop_PnL!$V$7:$V$18,Drop_PnL!$AX$7:$AX$18,"&gt;="&amp;E$47,Drop_PnL!$AX$7:$AX$18,"&lt;="&amp;E$48,Drop_PnL!$AZ$7:$AZ$18,"N")</f>
        <v/>
      </c>
      <c r="F54" s="31">
        <f>-SUMIFS(Drop_PnL!$V$7:$V$18,Drop_PnL!$AX$7:$AX$18,"&gt;="&amp;F$47,Drop_PnL!$AX$7:$AX$18,"&lt;="&amp;F$48,Drop_PnL!$AZ$7:$AZ$18,"N")</f>
        <v/>
      </c>
      <c r="G54" s="31">
        <f>-SUMIFS(Drop_PnL!$V$7:$V$18,Drop_PnL!$AX$7:$AX$18,"&gt;="&amp;G$47,Drop_PnL!$AX$7:$AX$18,"&lt;="&amp;G$48,Drop_PnL!$AZ$7:$AZ$18,"N")</f>
        <v/>
      </c>
      <c r="H54" s="31">
        <f>-SUMIFS(Drop_PnL!$V$7:$V$18,Drop_PnL!$AX$7:$AX$18,"&gt;="&amp;H$47,Drop_PnL!$AX$7:$AX$18,"&lt;="&amp;H$48,Drop_PnL!$AZ$7:$AZ$18,"N")</f>
        <v/>
      </c>
      <c r="I54" s="31">
        <f>-SUMIFS(Drop_PnL!$V$7:$V$18,Drop_PnL!$AX$7:$AX$18,"&gt;="&amp;I$47,Drop_PnL!$AX$7:$AX$18,"&lt;="&amp;I$48,Drop_PnL!$AZ$7:$AZ$18,"N")</f>
        <v/>
      </c>
      <c r="J54" s="33">
        <f>SUM(C54:I54)</f>
        <v/>
      </c>
    </row>
    <row r="55">
      <c r="B55" t="inlineStr">
        <is>
          <t>Card processing, plan</t>
        </is>
      </c>
      <c r="C55" s="31">
        <f>-(SUMIFS(Drop_PnL!$AU$7:$AU$18,Drop_PnL!$AO$7:$AO$18,"&gt;="&amp;C$47,Drop_PnL!$AO$7:$AO$18,"&lt;="&amp;C$48,Drop_PnL!$AZ$7:$AZ$18,"N")+SUMIFS(Drop_PnL!$AV$7:$AV$18,Drop_PnL!$AQ$7:$AQ$18,"&gt;="&amp;C$47,Drop_PnL!$AQ$7:$AQ$18,"&lt;="&amp;C$48,Drop_PnL!$AZ$7:$AZ$18,"N")+SUMIFS(Drop_PnL!$AW$7:$AW$18,Drop_PnL!$AS$7:$AS$18,"&gt;="&amp;C$47,Drop_PnL!$AS$7:$AS$18,"&lt;="&amp;C$48,Drop_PnL!$AZ$7:$AZ$18,"N"))</f>
        <v/>
      </c>
      <c r="D55" s="31">
        <f>-(SUMIFS(Drop_PnL!$AU$7:$AU$18,Drop_PnL!$AO$7:$AO$18,"&gt;="&amp;D$47,Drop_PnL!$AO$7:$AO$18,"&lt;="&amp;D$48,Drop_PnL!$AZ$7:$AZ$18,"N")+SUMIFS(Drop_PnL!$AV$7:$AV$18,Drop_PnL!$AQ$7:$AQ$18,"&gt;="&amp;D$47,Drop_PnL!$AQ$7:$AQ$18,"&lt;="&amp;D$48,Drop_PnL!$AZ$7:$AZ$18,"N")+SUMIFS(Drop_PnL!$AW$7:$AW$18,Drop_PnL!$AS$7:$AS$18,"&gt;="&amp;D$47,Drop_PnL!$AS$7:$AS$18,"&lt;="&amp;D$48,Drop_PnL!$AZ$7:$AZ$18,"N"))</f>
        <v/>
      </c>
      <c r="E55" s="31">
        <f>-(SUMIFS(Drop_PnL!$AU$7:$AU$18,Drop_PnL!$AO$7:$AO$18,"&gt;="&amp;E$47,Drop_PnL!$AO$7:$AO$18,"&lt;="&amp;E$48,Drop_PnL!$AZ$7:$AZ$18,"N")+SUMIFS(Drop_PnL!$AV$7:$AV$18,Drop_PnL!$AQ$7:$AQ$18,"&gt;="&amp;E$47,Drop_PnL!$AQ$7:$AQ$18,"&lt;="&amp;E$48,Drop_PnL!$AZ$7:$AZ$18,"N")+SUMIFS(Drop_PnL!$AW$7:$AW$18,Drop_PnL!$AS$7:$AS$18,"&gt;="&amp;E$47,Drop_PnL!$AS$7:$AS$18,"&lt;="&amp;E$48,Drop_PnL!$AZ$7:$AZ$18,"N"))</f>
        <v/>
      </c>
      <c r="F55" s="31">
        <f>-(SUMIFS(Drop_PnL!$AU$7:$AU$18,Drop_PnL!$AO$7:$AO$18,"&gt;="&amp;F$47,Drop_PnL!$AO$7:$AO$18,"&lt;="&amp;F$48,Drop_PnL!$AZ$7:$AZ$18,"N")+SUMIFS(Drop_PnL!$AV$7:$AV$18,Drop_PnL!$AQ$7:$AQ$18,"&gt;="&amp;F$47,Drop_PnL!$AQ$7:$AQ$18,"&lt;="&amp;F$48,Drop_PnL!$AZ$7:$AZ$18,"N")+SUMIFS(Drop_PnL!$AW$7:$AW$18,Drop_PnL!$AS$7:$AS$18,"&gt;="&amp;F$47,Drop_PnL!$AS$7:$AS$18,"&lt;="&amp;F$48,Drop_PnL!$AZ$7:$AZ$18,"N"))</f>
        <v/>
      </c>
      <c r="G55" s="31">
        <f>-(SUMIFS(Drop_PnL!$AU$7:$AU$18,Drop_PnL!$AO$7:$AO$18,"&gt;="&amp;G$47,Drop_PnL!$AO$7:$AO$18,"&lt;="&amp;G$48,Drop_PnL!$AZ$7:$AZ$18,"N")+SUMIFS(Drop_PnL!$AV$7:$AV$18,Drop_PnL!$AQ$7:$AQ$18,"&gt;="&amp;G$47,Drop_PnL!$AQ$7:$AQ$18,"&lt;="&amp;G$48,Drop_PnL!$AZ$7:$AZ$18,"N")+SUMIFS(Drop_PnL!$AW$7:$AW$18,Drop_PnL!$AS$7:$AS$18,"&gt;="&amp;G$47,Drop_PnL!$AS$7:$AS$18,"&lt;="&amp;G$48,Drop_PnL!$AZ$7:$AZ$18,"N"))</f>
        <v/>
      </c>
      <c r="H55" s="31">
        <f>-(SUMIFS(Drop_PnL!$AU$7:$AU$18,Drop_PnL!$AO$7:$AO$18,"&gt;="&amp;H$47,Drop_PnL!$AO$7:$AO$18,"&lt;="&amp;H$48,Drop_PnL!$AZ$7:$AZ$18,"N")+SUMIFS(Drop_PnL!$AV$7:$AV$18,Drop_PnL!$AQ$7:$AQ$18,"&gt;="&amp;H$47,Drop_PnL!$AQ$7:$AQ$18,"&lt;="&amp;H$48,Drop_PnL!$AZ$7:$AZ$18,"N")+SUMIFS(Drop_PnL!$AW$7:$AW$18,Drop_PnL!$AS$7:$AS$18,"&gt;="&amp;H$47,Drop_PnL!$AS$7:$AS$18,"&lt;="&amp;H$48,Drop_PnL!$AZ$7:$AZ$18,"N"))</f>
        <v/>
      </c>
      <c r="I55" s="31">
        <f>-(SUMIFS(Drop_PnL!$AU$7:$AU$18,Drop_PnL!$AO$7:$AO$18,"&gt;="&amp;I$47,Drop_PnL!$AO$7:$AO$18,"&lt;="&amp;I$48,Drop_PnL!$AZ$7:$AZ$18,"N")+SUMIFS(Drop_PnL!$AV$7:$AV$18,Drop_PnL!$AQ$7:$AQ$18,"&gt;="&amp;I$47,Drop_PnL!$AQ$7:$AQ$18,"&lt;="&amp;I$48,Drop_PnL!$AZ$7:$AZ$18,"N")+SUMIFS(Drop_PnL!$AW$7:$AW$18,Drop_PnL!$AS$7:$AS$18,"&gt;="&amp;I$47,Drop_PnL!$AS$7:$AS$18,"&lt;="&amp;I$48,Drop_PnL!$AZ$7:$AZ$18,"N"))</f>
        <v/>
      </c>
      <c r="J55" s="33">
        <f>SUM(C55:I55)</f>
        <v/>
      </c>
    </row>
    <row r="56">
      <c r="B56" t="inlineStr">
        <is>
          <t>Direct costs and processing, actual</t>
        </is>
      </c>
      <c r="C56" s="31">
        <f>-(SUMIFS(Actuals_DropCosts!$F$5:$F$104,Actuals_DropCosts!$B$5:$B$104,"&gt;="&amp;C$47,Actuals_DropCosts!$B$5:$B$104,"&lt;="&amp;C$48,Actuals_DropCosts!$K$5:$K$104,"Y")+SUMIFS(Actuals_DropCosts!$G$5:$G$104,Actuals_DropCosts!$B$5:$B$104,"&gt;="&amp;C$47,Actuals_DropCosts!$B$5:$B$104,"&lt;="&amp;C$48,Actuals_DropCosts!$K$5:$K$104,"Y")+SUMIFS(Actuals_DropCosts!$H$5:$H$104,Actuals_DropCosts!$B$5:$B$104,"&gt;="&amp;C$47,Actuals_DropCosts!$B$5:$B$104,"&lt;="&amp;C$48,Actuals_DropCosts!$K$5:$K$104,"Y")+SUMIFS(Actuals_Campaigns!$T$5:$T$204,Actuals_Campaigns!$S$5:$S$204,"&gt;="&amp;C$47,Actuals_Campaigns!$S$5:$S$204,"&lt;="&amp;C$48,Actuals_Campaigns!$AB$5:$AB$204,"Y"))</f>
        <v/>
      </c>
      <c r="D56" s="31">
        <f>-(SUMIFS(Actuals_DropCosts!$F$5:$F$104,Actuals_DropCosts!$B$5:$B$104,"&gt;="&amp;D$47,Actuals_DropCosts!$B$5:$B$104,"&lt;="&amp;D$48,Actuals_DropCosts!$K$5:$K$104,"Y")+SUMIFS(Actuals_DropCosts!$G$5:$G$104,Actuals_DropCosts!$B$5:$B$104,"&gt;="&amp;D$47,Actuals_DropCosts!$B$5:$B$104,"&lt;="&amp;D$48,Actuals_DropCosts!$K$5:$K$104,"Y")+SUMIFS(Actuals_DropCosts!$H$5:$H$104,Actuals_DropCosts!$B$5:$B$104,"&gt;="&amp;D$47,Actuals_DropCosts!$B$5:$B$104,"&lt;="&amp;D$48,Actuals_DropCosts!$K$5:$K$104,"Y")+SUMIFS(Actuals_Campaigns!$T$5:$T$204,Actuals_Campaigns!$S$5:$S$204,"&gt;="&amp;D$47,Actuals_Campaigns!$S$5:$S$204,"&lt;="&amp;D$48,Actuals_Campaigns!$AB$5:$AB$204,"Y"))</f>
        <v/>
      </c>
      <c r="E56" s="31">
        <f>-(SUMIFS(Actuals_DropCosts!$F$5:$F$104,Actuals_DropCosts!$B$5:$B$104,"&gt;="&amp;E$47,Actuals_DropCosts!$B$5:$B$104,"&lt;="&amp;E$48,Actuals_DropCosts!$K$5:$K$104,"Y")+SUMIFS(Actuals_DropCosts!$G$5:$G$104,Actuals_DropCosts!$B$5:$B$104,"&gt;="&amp;E$47,Actuals_DropCosts!$B$5:$B$104,"&lt;="&amp;E$48,Actuals_DropCosts!$K$5:$K$104,"Y")+SUMIFS(Actuals_DropCosts!$H$5:$H$104,Actuals_DropCosts!$B$5:$B$104,"&gt;="&amp;E$47,Actuals_DropCosts!$B$5:$B$104,"&lt;="&amp;E$48,Actuals_DropCosts!$K$5:$K$104,"Y")+SUMIFS(Actuals_Campaigns!$T$5:$T$204,Actuals_Campaigns!$S$5:$S$204,"&gt;="&amp;E$47,Actuals_Campaigns!$S$5:$S$204,"&lt;="&amp;E$48,Actuals_Campaigns!$AB$5:$AB$204,"Y"))</f>
        <v/>
      </c>
      <c r="F56" s="31">
        <f>-(SUMIFS(Actuals_DropCosts!$F$5:$F$104,Actuals_DropCosts!$B$5:$B$104,"&gt;="&amp;F$47,Actuals_DropCosts!$B$5:$B$104,"&lt;="&amp;F$48,Actuals_DropCosts!$K$5:$K$104,"Y")+SUMIFS(Actuals_DropCosts!$G$5:$G$104,Actuals_DropCosts!$B$5:$B$104,"&gt;="&amp;F$47,Actuals_DropCosts!$B$5:$B$104,"&lt;="&amp;F$48,Actuals_DropCosts!$K$5:$K$104,"Y")+SUMIFS(Actuals_DropCosts!$H$5:$H$104,Actuals_DropCosts!$B$5:$B$104,"&gt;="&amp;F$47,Actuals_DropCosts!$B$5:$B$104,"&lt;="&amp;F$48,Actuals_DropCosts!$K$5:$K$104,"Y")+SUMIFS(Actuals_Campaigns!$T$5:$T$204,Actuals_Campaigns!$S$5:$S$204,"&gt;="&amp;F$47,Actuals_Campaigns!$S$5:$S$204,"&lt;="&amp;F$48,Actuals_Campaigns!$AB$5:$AB$204,"Y"))</f>
        <v/>
      </c>
      <c r="G56" s="31">
        <f>-(SUMIFS(Actuals_DropCosts!$F$5:$F$104,Actuals_DropCosts!$B$5:$B$104,"&gt;="&amp;G$47,Actuals_DropCosts!$B$5:$B$104,"&lt;="&amp;G$48,Actuals_DropCosts!$K$5:$K$104,"Y")+SUMIFS(Actuals_DropCosts!$G$5:$G$104,Actuals_DropCosts!$B$5:$B$104,"&gt;="&amp;G$47,Actuals_DropCosts!$B$5:$B$104,"&lt;="&amp;G$48,Actuals_DropCosts!$K$5:$K$104,"Y")+SUMIFS(Actuals_DropCosts!$H$5:$H$104,Actuals_DropCosts!$B$5:$B$104,"&gt;="&amp;G$47,Actuals_DropCosts!$B$5:$B$104,"&lt;="&amp;G$48,Actuals_DropCosts!$K$5:$K$104,"Y")+SUMIFS(Actuals_Campaigns!$T$5:$T$204,Actuals_Campaigns!$S$5:$S$204,"&gt;="&amp;G$47,Actuals_Campaigns!$S$5:$S$204,"&lt;="&amp;G$48,Actuals_Campaigns!$AB$5:$AB$204,"Y"))</f>
        <v/>
      </c>
      <c r="H56" s="31">
        <f>-(SUMIFS(Actuals_DropCosts!$F$5:$F$104,Actuals_DropCosts!$B$5:$B$104,"&gt;="&amp;H$47,Actuals_DropCosts!$B$5:$B$104,"&lt;="&amp;H$48,Actuals_DropCosts!$K$5:$K$104,"Y")+SUMIFS(Actuals_DropCosts!$G$5:$G$104,Actuals_DropCosts!$B$5:$B$104,"&gt;="&amp;H$47,Actuals_DropCosts!$B$5:$B$104,"&lt;="&amp;H$48,Actuals_DropCosts!$K$5:$K$104,"Y")+SUMIFS(Actuals_DropCosts!$H$5:$H$104,Actuals_DropCosts!$B$5:$B$104,"&gt;="&amp;H$47,Actuals_DropCosts!$B$5:$B$104,"&lt;="&amp;H$48,Actuals_DropCosts!$K$5:$K$104,"Y")+SUMIFS(Actuals_Campaigns!$T$5:$T$204,Actuals_Campaigns!$S$5:$S$204,"&gt;="&amp;H$47,Actuals_Campaigns!$S$5:$S$204,"&lt;="&amp;H$48,Actuals_Campaigns!$AB$5:$AB$204,"Y"))</f>
        <v/>
      </c>
      <c r="I56" s="31">
        <f>-(SUMIFS(Actuals_DropCosts!$F$5:$F$104,Actuals_DropCosts!$B$5:$B$104,"&gt;="&amp;I$47,Actuals_DropCosts!$B$5:$B$104,"&lt;="&amp;I$48,Actuals_DropCosts!$K$5:$K$104,"Y")+SUMIFS(Actuals_DropCosts!$G$5:$G$104,Actuals_DropCosts!$B$5:$B$104,"&gt;="&amp;I$47,Actuals_DropCosts!$B$5:$B$104,"&lt;="&amp;I$48,Actuals_DropCosts!$K$5:$K$104,"Y")+SUMIFS(Actuals_DropCosts!$H$5:$H$104,Actuals_DropCosts!$B$5:$B$104,"&gt;="&amp;I$47,Actuals_DropCosts!$B$5:$B$104,"&lt;="&amp;I$48,Actuals_DropCosts!$K$5:$K$104,"Y")+SUMIFS(Actuals_Campaigns!$T$5:$T$204,Actuals_Campaigns!$S$5:$S$204,"&gt;="&amp;I$47,Actuals_Campaigns!$S$5:$S$204,"&lt;="&amp;I$48,Actuals_Campaigns!$AB$5:$AB$204,"Y"))</f>
        <v/>
      </c>
      <c r="J56" s="33">
        <f>SUM(C56:I56)</f>
        <v/>
      </c>
    </row>
    <row r="57">
      <c r="B57" s="8" t="inlineStr">
        <is>
          <t>Total direct costs</t>
        </is>
      </c>
      <c r="C57" s="33">
        <f>C52+C53+C54+C55+C56</f>
        <v/>
      </c>
      <c r="D57" s="33">
        <f>D52+D53+D54+D55+D56</f>
        <v/>
      </c>
      <c r="E57" s="33">
        <f>E52+E53+E54+E55+E56</f>
        <v/>
      </c>
      <c r="F57" s="33">
        <f>F52+F53+F54+F55+F56</f>
        <v/>
      </c>
      <c r="G57" s="33">
        <f>G52+G53+G54+G55+G56</f>
        <v/>
      </c>
      <c r="H57" s="33">
        <f>H52+H53+H54+H55+H56</f>
        <v/>
      </c>
      <c r="I57" s="33">
        <f>I52+I53+I54+I55+I56</f>
        <v/>
      </c>
      <c r="J57" s="33">
        <f>SUM(C57:I57)</f>
        <v/>
      </c>
    </row>
    <row r="58">
      <c r="B58" t="inlineStr">
        <is>
          <t>Software</t>
        </is>
      </c>
      <c r="C58" s="31">
        <f>-SUMIFS(Cash_Ledger!$D$5:$D$53,Cash_Ledger!$C$5:$C$53,"&gt;="&amp;C$47,Cash_Ledger!$C$5:$C$53,"&lt;="&amp;C$48,Cash_Ledger!$A$5:$A$53,"software")</f>
        <v/>
      </c>
      <c r="D58" s="31">
        <f>-SUMIFS(Cash_Ledger!$D$5:$D$53,Cash_Ledger!$C$5:$C$53,"&gt;="&amp;D$47,Cash_Ledger!$C$5:$C$53,"&lt;="&amp;D$48,Cash_Ledger!$A$5:$A$53,"software")</f>
        <v/>
      </c>
      <c r="E58" s="31">
        <f>-SUMIFS(Cash_Ledger!$D$5:$D$53,Cash_Ledger!$C$5:$C$53,"&gt;="&amp;E$47,Cash_Ledger!$C$5:$C$53,"&lt;="&amp;E$48,Cash_Ledger!$A$5:$A$53,"software")</f>
        <v/>
      </c>
      <c r="F58" s="31">
        <f>-SUMIFS(Cash_Ledger!$D$5:$D$53,Cash_Ledger!$C$5:$C$53,"&gt;="&amp;F$47,Cash_Ledger!$C$5:$C$53,"&lt;="&amp;F$48,Cash_Ledger!$A$5:$A$53,"software")</f>
        <v/>
      </c>
      <c r="G58" s="31">
        <f>-SUMIFS(Cash_Ledger!$D$5:$D$53,Cash_Ledger!$C$5:$C$53,"&gt;="&amp;G$47,Cash_Ledger!$C$5:$C$53,"&lt;="&amp;G$48,Cash_Ledger!$A$5:$A$53,"software")</f>
        <v/>
      </c>
      <c r="H58" s="31">
        <f>-SUMIFS(Cash_Ledger!$D$5:$D$53,Cash_Ledger!$C$5:$C$53,"&gt;="&amp;H$47,Cash_Ledger!$C$5:$C$53,"&lt;="&amp;H$48,Cash_Ledger!$A$5:$A$53,"software")</f>
        <v/>
      </c>
      <c r="I58" s="31">
        <f>-SUMIFS(Cash_Ledger!$D$5:$D$53,Cash_Ledger!$C$5:$C$53,"&gt;="&amp;I$47,Cash_Ledger!$C$5:$C$53,"&lt;="&amp;I$48,Cash_Ledger!$A$5:$A$53,"software")</f>
        <v/>
      </c>
      <c r="J58" s="33">
        <f>SUM(C58:I58)</f>
        <v/>
      </c>
    </row>
    <row r="59">
      <c r="B59" t="inlineStr">
        <is>
          <t>Insurance</t>
        </is>
      </c>
      <c r="C59" s="31">
        <f>-SUMIFS(Cash_Ledger!$D$5:$D$53,Cash_Ledger!$C$5:$C$53,"&gt;="&amp;C$47,Cash_Ledger!$C$5:$C$53,"&lt;="&amp;C$48,Cash_Ledger!$A$5:$A$53,"insurance")</f>
        <v/>
      </c>
      <c r="D59" s="31">
        <f>-SUMIFS(Cash_Ledger!$D$5:$D$53,Cash_Ledger!$C$5:$C$53,"&gt;="&amp;D$47,Cash_Ledger!$C$5:$C$53,"&lt;="&amp;D$48,Cash_Ledger!$A$5:$A$53,"insurance")</f>
        <v/>
      </c>
      <c r="E59" s="31">
        <f>-SUMIFS(Cash_Ledger!$D$5:$D$53,Cash_Ledger!$C$5:$C$53,"&gt;="&amp;E$47,Cash_Ledger!$C$5:$C$53,"&lt;="&amp;E$48,Cash_Ledger!$A$5:$A$53,"insurance")</f>
        <v/>
      </c>
      <c r="F59" s="31">
        <f>-SUMIFS(Cash_Ledger!$D$5:$D$53,Cash_Ledger!$C$5:$C$53,"&gt;="&amp;F$47,Cash_Ledger!$C$5:$C$53,"&lt;="&amp;F$48,Cash_Ledger!$A$5:$A$53,"insurance")</f>
        <v/>
      </c>
      <c r="G59" s="31">
        <f>-SUMIFS(Cash_Ledger!$D$5:$D$53,Cash_Ledger!$C$5:$C$53,"&gt;="&amp;G$47,Cash_Ledger!$C$5:$C$53,"&lt;="&amp;G$48,Cash_Ledger!$A$5:$A$53,"insurance")</f>
        <v/>
      </c>
      <c r="H59" s="31">
        <f>-SUMIFS(Cash_Ledger!$D$5:$D$53,Cash_Ledger!$C$5:$C$53,"&gt;="&amp;H$47,Cash_Ledger!$C$5:$C$53,"&lt;="&amp;H$48,Cash_Ledger!$A$5:$A$53,"insurance")</f>
        <v/>
      </c>
      <c r="I59" s="31">
        <f>-SUMIFS(Cash_Ledger!$D$5:$D$53,Cash_Ledger!$C$5:$C$53,"&gt;="&amp;I$47,Cash_Ledger!$C$5:$C$53,"&lt;="&amp;I$48,Cash_Ledger!$A$5:$A$53,"insurance")</f>
        <v/>
      </c>
      <c r="J59" s="33">
        <f>SUM(C59:I59)</f>
        <v/>
      </c>
    </row>
    <row r="60">
      <c r="B60" t="inlineStr">
        <is>
          <t>Storage</t>
        </is>
      </c>
      <c r="C60" s="31">
        <f>-SUMIFS(Cash_Ledger!$D$5:$D$53,Cash_Ledger!$C$5:$C$53,"&gt;="&amp;C$47,Cash_Ledger!$C$5:$C$53,"&lt;="&amp;C$48,Cash_Ledger!$A$5:$A$53,"storage")</f>
        <v/>
      </c>
      <c r="D60" s="31">
        <f>-SUMIFS(Cash_Ledger!$D$5:$D$53,Cash_Ledger!$C$5:$C$53,"&gt;="&amp;D$47,Cash_Ledger!$C$5:$C$53,"&lt;="&amp;D$48,Cash_Ledger!$A$5:$A$53,"storage")</f>
        <v/>
      </c>
      <c r="E60" s="31">
        <f>-SUMIFS(Cash_Ledger!$D$5:$D$53,Cash_Ledger!$C$5:$C$53,"&gt;="&amp;E$47,Cash_Ledger!$C$5:$C$53,"&lt;="&amp;E$48,Cash_Ledger!$A$5:$A$53,"storage")</f>
        <v/>
      </c>
      <c r="F60" s="31">
        <f>-SUMIFS(Cash_Ledger!$D$5:$D$53,Cash_Ledger!$C$5:$C$53,"&gt;="&amp;F$47,Cash_Ledger!$C$5:$C$53,"&lt;="&amp;F$48,Cash_Ledger!$A$5:$A$53,"storage")</f>
        <v/>
      </c>
      <c r="G60" s="31">
        <f>-SUMIFS(Cash_Ledger!$D$5:$D$53,Cash_Ledger!$C$5:$C$53,"&gt;="&amp;G$47,Cash_Ledger!$C$5:$C$53,"&lt;="&amp;G$48,Cash_Ledger!$A$5:$A$53,"storage")</f>
        <v/>
      </c>
      <c r="H60" s="31">
        <f>-SUMIFS(Cash_Ledger!$D$5:$D$53,Cash_Ledger!$C$5:$C$53,"&gt;="&amp;H$47,Cash_Ledger!$C$5:$C$53,"&lt;="&amp;H$48,Cash_Ledger!$A$5:$A$53,"storage")</f>
        <v/>
      </c>
      <c r="I60" s="31">
        <f>-SUMIFS(Cash_Ledger!$D$5:$D$53,Cash_Ledger!$C$5:$C$53,"&gt;="&amp;I$47,Cash_Ledger!$C$5:$C$53,"&lt;="&amp;I$48,Cash_Ledger!$A$5:$A$53,"storage")</f>
        <v/>
      </c>
      <c r="J60" s="33">
        <f>SUM(C60:I60)</f>
        <v/>
      </c>
    </row>
    <row r="61">
      <c r="B61" t="inlineStr">
        <is>
          <t>Phone</t>
        </is>
      </c>
      <c r="C61" s="31">
        <f>-SUMIFS(Cash_Ledger!$D$5:$D$53,Cash_Ledger!$C$5:$C$53,"&gt;="&amp;C$47,Cash_Ledger!$C$5:$C$53,"&lt;="&amp;C$48,Cash_Ledger!$A$5:$A$53,"phone")</f>
        <v/>
      </c>
      <c r="D61" s="31">
        <f>-SUMIFS(Cash_Ledger!$D$5:$D$53,Cash_Ledger!$C$5:$C$53,"&gt;="&amp;D$47,Cash_Ledger!$C$5:$C$53,"&lt;="&amp;D$48,Cash_Ledger!$A$5:$A$53,"phone")</f>
        <v/>
      </c>
      <c r="E61" s="31">
        <f>-SUMIFS(Cash_Ledger!$D$5:$D$53,Cash_Ledger!$C$5:$C$53,"&gt;="&amp;E$47,Cash_Ledger!$C$5:$C$53,"&lt;="&amp;E$48,Cash_Ledger!$A$5:$A$53,"phone")</f>
        <v/>
      </c>
      <c r="F61" s="31">
        <f>-SUMIFS(Cash_Ledger!$D$5:$D$53,Cash_Ledger!$C$5:$C$53,"&gt;="&amp;F$47,Cash_Ledger!$C$5:$C$53,"&lt;="&amp;F$48,Cash_Ledger!$A$5:$A$53,"phone")</f>
        <v/>
      </c>
      <c r="G61" s="31">
        <f>-SUMIFS(Cash_Ledger!$D$5:$D$53,Cash_Ledger!$C$5:$C$53,"&gt;="&amp;G$47,Cash_Ledger!$C$5:$C$53,"&lt;="&amp;G$48,Cash_Ledger!$A$5:$A$53,"phone")</f>
        <v/>
      </c>
      <c r="H61" s="31">
        <f>-SUMIFS(Cash_Ledger!$D$5:$D$53,Cash_Ledger!$C$5:$C$53,"&gt;="&amp;H$47,Cash_Ledger!$C$5:$C$53,"&lt;="&amp;H$48,Cash_Ledger!$A$5:$A$53,"phone")</f>
        <v/>
      </c>
      <c r="I61" s="31">
        <f>-SUMIFS(Cash_Ledger!$D$5:$D$53,Cash_Ledger!$C$5:$C$53,"&gt;="&amp;I$47,Cash_Ledger!$C$5:$C$53,"&lt;="&amp;I$48,Cash_Ledger!$A$5:$A$53,"phone")</f>
        <v/>
      </c>
      <c r="J61" s="33">
        <f>SUM(C61:I61)</f>
        <v/>
      </c>
    </row>
    <row r="62">
      <c r="B62" s="8" t="inlineStr">
        <is>
          <t>Total overhead</t>
        </is>
      </c>
      <c r="C62" s="33">
        <f>C58+C59+C60+C61</f>
        <v/>
      </c>
      <c r="D62" s="33">
        <f>D58+D59+D60+D61</f>
        <v/>
      </c>
      <c r="E62" s="33">
        <f>E58+E59+E60+E61</f>
        <v/>
      </c>
      <c r="F62" s="33">
        <f>F58+F59+F60+F61</f>
        <v/>
      </c>
      <c r="G62" s="33">
        <f>G58+G59+G60+G61</f>
        <v/>
      </c>
      <c r="H62" s="33">
        <f>H58+H59+H60+H61</f>
        <v/>
      </c>
      <c r="I62" s="33">
        <f>I58+I59+I60+I61</f>
        <v/>
      </c>
      <c r="J62" s="33">
        <f>SUM(C62:I62)</f>
        <v/>
      </c>
    </row>
    <row r="63">
      <c r="B63" t="inlineStr">
        <is>
          <t>Startup outlays (Inputs section 11)</t>
        </is>
      </c>
      <c r="C63" s="31">
        <f>-SUMIFS(Inputs!$Q$148:$Q$159,Inputs!$R$148:$R$159,"&gt;="&amp;C$47,Inputs!$R$148:$R$159,"&lt;="&amp;C$48)</f>
        <v/>
      </c>
      <c r="D63" s="31">
        <f>-SUMIFS(Inputs!$Q$148:$Q$159,Inputs!$R$148:$R$159,"&gt;="&amp;D$47,Inputs!$R$148:$R$159,"&lt;="&amp;D$48)</f>
        <v/>
      </c>
      <c r="E63" s="31">
        <f>-SUMIFS(Inputs!$Q$148:$Q$159,Inputs!$R$148:$R$159,"&gt;="&amp;E$47,Inputs!$R$148:$R$159,"&lt;="&amp;E$48)</f>
        <v/>
      </c>
      <c r="F63" s="31">
        <f>-SUMIFS(Inputs!$Q$148:$Q$159,Inputs!$R$148:$R$159,"&gt;="&amp;F$47,Inputs!$R$148:$R$159,"&lt;="&amp;F$48)</f>
        <v/>
      </c>
      <c r="G63" s="31">
        <f>-SUMIFS(Inputs!$Q$148:$Q$159,Inputs!$R$148:$R$159,"&gt;="&amp;G$47,Inputs!$R$148:$R$159,"&lt;="&amp;G$48)</f>
        <v/>
      </c>
      <c r="H63" s="31">
        <f>-SUMIFS(Inputs!$Q$148:$Q$159,Inputs!$R$148:$R$159,"&gt;="&amp;H$47,Inputs!$R$148:$R$159,"&lt;="&amp;H$48)</f>
        <v/>
      </c>
      <c r="I63" s="31">
        <f>-SUMIFS(Inputs!$Q$148:$Q$159,Inputs!$R$148:$R$159,"&gt;="&amp;I$47,Inputs!$R$148:$R$159,"&lt;="&amp;I$48)</f>
        <v/>
      </c>
      <c r="J63" s="33">
        <f>SUM(C63:I63)</f>
        <v/>
      </c>
    </row>
    <row r="64">
      <c r="B64" s="8" t="inlineStr">
        <is>
          <t>Net cash flow</t>
        </is>
      </c>
      <c r="C64" s="33">
        <f>C51+C57+C62+C63</f>
        <v/>
      </c>
      <c r="D64" s="33">
        <f>D51+D57+D62+D63</f>
        <v/>
      </c>
      <c r="E64" s="33">
        <f>E51+E57+E62+E63</f>
        <v/>
      </c>
      <c r="F64" s="33">
        <f>F51+F57+F62+F63</f>
        <v/>
      </c>
      <c r="G64" s="33">
        <f>G51+G57+G62+G63</f>
        <v/>
      </c>
      <c r="H64" s="33">
        <f>H51+H57+H62+H63</f>
        <v/>
      </c>
      <c r="I64" s="33">
        <f>I51+I57+I62+I63</f>
        <v/>
      </c>
      <c r="J64" s="33">
        <f>SUM(C64:I64)</f>
        <v/>
      </c>
    </row>
    <row r="66">
      <c r="B66" s="8" t="inlineStr">
        <is>
          <t>Check: monthly six-month net equals the weekly six-month net (difference)</t>
        </is>
      </c>
      <c r="C66" s="83">
        <f>J64-AC26</f>
        <v/>
      </c>
    </row>
    <row r="67">
      <c r="B67" t="inlineStr">
        <is>
          <t>Overhead allocated to drops in the six months (a view, not paid)</t>
        </is>
      </c>
      <c r="C67" s="31">
        <f>SUMIFS(Drop_PnL!$AM$7:$AM$18,Drop_PnL!$B$7:$B$18,"&gt;="&amp;Inputs!$C$10,Drop_PnL!$B$7:$B$18,"&lt;="&amp;Cash_Flow!$AB$6)</f>
        <v/>
      </c>
    </row>
    <row r="68">
      <c r="B68" t="inlineStr">
        <is>
          <t>Overhead paid in the six months (Cash_Ledger)</t>
        </is>
      </c>
      <c r="C68" s="31">
        <f>-AC24</f>
        <v/>
      </c>
    </row>
    <row r="69">
      <c r="B69" t="inlineStr">
        <is>
          <t>Overhead not absorbed by drops (paid less allocated)</t>
        </is>
      </c>
      <c r="C69" s="33">
        <f>C68-C67</f>
        <v/>
      </c>
    </row>
  </sheetData>
  <mergeCells count="1">
    <mergeCell ref="A3:AC3"/>
  </mergeCells>
  <conditionalFormatting sqref="C27:AB27">
    <cfRule type="cellIs" priority="1" operator="lessThan" dxfId="7">
      <formula>0</formula>
    </cfRule>
  </conditionalFormatting>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M59"/>
  <sheetViews>
    <sheetView zoomScale="90" workbookViewId="0">
      <pane xSplit="1" ySplit="6" topLeftCell="B7" activePane="bottomRight" state="frozen"/>
      <selection pane="topRight"/>
      <selection pane="bottomLeft"/>
      <selection pane="bottomRight" activeCell="A1" sqref="A1"/>
    </sheetView>
  </sheetViews>
  <sheetFormatPr baseColWidth="8" defaultRowHeight="15"/>
  <cols>
    <col width="44" customWidth="1" min="1" max="1"/>
    <col width="50" customWidth="1" min="2" max="2"/>
    <col width="16" customWidth="1" min="3" max="3"/>
    <col width="16" customWidth="1" min="4" max="4"/>
    <col width="16" customWidth="1" min="5" max="5"/>
    <col width="48"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Monthly steady state and break-even</t>
        </is>
      </c>
    </row>
    <row r="2">
      <c r="A2" s="2" t="inlineStr">
        <is>
          <t>Engine rows below compute one drop; the monthly view multiplies by drops per month and pays overhead once.</t>
        </is>
      </c>
    </row>
    <row r="3">
      <c r="A3" s="7" t="inlineStr">
        <is>
          <t>Planning estimates, not a forecast. 'Plan reading (e)' reproduces the plan's monthly picture; 'Active scenario' uses the scenario in force on Inputs.</t>
        </is>
      </c>
    </row>
    <row r="5">
      <c r="A5" s="76" t="inlineStr">
        <is>
          <t>Case</t>
        </is>
      </c>
      <c r="E5" s="76" t="inlineStr">
        <is>
          <t>Inputs to the engine</t>
        </is>
      </c>
      <c r="N5" s="76" t="inlineStr">
        <is>
          <t>Revenue</t>
        </is>
      </c>
      <c r="T5" s="76" t="inlineStr">
        <is>
          <t>Hard costs</t>
        </is>
      </c>
      <c r="AB5" s="76" t="inlineStr">
        <is>
          <t>Founder hours by activity</t>
        </is>
      </c>
      <c r="AJ5" s="76" t="inlineStr">
        <is>
          <t>Result</t>
        </is>
      </c>
      <c r="AL5" s="76" t="inlineStr">
        <is>
          <t>Split</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row>
    <row r="7">
      <c r="A7" s="58" t="inlineStr">
        <is>
          <t>Plan reading (e): one three-brand courier drop, all new brands</t>
        </is>
      </c>
      <c r="B7" s="57" t="n"/>
      <c r="C7" s="58" t="inlineStr">
        <is>
          <t>courier</t>
        </is>
      </c>
      <c r="D7" s="58" t="inlineStr">
        <is>
          <t>standard</t>
        </is>
      </c>
      <c r="E7" s="62" t="n">
        <v>10</v>
      </c>
      <c r="F7" s="62" t="n">
        <v>0</v>
      </c>
      <c r="G7" s="58" t="n">
        <v>3</v>
      </c>
      <c r="H7" s="58" t="n">
        <v>0</v>
      </c>
      <c r="I7" s="58" t="n">
        <v>0</v>
      </c>
      <c r="J7" s="53" t="n">
        <v>150</v>
      </c>
      <c r="K7" s="31">
        <f>Inputs!$C$36</f>
        <v/>
      </c>
      <c r="L7" s="62" t="n">
        <v>1</v>
      </c>
      <c r="M7" s="62" t="n">
        <v>1</v>
      </c>
      <c r="N7" s="18">
        <f>IF(G7&gt;0,1,0)</f>
        <v/>
      </c>
      <c r="O7">
        <f>IF(D7="founding",G7-H7,0)</f>
        <v/>
      </c>
      <c r="P7">
        <f>IF(D7="standard",G7-H7,0)</f>
        <v/>
      </c>
      <c r="Q7" s="31">
        <f>O7*(K7*MIN(E7,Inputs!$C$37)+Inputs!$C$39*MAX(E7-Inputs!$C$37,0))+I7*K7*E7</f>
        <v/>
      </c>
      <c r="R7" s="31">
        <f>(P7+H7-I7)*(J7*MIN(E7,Inputs!$C$34)+Inputs!$C$39*MAX(E7-Inputs!$C$34,0))</f>
        <v/>
      </c>
      <c r="S7" s="33">
        <f>Q7+R7</f>
        <v/>
      </c>
      <c r="T7" s="31">
        <f>N7*E7*(Inputs!$C$58+Inputs!$C$59*MAX(G7-1,0))</f>
        <v/>
      </c>
      <c r="U7" s="31">
        <f>IF(N7=0,0,INDEX(Inputs!$C$95:$C$97,MATCH(C7,Inputs!$B$95:$B$97,0))+INDEX(Inputs!$D$95:$D$97,MATCH(C7,Inputs!$B$95:$B$97,0))*E7)</f>
        <v/>
      </c>
      <c r="V7" s="31">
        <f>IF(N7=0,0,INDEX(Inputs!$E$95:$E$97,MATCH(C7,Inputs!$B$95:$B$97,0))*E7)</f>
        <v/>
      </c>
      <c r="W7" s="31">
        <f>S7*Inputs!$C$48*M7</f>
        <v/>
      </c>
      <c r="X7" s="31">
        <f>N7*L7*Inputs!$C$66/Inputs!$C$75</f>
        <v/>
      </c>
      <c r="Y7" s="31">
        <f>N7*Inputs!$C$69/Inputs!$C$75</f>
        <v/>
      </c>
      <c r="Z7" s="31">
        <f>N7*Inputs!$C$71/Inputs!$C$75</f>
        <v/>
      </c>
      <c r="AA7" s="33">
        <f>SUM(T7:Z7)</f>
        <v/>
      </c>
      <c r="AB7" s="32">
        <f>O7*Inputs!$C$79+P7*Inputs!$C$83+H7*Inputs!$C$84</f>
        <v/>
      </c>
      <c r="AC7" s="32">
        <f>N7*(F7*Inputs!$C$85+(E7-F7)*Inputs!$C$86)</f>
        <v/>
      </c>
      <c r="AD7" s="32">
        <f>IF(N7=0,0,INDEX(Inputs!$F$95:$F$97,MATCH(C7,Inputs!$B$95:$B$97,0))+Inputs!$C$87*G7)</f>
        <v/>
      </c>
      <c r="AE7" s="32">
        <f>IF(N7=0,0,INDEX(Inputs!$G$95:$G$97,MATCH(C7,Inputs!$B$95:$B$97,0))*E7)</f>
        <v/>
      </c>
      <c r="AF7" s="32">
        <f>IF(N7=0,0,INDEX(Inputs!$H$95:$H$97,MATCH(C7,Inputs!$B$95:$B$97,0))*E7)</f>
        <v/>
      </c>
      <c r="AG7" s="32">
        <f>Inputs!$C$88*G7</f>
        <v/>
      </c>
      <c r="AH7" s="32">
        <f>N7*Inputs!$C$89</f>
        <v/>
      </c>
      <c r="AI7" s="34">
        <f>SUM(AB7:AH7)</f>
        <v/>
      </c>
      <c r="AJ7" s="33">
        <f>S7-AA7</f>
        <v/>
      </c>
      <c r="AK7" s="27">
        <f>IF(AI7&gt;0,AJ7/AI7,"n/a")</f>
        <v/>
      </c>
      <c r="AL7" s="31">
        <f>T7+U7+V7+W7</f>
        <v/>
      </c>
      <c r="AM7" s="31">
        <f>X7+Y7+Z7</f>
        <v/>
      </c>
    </row>
    <row r="8">
      <c r="A8" t="inlineStr">
        <is>
          <t>Active scenario: one steady-state drop</t>
        </is>
      </c>
      <c r="B8" s="17" t="n"/>
      <c r="C8">
        <f>Inputs!$C$103</f>
        <v/>
      </c>
      <c r="D8" t="inlineStr">
        <is>
          <t>standard</t>
        </is>
      </c>
      <c r="E8" s="18">
        <f>Inputs!$C$104</f>
        <v/>
      </c>
      <c r="F8" s="18" t="n">
        <v>0</v>
      </c>
      <c r="G8">
        <f>Scenarios!$H$16</f>
        <v/>
      </c>
      <c r="H8">
        <f>Scenarios!$H$12*G8</f>
        <v/>
      </c>
      <c r="I8" t="n">
        <v>0</v>
      </c>
      <c r="J8" s="31">
        <f>Scenarios!$H$14</f>
        <v/>
      </c>
      <c r="K8" s="31">
        <f>Inputs!$C$36</f>
        <v/>
      </c>
      <c r="L8" s="18">
        <f>IF(Inputs!$C$65="unit",1,0)</f>
        <v/>
      </c>
      <c r="M8" s="18">
        <f>Inputs!$C$49</f>
        <v/>
      </c>
      <c r="N8" s="18">
        <f>IF(G8&gt;0,1,0)</f>
        <v/>
      </c>
      <c r="O8">
        <f>IF(D8="founding",G8-H8,0)</f>
        <v/>
      </c>
      <c r="P8">
        <f>IF(D8="standard",G8-H8,0)</f>
        <v/>
      </c>
      <c r="Q8" s="31">
        <f>O8*(K8*MIN(E8,Inputs!$C$37)+Inputs!$C$39*MAX(E8-Inputs!$C$37,0))+I8*K8*E8</f>
        <v/>
      </c>
      <c r="R8" s="31">
        <f>(P8+H8-I8)*(J8*MIN(E8,Inputs!$C$34)+Inputs!$C$39*MAX(E8-Inputs!$C$34,0))</f>
        <v/>
      </c>
      <c r="S8" s="33">
        <f>Q8+R8</f>
        <v/>
      </c>
      <c r="T8" s="31">
        <f>N8*E8*(Inputs!$C$58+Inputs!$C$59*MAX(G8-1,0))</f>
        <v/>
      </c>
      <c r="U8" s="31">
        <f>IF(N8=0,0,INDEX(Inputs!$C$95:$C$97,MATCH(C8,Inputs!$B$95:$B$97,0))+INDEX(Inputs!$D$95:$D$97,MATCH(C8,Inputs!$B$95:$B$97,0))*E8)</f>
        <v/>
      </c>
      <c r="V8" s="31">
        <f>IF(N8=0,0,INDEX(Inputs!$E$95:$E$97,MATCH(C8,Inputs!$B$95:$B$97,0))*E8)</f>
        <v/>
      </c>
      <c r="W8" s="31">
        <f>S8*Inputs!$C$48*M8</f>
        <v/>
      </c>
      <c r="X8" s="31">
        <f>N8*L8*Inputs!$C$66/Inputs!$C$75</f>
        <v/>
      </c>
      <c r="Y8" s="31">
        <f>N8*Inputs!$C$69/Inputs!$C$75</f>
        <v/>
      </c>
      <c r="Z8" s="31">
        <f>N8*Inputs!$C$71/Inputs!$C$75</f>
        <v/>
      </c>
      <c r="AA8" s="33">
        <f>SUM(T8:Z8)</f>
        <v/>
      </c>
      <c r="AB8" s="32">
        <f>O8*Inputs!$C$79+P8*Inputs!$C$83+H8*Inputs!$C$84</f>
        <v/>
      </c>
      <c r="AC8" s="32">
        <f>N8*(F8*Inputs!$C$85+(E8-F8)*Inputs!$C$86)</f>
        <v/>
      </c>
      <c r="AD8" s="32">
        <f>IF(N8=0,0,INDEX(Inputs!$F$95:$F$97,MATCH(C8,Inputs!$B$95:$B$97,0))+Inputs!$C$87*G8)</f>
        <v/>
      </c>
      <c r="AE8" s="32">
        <f>IF(N8=0,0,INDEX(Inputs!$G$95:$G$97,MATCH(C8,Inputs!$B$95:$B$97,0))*E8)</f>
        <v/>
      </c>
      <c r="AF8" s="32">
        <f>IF(N8=0,0,INDEX(Inputs!$H$95:$H$97,MATCH(C8,Inputs!$B$95:$B$97,0))*E8)</f>
        <v/>
      </c>
      <c r="AG8" s="32">
        <f>Inputs!$C$88*G8</f>
        <v/>
      </c>
      <c r="AH8" s="32">
        <f>N8*Inputs!$C$89</f>
        <v/>
      </c>
      <c r="AI8" s="34">
        <f>SUM(AB8:AH8)</f>
        <v/>
      </c>
      <c r="AJ8" s="33">
        <f>S8-AA8</f>
        <v/>
      </c>
      <c r="AK8" s="27">
        <f>IF(AI8&gt;0,AJ8/AI8,"n/a")</f>
        <v/>
      </c>
      <c r="AL8" s="31">
        <f>T8+U8+V8+W8</f>
        <v/>
      </c>
      <c r="AM8" s="31">
        <f>X8+Y8+Z8</f>
        <v/>
      </c>
    </row>
    <row r="9">
      <c r="A9" t="inlineStr">
        <is>
          <t>Break-even: one-brand standard courier drop, new brand</t>
        </is>
      </c>
      <c r="B9" s="17" t="n"/>
      <c r="C9" t="inlineStr">
        <is>
          <t>courier</t>
        </is>
      </c>
      <c r="D9" t="inlineStr">
        <is>
          <t>standard</t>
        </is>
      </c>
      <c r="E9" s="18">
        <f>Inputs!$C$104</f>
        <v/>
      </c>
      <c r="F9" s="18" t="n">
        <v>0</v>
      </c>
      <c r="G9" t="n">
        <v>1</v>
      </c>
      <c r="H9" t="n">
        <v>0</v>
      </c>
      <c r="I9" t="n">
        <v>0</v>
      </c>
      <c r="J9" s="31">
        <f>Inputs!$C$33</f>
        <v/>
      </c>
      <c r="K9" s="31">
        <f>Inputs!$C$36</f>
        <v/>
      </c>
      <c r="L9" s="18">
        <f>IF(Inputs!$C$65="unit",1,0)</f>
        <v/>
      </c>
      <c r="M9" s="18">
        <f>Inputs!$C$49</f>
        <v/>
      </c>
      <c r="N9" s="18">
        <f>IF(G9&gt;0,1,0)</f>
        <v/>
      </c>
      <c r="O9">
        <f>IF(D9="founding",G9-H9,0)</f>
        <v/>
      </c>
      <c r="P9">
        <f>IF(D9="standard",G9-H9,0)</f>
        <v/>
      </c>
      <c r="Q9" s="31">
        <f>O9*(K9*MIN(E9,Inputs!$C$37)+Inputs!$C$39*MAX(E9-Inputs!$C$37,0))+I9*K9*E9</f>
        <v/>
      </c>
      <c r="R9" s="31">
        <f>(P9+H9-I9)*(J9*MIN(E9,Inputs!$C$34)+Inputs!$C$39*MAX(E9-Inputs!$C$34,0))</f>
        <v/>
      </c>
      <c r="S9" s="33">
        <f>Q9+R9</f>
        <v/>
      </c>
      <c r="T9" s="31">
        <f>N9*E9*(Inputs!$C$58+Inputs!$C$59*MAX(G9-1,0))</f>
        <v/>
      </c>
      <c r="U9" s="31">
        <f>IF(N9=0,0,INDEX(Inputs!$C$95:$C$97,MATCH(C9,Inputs!$B$95:$B$97,0))+INDEX(Inputs!$D$95:$D$97,MATCH(C9,Inputs!$B$95:$B$97,0))*E9)</f>
        <v/>
      </c>
      <c r="V9" s="31">
        <f>IF(N9=0,0,INDEX(Inputs!$E$95:$E$97,MATCH(C9,Inputs!$B$95:$B$97,0))*E9)</f>
        <v/>
      </c>
      <c r="W9" s="31">
        <f>S9*Inputs!$C$48*M9</f>
        <v/>
      </c>
      <c r="X9" s="31">
        <f>N9*L9*Inputs!$C$66/Inputs!$C$75</f>
        <v/>
      </c>
      <c r="Y9" s="31">
        <f>N9*Inputs!$C$69/Inputs!$C$75</f>
        <v/>
      </c>
      <c r="Z9" s="31">
        <f>N9*Inputs!$C$71/Inputs!$C$75</f>
        <v/>
      </c>
      <c r="AA9" s="33">
        <f>SUM(T9:Z9)</f>
        <v/>
      </c>
      <c r="AB9" s="32">
        <f>O9*Inputs!$C$79+P9*Inputs!$C$83+H9*Inputs!$C$84</f>
        <v/>
      </c>
      <c r="AC9" s="32">
        <f>N9*(F9*Inputs!$C$85+(E9-F9)*Inputs!$C$86)</f>
        <v/>
      </c>
      <c r="AD9" s="32">
        <f>IF(N9=0,0,INDEX(Inputs!$F$95:$F$97,MATCH(C9,Inputs!$B$95:$B$97,0))+Inputs!$C$87*G9)</f>
        <v/>
      </c>
      <c r="AE9" s="32">
        <f>IF(N9=0,0,INDEX(Inputs!$G$95:$G$97,MATCH(C9,Inputs!$B$95:$B$97,0))*E9)</f>
        <v/>
      </c>
      <c r="AF9" s="32">
        <f>IF(N9=0,0,INDEX(Inputs!$H$95:$H$97,MATCH(C9,Inputs!$B$95:$B$97,0))*E9)</f>
        <v/>
      </c>
      <c r="AG9" s="32">
        <f>Inputs!$C$88*G9</f>
        <v/>
      </c>
      <c r="AH9" s="32">
        <f>N9*Inputs!$C$89</f>
        <v/>
      </c>
      <c r="AI9" s="34">
        <f>SUM(AB9:AH9)</f>
        <v/>
      </c>
      <c r="AJ9" s="33">
        <f>S9-AA9</f>
        <v/>
      </c>
      <c r="AK9" s="27">
        <f>IF(AI9&gt;0,AJ9/AI9,"n/a")</f>
        <v/>
      </c>
      <c r="AL9" s="31">
        <f>T9+U9+V9+W9</f>
        <v/>
      </c>
      <c r="AM9" s="31">
        <f>X9+Y9+Z9</f>
        <v/>
      </c>
    </row>
    <row r="10">
      <c r="A10" t="inlineStr">
        <is>
          <t>Crossing: courier, 1 new brand</t>
        </is>
      </c>
      <c r="B10" s="17" t="n"/>
      <c r="C10">
        <f>Inputs!$C$103</f>
        <v/>
      </c>
      <c r="D10" t="inlineStr">
        <is>
          <t>standard</t>
        </is>
      </c>
      <c r="E10" s="18">
        <f>Inputs!$C$104</f>
        <v/>
      </c>
      <c r="F10" s="18" t="n">
        <v>0</v>
      </c>
      <c r="G10" t="n">
        <v>1</v>
      </c>
      <c r="H10" t="n">
        <v>0</v>
      </c>
      <c r="I10" t="n">
        <v>0</v>
      </c>
      <c r="J10" s="31">
        <f>Inputs!$C$33</f>
        <v/>
      </c>
      <c r="K10" s="31">
        <f>Inputs!$C$36</f>
        <v/>
      </c>
      <c r="L10" s="18">
        <f>IF(Inputs!$C$65="unit",1,0)</f>
        <v/>
      </c>
      <c r="M10" s="18">
        <f>Inputs!$C$49</f>
        <v/>
      </c>
      <c r="N10" s="18">
        <f>IF(G10&gt;0,1,0)</f>
        <v/>
      </c>
      <c r="O10">
        <f>IF(D10="founding",G10-H10,0)</f>
        <v/>
      </c>
      <c r="P10">
        <f>IF(D10="standard",G10-H10,0)</f>
        <v/>
      </c>
      <c r="Q10" s="31">
        <f>O10*(K10*MIN(E10,Inputs!$C$37)+Inputs!$C$39*MAX(E10-Inputs!$C$37,0))+I10*K10*E10</f>
        <v/>
      </c>
      <c r="R10" s="31">
        <f>(P10+H10-I10)*(J10*MIN(E10,Inputs!$C$34)+Inputs!$C$39*MAX(E10-Inputs!$C$34,0))</f>
        <v/>
      </c>
      <c r="S10" s="33">
        <f>Q10+R10</f>
        <v/>
      </c>
      <c r="T10" s="31">
        <f>N10*E10*(Inputs!$C$58+Inputs!$C$59*MAX(G10-1,0))</f>
        <v/>
      </c>
      <c r="U10" s="31">
        <f>IF(N10=0,0,INDEX(Inputs!$C$95:$C$97,MATCH(C10,Inputs!$B$95:$B$97,0))+INDEX(Inputs!$D$95:$D$97,MATCH(C10,Inputs!$B$95:$B$97,0))*E10)</f>
        <v/>
      </c>
      <c r="V10" s="31">
        <f>IF(N10=0,0,INDEX(Inputs!$E$95:$E$97,MATCH(C10,Inputs!$B$95:$B$97,0))*E10)</f>
        <v/>
      </c>
      <c r="W10" s="31">
        <f>S10*Inputs!$C$48*M10</f>
        <v/>
      </c>
      <c r="X10" s="31">
        <f>N10*L10*Inputs!$C$66/Inputs!$C$75</f>
        <v/>
      </c>
      <c r="Y10" s="31">
        <f>N10*Inputs!$C$69/Inputs!$C$75</f>
        <v/>
      </c>
      <c r="Z10" s="31">
        <f>N10*Inputs!$C$71/Inputs!$C$75</f>
        <v/>
      </c>
      <c r="AA10" s="33">
        <f>SUM(T10:Z10)</f>
        <v/>
      </c>
      <c r="AB10" s="32">
        <f>O10*Inputs!$C$79+P10*Inputs!$C$83+H10*Inputs!$C$84</f>
        <v/>
      </c>
      <c r="AC10" s="32">
        <f>N10*(F10*Inputs!$C$85+(E10-F10)*Inputs!$C$86)</f>
        <v/>
      </c>
      <c r="AD10" s="32">
        <f>IF(N10=0,0,INDEX(Inputs!$F$95:$F$97,MATCH(C10,Inputs!$B$95:$B$97,0))+Inputs!$C$87*G10)</f>
        <v/>
      </c>
      <c r="AE10" s="32">
        <f>IF(N10=0,0,INDEX(Inputs!$G$95:$G$97,MATCH(C10,Inputs!$B$95:$B$97,0))*E10)</f>
        <v/>
      </c>
      <c r="AF10" s="32">
        <f>IF(N10=0,0,INDEX(Inputs!$H$95:$H$97,MATCH(C10,Inputs!$B$95:$B$97,0))*E10)</f>
        <v/>
      </c>
      <c r="AG10" s="32">
        <f>Inputs!$C$88*G10</f>
        <v/>
      </c>
      <c r="AH10" s="32">
        <f>N10*Inputs!$C$89</f>
        <v/>
      </c>
      <c r="AI10" s="34">
        <f>SUM(AB10:AH10)</f>
        <v/>
      </c>
      <c r="AJ10" s="33">
        <f>S10-AA10</f>
        <v/>
      </c>
      <c r="AK10" s="27">
        <f>IF(AI10&gt;0,AJ10/AI10,"n/a")</f>
        <v/>
      </c>
      <c r="AL10" s="31">
        <f>T10+U10+V10+W10</f>
        <v/>
      </c>
      <c r="AM10" s="31">
        <f>X10+Y10+Z10</f>
        <v/>
      </c>
    </row>
    <row r="11">
      <c r="A11" t="inlineStr">
        <is>
          <t>Crossing: courier, 2 new brands</t>
        </is>
      </c>
      <c r="B11" s="17" t="n"/>
      <c r="C11">
        <f>Inputs!$C$103</f>
        <v/>
      </c>
      <c r="D11" t="inlineStr">
        <is>
          <t>standard</t>
        </is>
      </c>
      <c r="E11" s="18">
        <f>Inputs!$C$104</f>
        <v/>
      </c>
      <c r="F11" s="18" t="n">
        <v>0</v>
      </c>
      <c r="G11" t="n">
        <v>2</v>
      </c>
      <c r="H11" t="n">
        <v>0</v>
      </c>
      <c r="I11" t="n">
        <v>0</v>
      </c>
      <c r="J11" s="31">
        <f>Inputs!$C$33</f>
        <v/>
      </c>
      <c r="K11" s="31">
        <f>Inputs!$C$36</f>
        <v/>
      </c>
      <c r="L11" s="18">
        <f>IF(Inputs!$C$65="unit",1,0)</f>
        <v/>
      </c>
      <c r="M11" s="18">
        <f>Inputs!$C$49</f>
        <v/>
      </c>
      <c r="N11" s="18">
        <f>IF(G11&gt;0,1,0)</f>
        <v/>
      </c>
      <c r="O11">
        <f>IF(D11="founding",G11-H11,0)</f>
        <v/>
      </c>
      <c r="P11">
        <f>IF(D11="standard",G11-H11,0)</f>
        <v/>
      </c>
      <c r="Q11" s="31">
        <f>O11*(K11*MIN(E11,Inputs!$C$37)+Inputs!$C$39*MAX(E11-Inputs!$C$37,0))+I11*K11*E11</f>
        <v/>
      </c>
      <c r="R11" s="31">
        <f>(P11+H11-I11)*(J11*MIN(E11,Inputs!$C$34)+Inputs!$C$39*MAX(E11-Inputs!$C$34,0))</f>
        <v/>
      </c>
      <c r="S11" s="33">
        <f>Q11+R11</f>
        <v/>
      </c>
      <c r="T11" s="31">
        <f>N11*E11*(Inputs!$C$58+Inputs!$C$59*MAX(G11-1,0))</f>
        <v/>
      </c>
      <c r="U11" s="31">
        <f>IF(N11=0,0,INDEX(Inputs!$C$95:$C$97,MATCH(C11,Inputs!$B$95:$B$97,0))+INDEX(Inputs!$D$95:$D$97,MATCH(C11,Inputs!$B$95:$B$97,0))*E11)</f>
        <v/>
      </c>
      <c r="V11" s="31">
        <f>IF(N11=0,0,INDEX(Inputs!$E$95:$E$97,MATCH(C11,Inputs!$B$95:$B$97,0))*E11)</f>
        <v/>
      </c>
      <c r="W11" s="31">
        <f>S11*Inputs!$C$48*M11</f>
        <v/>
      </c>
      <c r="X11" s="31">
        <f>N11*L11*Inputs!$C$66/Inputs!$C$75</f>
        <v/>
      </c>
      <c r="Y11" s="31">
        <f>N11*Inputs!$C$69/Inputs!$C$75</f>
        <v/>
      </c>
      <c r="Z11" s="31">
        <f>N11*Inputs!$C$71/Inputs!$C$75</f>
        <v/>
      </c>
      <c r="AA11" s="33">
        <f>SUM(T11:Z11)</f>
        <v/>
      </c>
      <c r="AB11" s="32">
        <f>O11*Inputs!$C$79+P11*Inputs!$C$83+H11*Inputs!$C$84</f>
        <v/>
      </c>
      <c r="AC11" s="32">
        <f>N11*(F11*Inputs!$C$85+(E11-F11)*Inputs!$C$86)</f>
        <v/>
      </c>
      <c r="AD11" s="32">
        <f>IF(N11=0,0,INDEX(Inputs!$F$95:$F$97,MATCH(C11,Inputs!$B$95:$B$97,0))+Inputs!$C$87*G11)</f>
        <v/>
      </c>
      <c r="AE11" s="32">
        <f>IF(N11=0,0,INDEX(Inputs!$G$95:$G$97,MATCH(C11,Inputs!$B$95:$B$97,0))*E11)</f>
        <v/>
      </c>
      <c r="AF11" s="32">
        <f>IF(N11=0,0,INDEX(Inputs!$H$95:$H$97,MATCH(C11,Inputs!$B$95:$B$97,0))*E11)</f>
        <v/>
      </c>
      <c r="AG11" s="32">
        <f>Inputs!$C$88*G11</f>
        <v/>
      </c>
      <c r="AH11" s="32">
        <f>N11*Inputs!$C$89</f>
        <v/>
      </c>
      <c r="AI11" s="34">
        <f>SUM(AB11:AH11)</f>
        <v/>
      </c>
      <c r="AJ11" s="33">
        <f>S11-AA11</f>
        <v/>
      </c>
      <c r="AK11" s="27">
        <f>IF(AI11&gt;0,AJ11/AI11,"n/a")</f>
        <v/>
      </c>
      <c r="AL11" s="31">
        <f>T11+U11+V11+W11</f>
        <v/>
      </c>
      <c r="AM11" s="31">
        <f>X11+Y11+Z11</f>
        <v/>
      </c>
    </row>
    <row r="12">
      <c r="A12" t="inlineStr">
        <is>
          <t>Crossing at the active renewal rate, 1 brand</t>
        </is>
      </c>
      <c r="B12" s="17" t="n"/>
      <c r="C12">
        <f>Inputs!$C$103</f>
        <v/>
      </c>
      <c r="D12" t="inlineStr">
        <is>
          <t>standard</t>
        </is>
      </c>
      <c r="E12" s="18">
        <f>Inputs!$C$104</f>
        <v/>
      </c>
      <c r="F12" s="18" t="n">
        <v>0</v>
      </c>
      <c r="G12" t="n">
        <v>1</v>
      </c>
      <c r="H12">
        <f>Scenarios!$H$12*G12</f>
        <v/>
      </c>
      <c r="I12" t="n">
        <v>0</v>
      </c>
      <c r="J12" s="31">
        <f>Inputs!$C$33</f>
        <v/>
      </c>
      <c r="K12" s="31">
        <f>Inputs!$C$36</f>
        <v/>
      </c>
      <c r="L12" s="18">
        <f>IF(Inputs!$C$65="unit",1,0)</f>
        <v/>
      </c>
      <c r="M12" s="18">
        <f>Inputs!$C$49</f>
        <v/>
      </c>
      <c r="N12" s="18">
        <f>IF(G12&gt;0,1,0)</f>
        <v/>
      </c>
      <c r="O12">
        <f>IF(D12="founding",G12-H12,0)</f>
        <v/>
      </c>
      <c r="P12">
        <f>IF(D12="standard",G12-H12,0)</f>
        <v/>
      </c>
      <c r="Q12" s="31">
        <f>O12*(K12*MIN(E12,Inputs!$C$37)+Inputs!$C$39*MAX(E12-Inputs!$C$37,0))+I12*K12*E12</f>
        <v/>
      </c>
      <c r="R12" s="31">
        <f>(P12+H12-I12)*(J12*MIN(E12,Inputs!$C$34)+Inputs!$C$39*MAX(E12-Inputs!$C$34,0))</f>
        <v/>
      </c>
      <c r="S12" s="33">
        <f>Q12+R12</f>
        <v/>
      </c>
      <c r="T12" s="31">
        <f>N12*E12*(Inputs!$C$58+Inputs!$C$59*MAX(G12-1,0))</f>
        <v/>
      </c>
      <c r="U12" s="31">
        <f>IF(N12=0,0,INDEX(Inputs!$C$95:$C$97,MATCH(C12,Inputs!$B$95:$B$97,0))+INDEX(Inputs!$D$95:$D$97,MATCH(C12,Inputs!$B$95:$B$97,0))*E12)</f>
        <v/>
      </c>
      <c r="V12" s="31">
        <f>IF(N12=0,0,INDEX(Inputs!$E$95:$E$97,MATCH(C12,Inputs!$B$95:$B$97,0))*E12)</f>
        <v/>
      </c>
      <c r="W12" s="31">
        <f>S12*Inputs!$C$48*M12</f>
        <v/>
      </c>
      <c r="X12" s="31">
        <f>N12*L12*Inputs!$C$66/Inputs!$C$75</f>
        <v/>
      </c>
      <c r="Y12" s="31">
        <f>N12*Inputs!$C$69/Inputs!$C$75</f>
        <v/>
      </c>
      <c r="Z12" s="31">
        <f>N12*Inputs!$C$71/Inputs!$C$75</f>
        <v/>
      </c>
      <c r="AA12" s="33">
        <f>SUM(T12:Z12)</f>
        <v/>
      </c>
      <c r="AB12" s="32">
        <f>O12*Inputs!$C$79+P12*Inputs!$C$83+H12*Inputs!$C$84</f>
        <v/>
      </c>
      <c r="AC12" s="32">
        <f>N12*(F12*Inputs!$C$85+(E12-F12)*Inputs!$C$86)</f>
        <v/>
      </c>
      <c r="AD12" s="32">
        <f>IF(N12=0,0,INDEX(Inputs!$F$95:$F$97,MATCH(C12,Inputs!$B$95:$B$97,0))+Inputs!$C$87*G12)</f>
        <v/>
      </c>
      <c r="AE12" s="32">
        <f>IF(N12=0,0,INDEX(Inputs!$G$95:$G$97,MATCH(C12,Inputs!$B$95:$B$97,0))*E12)</f>
        <v/>
      </c>
      <c r="AF12" s="32">
        <f>IF(N12=0,0,INDEX(Inputs!$H$95:$H$97,MATCH(C12,Inputs!$B$95:$B$97,0))*E12)</f>
        <v/>
      </c>
      <c r="AG12" s="32">
        <f>Inputs!$C$88*G12</f>
        <v/>
      </c>
      <c r="AH12" s="32">
        <f>N12*Inputs!$C$89</f>
        <v/>
      </c>
      <c r="AI12" s="34">
        <f>SUM(AB12:AH12)</f>
        <v/>
      </c>
      <c r="AJ12" s="33">
        <f>S12-AA12</f>
        <v/>
      </c>
      <c r="AK12" s="27">
        <f>IF(AI12&gt;0,AJ12/AI12,"n/a")</f>
        <v/>
      </c>
      <c r="AL12" s="31">
        <f>T12+U12+V12+W12</f>
        <v/>
      </c>
      <c r="AM12" s="31">
        <f>X12+Y12+Z12</f>
        <v/>
      </c>
    </row>
    <row r="13">
      <c r="A13" t="inlineStr">
        <is>
          <t>Crossing at the active renewal rate, 2 brands</t>
        </is>
      </c>
      <c r="B13" s="17" t="n"/>
      <c r="C13">
        <f>Inputs!$C$103</f>
        <v/>
      </c>
      <c r="D13" t="inlineStr">
        <is>
          <t>standard</t>
        </is>
      </c>
      <c r="E13" s="18">
        <f>Inputs!$C$104</f>
        <v/>
      </c>
      <c r="F13" s="18" t="n">
        <v>0</v>
      </c>
      <c r="G13" t="n">
        <v>2</v>
      </c>
      <c r="H13">
        <f>Scenarios!$H$12*G13</f>
        <v/>
      </c>
      <c r="I13" t="n">
        <v>0</v>
      </c>
      <c r="J13" s="31">
        <f>Inputs!$C$33</f>
        <v/>
      </c>
      <c r="K13" s="31">
        <f>Inputs!$C$36</f>
        <v/>
      </c>
      <c r="L13" s="18">
        <f>IF(Inputs!$C$65="unit",1,0)</f>
        <v/>
      </c>
      <c r="M13" s="18">
        <f>Inputs!$C$49</f>
        <v/>
      </c>
      <c r="N13" s="18">
        <f>IF(G13&gt;0,1,0)</f>
        <v/>
      </c>
      <c r="O13">
        <f>IF(D13="founding",G13-H13,0)</f>
        <v/>
      </c>
      <c r="P13">
        <f>IF(D13="standard",G13-H13,0)</f>
        <v/>
      </c>
      <c r="Q13" s="31">
        <f>O13*(K13*MIN(E13,Inputs!$C$37)+Inputs!$C$39*MAX(E13-Inputs!$C$37,0))+I13*K13*E13</f>
        <v/>
      </c>
      <c r="R13" s="31">
        <f>(P13+H13-I13)*(J13*MIN(E13,Inputs!$C$34)+Inputs!$C$39*MAX(E13-Inputs!$C$34,0))</f>
        <v/>
      </c>
      <c r="S13" s="33">
        <f>Q13+R13</f>
        <v/>
      </c>
      <c r="T13" s="31">
        <f>N13*E13*(Inputs!$C$58+Inputs!$C$59*MAX(G13-1,0))</f>
        <v/>
      </c>
      <c r="U13" s="31">
        <f>IF(N13=0,0,INDEX(Inputs!$C$95:$C$97,MATCH(C13,Inputs!$B$95:$B$97,0))+INDEX(Inputs!$D$95:$D$97,MATCH(C13,Inputs!$B$95:$B$97,0))*E13)</f>
        <v/>
      </c>
      <c r="V13" s="31">
        <f>IF(N13=0,0,INDEX(Inputs!$E$95:$E$97,MATCH(C13,Inputs!$B$95:$B$97,0))*E13)</f>
        <v/>
      </c>
      <c r="W13" s="31">
        <f>S13*Inputs!$C$48*M13</f>
        <v/>
      </c>
      <c r="X13" s="31">
        <f>N13*L13*Inputs!$C$66/Inputs!$C$75</f>
        <v/>
      </c>
      <c r="Y13" s="31">
        <f>N13*Inputs!$C$69/Inputs!$C$75</f>
        <v/>
      </c>
      <c r="Z13" s="31">
        <f>N13*Inputs!$C$71/Inputs!$C$75</f>
        <v/>
      </c>
      <c r="AA13" s="33">
        <f>SUM(T13:Z13)</f>
        <v/>
      </c>
      <c r="AB13" s="32">
        <f>O13*Inputs!$C$79+P13*Inputs!$C$83+H13*Inputs!$C$84</f>
        <v/>
      </c>
      <c r="AC13" s="32">
        <f>N13*(F13*Inputs!$C$85+(E13-F13)*Inputs!$C$86)</f>
        <v/>
      </c>
      <c r="AD13" s="32">
        <f>IF(N13=0,0,INDEX(Inputs!$F$95:$F$97,MATCH(C13,Inputs!$B$95:$B$97,0))+Inputs!$C$87*G13)</f>
        <v/>
      </c>
      <c r="AE13" s="32">
        <f>IF(N13=0,0,INDEX(Inputs!$G$95:$G$97,MATCH(C13,Inputs!$B$95:$B$97,0))*E13)</f>
        <v/>
      </c>
      <c r="AF13" s="32">
        <f>IF(N13=0,0,INDEX(Inputs!$H$95:$H$97,MATCH(C13,Inputs!$B$95:$B$97,0))*E13)</f>
        <v/>
      </c>
      <c r="AG13" s="32">
        <f>Inputs!$C$88*G13</f>
        <v/>
      </c>
      <c r="AH13" s="32">
        <f>N13*Inputs!$C$89</f>
        <v/>
      </c>
      <c r="AI13" s="34">
        <f>SUM(AB13:AH13)</f>
        <v/>
      </c>
      <c r="AJ13" s="33">
        <f>S13-AA13</f>
        <v/>
      </c>
      <c r="AK13" s="27">
        <f>IF(AI13&gt;0,AJ13/AI13,"n/a")</f>
        <v/>
      </c>
      <c r="AL13" s="31">
        <f>T13+U13+V13+W13</f>
        <v/>
      </c>
      <c r="AM13" s="31">
        <f>X13+Y13+Z13</f>
        <v/>
      </c>
    </row>
    <row r="14">
      <c r="A14" t="inlineStr">
        <is>
          <t>Crossing: direct-ship, 1 new brand</t>
        </is>
      </c>
      <c r="B14" s="17" t="n"/>
      <c r="C14" t="inlineStr">
        <is>
          <t>direct-ship</t>
        </is>
      </c>
      <c r="D14" t="inlineStr">
        <is>
          <t>standard</t>
        </is>
      </c>
      <c r="E14" s="18">
        <f>Inputs!$C$104</f>
        <v/>
      </c>
      <c r="F14" s="18" t="n">
        <v>0</v>
      </c>
      <c r="G14" t="n">
        <v>1</v>
      </c>
      <c r="H14" t="n">
        <v>0</v>
      </c>
      <c r="I14" t="n">
        <v>0</v>
      </c>
      <c r="J14" s="31">
        <f>Inputs!$C$33</f>
        <v/>
      </c>
      <c r="K14" s="31">
        <f>Inputs!$C$36</f>
        <v/>
      </c>
      <c r="L14" s="18">
        <f>IF(Inputs!$C$65="unit",1,0)</f>
        <v/>
      </c>
      <c r="M14" s="18">
        <f>Inputs!$C$49</f>
        <v/>
      </c>
      <c r="N14" s="18">
        <f>IF(G14&gt;0,1,0)</f>
        <v/>
      </c>
      <c r="O14">
        <f>IF(D14="founding",G14-H14,0)</f>
        <v/>
      </c>
      <c r="P14">
        <f>IF(D14="standard",G14-H14,0)</f>
        <v/>
      </c>
      <c r="Q14" s="31">
        <f>O14*(K14*MIN(E14,Inputs!$C$37)+Inputs!$C$39*MAX(E14-Inputs!$C$37,0))+I14*K14*E14</f>
        <v/>
      </c>
      <c r="R14" s="31">
        <f>(P14+H14-I14)*(J14*MIN(E14,Inputs!$C$34)+Inputs!$C$39*MAX(E14-Inputs!$C$34,0))</f>
        <v/>
      </c>
      <c r="S14" s="33">
        <f>Q14+R14</f>
        <v/>
      </c>
      <c r="T14" s="31">
        <f>N14*E14*(Inputs!$C$58+Inputs!$C$59*MAX(G14-1,0))</f>
        <v/>
      </c>
      <c r="U14" s="31">
        <f>IF(N14=0,0,INDEX(Inputs!$C$95:$C$97,MATCH(C14,Inputs!$B$95:$B$97,0))+INDEX(Inputs!$D$95:$D$97,MATCH(C14,Inputs!$B$95:$B$97,0))*E14)</f>
        <v/>
      </c>
      <c r="V14" s="31">
        <f>IF(N14=0,0,INDEX(Inputs!$E$95:$E$97,MATCH(C14,Inputs!$B$95:$B$97,0))*E14)</f>
        <v/>
      </c>
      <c r="W14" s="31">
        <f>S14*Inputs!$C$48*M14</f>
        <v/>
      </c>
      <c r="X14" s="31">
        <f>N14*L14*Inputs!$C$66/Inputs!$C$75</f>
        <v/>
      </c>
      <c r="Y14" s="31">
        <f>N14*Inputs!$C$69/Inputs!$C$75</f>
        <v/>
      </c>
      <c r="Z14" s="31">
        <f>N14*Inputs!$C$71/Inputs!$C$75</f>
        <v/>
      </c>
      <c r="AA14" s="33">
        <f>SUM(T14:Z14)</f>
        <v/>
      </c>
      <c r="AB14" s="32">
        <f>O14*Inputs!$C$79+P14*Inputs!$C$83+H14*Inputs!$C$84</f>
        <v/>
      </c>
      <c r="AC14" s="32">
        <f>N14*(F14*Inputs!$C$85+(E14-F14)*Inputs!$C$86)</f>
        <v/>
      </c>
      <c r="AD14" s="32">
        <f>IF(N14=0,0,INDEX(Inputs!$F$95:$F$97,MATCH(C14,Inputs!$B$95:$B$97,0))+Inputs!$C$87*G14)</f>
        <v/>
      </c>
      <c r="AE14" s="32">
        <f>IF(N14=0,0,INDEX(Inputs!$G$95:$G$97,MATCH(C14,Inputs!$B$95:$B$97,0))*E14)</f>
        <v/>
      </c>
      <c r="AF14" s="32">
        <f>IF(N14=0,0,INDEX(Inputs!$H$95:$H$97,MATCH(C14,Inputs!$B$95:$B$97,0))*E14)</f>
        <v/>
      </c>
      <c r="AG14" s="32">
        <f>Inputs!$C$88*G14</f>
        <v/>
      </c>
      <c r="AH14" s="32">
        <f>N14*Inputs!$C$89</f>
        <v/>
      </c>
      <c r="AI14" s="34">
        <f>SUM(AB14:AH14)</f>
        <v/>
      </c>
      <c r="AJ14" s="33">
        <f>S14-AA14</f>
        <v/>
      </c>
      <c r="AK14" s="27">
        <f>IF(AI14&gt;0,AJ14/AI14,"n/a")</f>
        <v/>
      </c>
      <c r="AL14" s="31">
        <f>T14+U14+V14+W14</f>
        <v/>
      </c>
      <c r="AM14" s="31">
        <f>X14+Y14+Z14</f>
        <v/>
      </c>
    </row>
    <row r="15">
      <c r="A15" t="inlineStr">
        <is>
          <t>Crossing: direct-ship, 2 new brands</t>
        </is>
      </c>
      <c r="B15" s="17" t="n"/>
      <c r="C15" t="inlineStr">
        <is>
          <t>direct-ship</t>
        </is>
      </c>
      <c r="D15" t="inlineStr">
        <is>
          <t>standard</t>
        </is>
      </c>
      <c r="E15" s="18">
        <f>Inputs!$C$104</f>
        <v/>
      </c>
      <c r="F15" s="18" t="n">
        <v>0</v>
      </c>
      <c r="G15" t="n">
        <v>2</v>
      </c>
      <c r="H15" t="n">
        <v>0</v>
      </c>
      <c r="I15" t="n">
        <v>0</v>
      </c>
      <c r="J15" s="31">
        <f>Inputs!$C$33</f>
        <v/>
      </c>
      <c r="K15" s="31">
        <f>Inputs!$C$36</f>
        <v/>
      </c>
      <c r="L15" s="18">
        <f>IF(Inputs!$C$65="unit",1,0)</f>
        <v/>
      </c>
      <c r="M15" s="18">
        <f>Inputs!$C$49</f>
        <v/>
      </c>
      <c r="N15" s="18">
        <f>IF(G15&gt;0,1,0)</f>
        <v/>
      </c>
      <c r="O15">
        <f>IF(D15="founding",G15-H15,0)</f>
        <v/>
      </c>
      <c r="P15">
        <f>IF(D15="standard",G15-H15,0)</f>
        <v/>
      </c>
      <c r="Q15" s="31">
        <f>O15*(K15*MIN(E15,Inputs!$C$37)+Inputs!$C$39*MAX(E15-Inputs!$C$37,0))+I15*K15*E15</f>
        <v/>
      </c>
      <c r="R15" s="31">
        <f>(P15+H15-I15)*(J15*MIN(E15,Inputs!$C$34)+Inputs!$C$39*MAX(E15-Inputs!$C$34,0))</f>
        <v/>
      </c>
      <c r="S15" s="33">
        <f>Q15+R15</f>
        <v/>
      </c>
      <c r="T15" s="31">
        <f>N15*E15*(Inputs!$C$58+Inputs!$C$59*MAX(G15-1,0))</f>
        <v/>
      </c>
      <c r="U15" s="31">
        <f>IF(N15=0,0,INDEX(Inputs!$C$95:$C$97,MATCH(C15,Inputs!$B$95:$B$97,0))+INDEX(Inputs!$D$95:$D$97,MATCH(C15,Inputs!$B$95:$B$97,0))*E15)</f>
        <v/>
      </c>
      <c r="V15" s="31">
        <f>IF(N15=0,0,INDEX(Inputs!$E$95:$E$97,MATCH(C15,Inputs!$B$95:$B$97,0))*E15)</f>
        <v/>
      </c>
      <c r="W15" s="31">
        <f>S15*Inputs!$C$48*M15</f>
        <v/>
      </c>
      <c r="X15" s="31">
        <f>N15*L15*Inputs!$C$66/Inputs!$C$75</f>
        <v/>
      </c>
      <c r="Y15" s="31">
        <f>N15*Inputs!$C$69/Inputs!$C$75</f>
        <v/>
      </c>
      <c r="Z15" s="31">
        <f>N15*Inputs!$C$71/Inputs!$C$75</f>
        <v/>
      </c>
      <c r="AA15" s="33">
        <f>SUM(T15:Z15)</f>
        <v/>
      </c>
      <c r="AB15" s="32">
        <f>O15*Inputs!$C$79+P15*Inputs!$C$83+H15*Inputs!$C$84</f>
        <v/>
      </c>
      <c r="AC15" s="32">
        <f>N15*(F15*Inputs!$C$85+(E15-F15)*Inputs!$C$86)</f>
        <v/>
      </c>
      <c r="AD15" s="32">
        <f>IF(N15=0,0,INDEX(Inputs!$F$95:$F$97,MATCH(C15,Inputs!$B$95:$B$97,0))+Inputs!$C$87*G15)</f>
        <v/>
      </c>
      <c r="AE15" s="32">
        <f>IF(N15=0,0,INDEX(Inputs!$G$95:$G$97,MATCH(C15,Inputs!$B$95:$B$97,0))*E15)</f>
        <v/>
      </c>
      <c r="AF15" s="32">
        <f>IF(N15=0,0,INDEX(Inputs!$H$95:$H$97,MATCH(C15,Inputs!$B$95:$B$97,0))*E15)</f>
        <v/>
      </c>
      <c r="AG15" s="32">
        <f>Inputs!$C$88*G15</f>
        <v/>
      </c>
      <c r="AH15" s="32">
        <f>N15*Inputs!$C$89</f>
        <v/>
      </c>
      <c r="AI15" s="34">
        <f>SUM(AB15:AH15)</f>
        <v/>
      </c>
      <c r="AJ15" s="33">
        <f>S15-AA15</f>
        <v/>
      </c>
      <c r="AK15" s="27">
        <f>IF(AI15&gt;0,AJ15/AI15,"n/a")</f>
        <v/>
      </c>
      <c r="AL15" s="31">
        <f>T15+U15+V15+W15</f>
        <v/>
      </c>
      <c r="AM15" s="31">
        <f>X15+Y15+Z15</f>
        <v/>
      </c>
    </row>
    <row r="16">
      <c r="A16" t="inlineStr">
        <is>
          <t>Price crossing: 3 brands at the first sensitivity price</t>
        </is>
      </c>
      <c r="B16" s="17" t="n"/>
      <c r="C16">
        <f>Inputs!$C$103</f>
        <v/>
      </c>
      <c r="D16" t="inlineStr">
        <is>
          <t>standard</t>
        </is>
      </c>
      <c r="E16" s="18">
        <f>Inputs!$C$104</f>
        <v/>
      </c>
      <c r="F16" s="18" t="n">
        <v>0</v>
      </c>
      <c r="G16" t="n">
        <v>3</v>
      </c>
      <c r="H16" t="n">
        <v>0</v>
      </c>
      <c r="I16" t="n">
        <v>0</v>
      </c>
      <c r="J16" s="31">
        <f>Inputs!$C$139</f>
        <v/>
      </c>
      <c r="K16" s="31">
        <f>Inputs!$C$36</f>
        <v/>
      </c>
      <c r="L16" s="18">
        <f>IF(Inputs!$C$65="unit",1,0)</f>
        <v/>
      </c>
      <c r="M16" s="18">
        <f>Inputs!$C$49</f>
        <v/>
      </c>
      <c r="N16" s="18">
        <f>IF(G16&gt;0,1,0)</f>
        <v/>
      </c>
      <c r="O16">
        <f>IF(D16="founding",G16-H16,0)</f>
        <v/>
      </c>
      <c r="P16">
        <f>IF(D16="standard",G16-H16,0)</f>
        <v/>
      </c>
      <c r="Q16" s="31">
        <f>O16*(K16*MIN(E16,Inputs!$C$37)+Inputs!$C$39*MAX(E16-Inputs!$C$37,0))+I16*K16*E16</f>
        <v/>
      </c>
      <c r="R16" s="31">
        <f>(P16+H16-I16)*(J16*MIN(E16,Inputs!$C$34)+Inputs!$C$39*MAX(E16-Inputs!$C$34,0))</f>
        <v/>
      </c>
      <c r="S16" s="33">
        <f>Q16+R16</f>
        <v/>
      </c>
      <c r="T16" s="31">
        <f>N16*E16*(Inputs!$C$58+Inputs!$C$59*MAX(G16-1,0))</f>
        <v/>
      </c>
      <c r="U16" s="31">
        <f>IF(N16=0,0,INDEX(Inputs!$C$95:$C$97,MATCH(C16,Inputs!$B$95:$B$97,0))+INDEX(Inputs!$D$95:$D$97,MATCH(C16,Inputs!$B$95:$B$97,0))*E16)</f>
        <v/>
      </c>
      <c r="V16" s="31">
        <f>IF(N16=0,0,INDEX(Inputs!$E$95:$E$97,MATCH(C16,Inputs!$B$95:$B$97,0))*E16)</f>
        <v/>
      </c>
      <c r="W16" s="31">
        <f>S16*Inputs!$C$48*M16</f>
        <v/>
      </c>
      <c r="X16" s="31">
        <f>N16*L16*Inputs!$C$66/Inputs!$C$75</f>
        <v/>
      </c>
      <c r="Y16" s="31">
        <f>N16*Inputs!$C$69/Inputs!$C$75</f>
        <v/>
      </c>
      <c r="Z16" s="31">
        <f>N16*Inputs!$C$71/Inputs!$C$75</f>
        <v/>
      </c>
      <c r="AA16" s="33">
        <f>SUM(T16:Z16)</f>
        <v/>
      </c>
      <c r="AB16" s="32">
        <f>O16*Inputs!$C$79+P16*Inputs!$C$83+H16*Inputs!$C$84</f>
        <v/>
      </c>
      <c r="AC16" s="32">
        <f>N16*(F16*Inputs!$C$85+(E16-F16)*Inputs!$C$86)</f>
        <v/>
      </c>
      <c r="AD16" s="32">
        <f>IF(N16=0,0,INDEX(Inputs!$F$95:$F$97,MATCH(C16,Inputs!$B$95:$B$97,0))+Inputs!$C$87*G16)</f>
        <v/>
      </c>
      <c r="AE16" s="32">
        <f>IF(N16=0,0,INDEX(Inputs!$G$95:$G$97,MATCH(C16,Inputs!$B$95:$B$97,0))*E16)</f>
        <v/>
      </c>
      <c r="AF16" s="32">
        <f>IF(N16=0,0,INDEX(Inputs!$H$95:$H$97,MATCH(C16,Inputs!$B$95:$B$97,0))*E16)</f>
        <v/>
      </c>
      <c r="AG16" s="32">
        <f>Inputs!$C$88*G16</f>
        <v/>
      </c>
      <c r="AH16" s="32">
        <f>N16*Inputs!$C$89</f>
        <v/>
      </c>
      <c r="AI16" s="34">
        <f>SUM(AB16:AH16)</f>
        <v/>
      </c>
      <c r="AJ16" s="33">
        <f>S16-AA16</f>
        <v/>
      </c>
      <c r="AK16" s="27">
        <f>IF(AI16&gt;0,AJ16/AI16,"n/a")</f>
        <v/>
      </c>
      <c r="AL16" s="31">
        <f>T16+U16+V16+W16</f>
        <v/>
      </c>
      <c r="AM16" s="31">
        <f>X16+Y16+Z16</f>
        <v/>
      </c>
    </row>
    <row r="17">
      <c r="A17" t="inlineStr">
        <is>
          <t>Price crossing: 3 brands at the first price plus one step</t>
        </is>
      </c>
      <c r="B17" s="17" t="n"/>
      <c r="C17">
        <f>Inputs!$C$103</f>
        <v/>
      </c>
      <c r="D17" t="inlineStr">
        <is>
          <t>standard</t>
        </is>
      </c>
      <c r="E17" s="18">
        <f>Inputs!$C$104</f>
        <v/>
      </c>
      <c r="F17" s="18" t="n">
        <v>0</v>
      </c>
      <c r="G17" t="n">
        <v>3</v>
      </c>
      <c r="H17" t="n">
        <v>0</v>
      </c>
      <c r="I17" t="n">
        <v>0</v>
      </c>
      <c r="J17" s="31">
        <f>Inputs!$C$139+Inputs!$C$140</f>
        <v/>
      </c>
      <c r="K17" s="31">
        <f>Inputs!$C$36</f>
        <v/>
      </c>
      <c r="L17" s="18">
        <f>IF(Inputs!$C$65="unit",1,0)</f>
        <v/>
      </c>
      <c r="M17" s="18">
        <f>Inputs!$C$49</f>
        <v/>
      </c>
      <c r="N17" s="18">
        <f>IF(G17&gt;0,1,0)</f>
        <v/>
      </c>
      <c r="O17">
        <f>IF(D17="founding",G17-H17,0)</f>
        <v/>
      </c>
      <c r="P17">
        <f>IF(D17="standard",G17-H17,0)</f>
        <v/>
      </c>
      <c r="Q17" s="31">
        <f>O17*(K17*MIN(E17,Inputs!$C$37)+Inputs!$C$39*MAX(E17-Inputs!$C$37,0))+I17*K17*E17</f>
        <v/>
      </c>
      <c r="R17" s="31">
        <f>(P17+H17-I17)*(J17*MIN(E17,Inputs!$C$34)+Inputs!$C$39*MAX(E17-Inputs!$C$34,0))</f>
        <v/>
      </c>
      <c r="S17" s="33">
        <f>Q17+R17</f>
        <v/>
      </c>
      <c r="T17" s="31">
        <f>N17*E17*(Inputs!$C$58+Inputs!$C$59*MAX(G17-1,0))</f>
        <v/>
      </c>
      <c r="U17" s="31">
        <f>IF(N17=0,0,INDEX(Inputs!$C$95:$C$97,MATCH(C17,Inputs!$B$95:$B$97,0))+INDEX(Inputs!$D$95:$D$97,MATCH(C17,Inputs!$B$95:$B$97,0))*E17)</f>
        <v/>
      </c>
      <c r="V17" s="31">
        <f>IF(N17=0,0,INDEX(Inputs!$E$95:$E$97,MATCH(C17,Inputs!$B$95:$B$97,0))*E17)</f>
        <v/>
      </c>
      <c r="W17" s="31">
        <f>S17*Inputs!$C$48*M17</f>
        <v/>
      </c>
      <c r="X17" s="31">
        <f>N17*L17*Inputs!$C$66/Inputs!$C$75</f>
        <v/>
      </c>
      <c r="Y17" s="31">
        <f>N17*Inputs!$C$69/Inputs!$C$75</f>
        <v/>
      </c>
      <c r="Z17" s="31">
        <f>N17*Inputs!$C$71/Inputs!$C$75</f>
        <v/>
      </c>
      <c r="AA17" s="33">
        <f>SUM(T17:Z17)</f>
        <v/>
      </c>
      <c r="AB17" s="32">
        <f>O17*Inputs!$C$79+P17*Inputs!$C$83+H17*Inputs!$C$84</f>
        <v/>
      </c>
      <c r="AC17" s="32">
        <f>N17*(F17*Inputs!$C$85+(E17-F17)*Inputs!$C$86)</f>
        <v/>
      </c>
      <c r="AD17" s="32">
        <f>IF(N17=0,0,INDEX(Inputs!$F$95:$F$97,MATCH(C17,Inputs!$B$95:$B$97,0))+Inputs!$C$87*G17)</f>
        <v/>
      </c>
      <c r="AE17" s="32">
        <f>IF(N17=0,0,INDEX(Inputs!$G$95:$G$97,MATCH(C17,Inputs!$B$95:$B$97,0))*E17)</f>
        <v/>
      </c>
      <c r="AF17" s="32">
        <f>IF(N17=0,0,INDEX(Inputs!$H$95:$H$97,MATCH(C17,Inputs!$B$95:$B$97,0))*E17)</f>
        <v/>
      </c>
      <c r="AG17" s="32">
        <f>Inputs!$C$88*G17</f>
        <v/>
      </c>
      <c r="AH17" s="32">
        <f>N17*Inputs!$C$89</f>
        <v/>
      </c>
      <c r="AI17" s="34">
        <f>SUM(AB17:AH17)</f>
        <v/>
      </c>
      <c r="AJ17" s="33">
        <f>S17-AA17</f>
        <v/>
      </c>
      <c r="AK17" s="27">
        <f>IF(AI17&gt;0,AJ17/AI17,"n/a")</f>
        <v/>
      </c>
      <c r="AL17" s="31">
        <f>T17+U17+V17+W17</f>
        <v/>
      </c>
      <c r="AM17" s="31">
        <f>X17+Y17+Z17</f>
        <v/>
      </c>
    </row>
    <row r="20">
      <c r="A20" s="3" t="inlineStr">
        <is>
          <t>Monthly steady state</t>
        </is>
      </c>
      <c r="B20" s="4" t="n"/>
      <c r="C20" s="4" t="n"/>
      <c r="D20" s="4" t="n"/>
      <c r="E20" s="4" t="n"/>
      <c r="F20" s="4" t="n"/>
    </row>
    <row r="21" ht="30" customHeight="1">
      <c r="B21" s="10" t="inlineStr">
        <is>
          <t>Line</t>
        </is>
      </c>
      <c r="C21" s="10" t="inlineStr">
        <is>
          <t>Plan reading (e)</t>
        </is>
      </c>
      <c r="D21" s="10" t="inlineStr">
        <is>
          <t>Active scenario</t>
        </is>
      </c>
      <c r="E21" s="10" t="inlineStr">
        <is>
          <t>Unit</t>
        </is>
      </c>
      <c r="F21" s="10" t="inlineStr">
        <is>
          <t>How it is built</t>
        </is>
      </c>
    </row>
    <row r="22">
      <c r="B22" t="inlineStr">
        <is>
          <t>Drops per month</t>
        </is>
      </c>
      <c r="C22" s="18">
        <f>Inputs!$C$102</f>
        <v/>
      </c>
      <c r="D22" s="18">
        <f>Scenarios!$H$15</f>
        <v/>
      </c>
      <c r="E22" t="inlineStr">
        <is>
          <t>drops</t>
        </is>
      </c>
      <c r="F22" s="28" t="inlineStr">
        <is>
          <t>Inputs / Scenarios</t>
        </is>
      </c>
    </row>
    <row r="23">
      <c r="B23" t="inlineStr">
        <is>
          <t>Revenue</t>
        </is>
      </c>
      <c r="C23" s="31">
        <f>C22*S7</f>
        <v/>
      </c>
      <c r="D23" s="31">
        <f>D22*S8</f>
        <v/>
      </c>
      <c r="E23" t="inlineStr">
        <is>
          <t>USD per month</t>
        </is>
      </c>
      <c r="F23" s="28" t="inlineStr">
        <is>
          <t>drops x one drop</t>
        </is>
      </c>
    </row>
    <row r="24">
      <c r="B24" t="inlineStr">
        <is>
          <t>Hard costs (incl. overhead allocations)</t>
        </is>
      </c>
      <c r="C24" s="31">
        <f>C22*AA7</f>
        <v/>
      </c>
      <c r="D24" s="31">
        <f>D22*AA8</f>
        <v/>
      </c>
      <c r="E24" t="inlineStr">
        <is>
          <t>USD per month</t>
        </is>
      </c>
      <c r="F24" s="28" t="inlineStr">
        <is>
          <t>drops x one drop</t>
        </is>
      </c>
    </row>
    <row r="25">
      <c r="B25" t="inlineStr">
        <is>
          <t>Founder hours</t>
        </is>
      </c>
      <c r="C25" s="32">
        <f>C22*AI7</f>
        <v/>
      </c>
      <c r="D25" s="32">
        <f>D22*AI8</f>
        <v/>
      </c>
      <c r="E25" t="inlineStr">
        <is>
          <t>hours per month</t>
        </is>
      </c>
      <c r="F25" s="28" t="inlineStr">
        <is>
          <t>drops x one drop</t>
        </is>
      </c>
    </row>
    <row r="26">
      <c r="B26" t="inlineStr">
        <is>
          <t>Contribution (plan definition)</t>
        </is>
      </c>
      <c r="C26" s="33">
        <f>C23-C24</f>
        <v/>
      </c>
      <c r="D26" s="33">
        <f>D23-D24</f>
        <v/>
      </c>
      <c r="E26" t="inlineStr">
        <is>
          <t>USD per month</t>
        </is>
      </c>
      <c r="F26" s="28" t="inlineStr">
        <is>
          <t>revenue less hard costs</t>
        </is>
      </c>
    </row>
    <row r="27">
      <c r="B27" t="inlineStr">
        <is>
          <t>Contribution per founder hour</t>
        </is>
      </c>
      <c r="C27" s="27">
        <f>IF(C25&gt;0,C26/C25,"n/a")</f>
        <v/>
      </c>
      <c r="D27" s="27">
        <f>IF(D25&gt;0,D26/D25,"n/a")</f>
        <v/>
      </c>
      <c r="E27" t="inlineStr">
        <is>
          <t>USD per hour</t>
        </is>
      </c>
      <c r="F27" s="28" t="inlineStr"/>
    </row>
    <row r="28">
      <c r="B28" t="inlineStr">
        <is>
          <t>Contribution per year at this rate</t>
        </is>
      </c>
      <c r="C28" s="31">
        <f>C26*Inputs!$C$20</f>
        <v/>
      </c>
      <c r="D28" s="31">
        <f>D26*Inputs!$C$20</f>
        <v/>
      </c>
      <c r="E28" t="inlineStr">
        <is>
          <t>USD per year</t>
        </is>
      </c>
      <c r="F28" s="28" t="inlineStr">
        <is>
          <t>before overhead not absorbed and before tax</t>
        </is>
      </c>
    </row>
    <row r="29">
      <c r="B29" t="inlineStr">
        <is>
          <t>Founder hours per week</t>
        </is>
      </c>
      <c r="C29" s="32">
        <f>C25/Inputs!$C$21</f>
        <v/>
      </c>
      <c r="D29" s="32">
        <f>D25/Inputs!$C$21</f>
        <v/>
      </c>
      <c r="E29" t="inlineStr">
        <is>
          <t>hours per week</t>
        </is>
      </c>
      <c r="F29" s="28" t="inlineStr">
        <is>
          <t>monthly hours / weeks per month</t>
        </is>
      </c>
    </row>
    <row r="30">
      <c r="B30" t="inlineStr">
        <is>
          <t>Overhead paid per month</t>
        </is>
      </c>
      <c r="C30" s="31">
        <f>(Inputs!$C$69+Inputs!$C$71+Inputs!$C$74+Inputs!$C$66*IF(Inputs!$C$65="unit",1,0))</f>
        <v/>
      </c>
      <c r="D30" s="31">
        <f>(Inputs!$C$69+Inputs!$C$71+Inputs!$C$74+Inputs!$C$66*IF(Inputs!$C$65="unit",1,0))</f>
        <v/>
      </c>
      <c r="E30" t="inlineStr">
        <is>
          <t>USD per month</t>
        </is>
      </c>
      <c r="F30" s="28" t="inlineStr">
        <is>
          <t>software + insurance + phone + storage if unit</t>
        </is>
      </c>
    </row>
    <row r="31">
      <c r="B31" t="inlineStr">
        <is>
          <t>Overhead allocated to drops per month</t>
        </is>
      </c>
      <c r="C31" s="31">
        <f>C22*AM7</f>
        <v/>
      </c>
      <c r="D31" s="31">
        <f>D22*AM8</f>
        <v/>
      </c>
      <c r="E31" t="inlineStr">
        <is>
          <t>USD per month</t>
        </is>
      </c>
      <c r="F31" s="28" t="inlineStr">
        <is>
          <t>drops x allocation per drop</t>
        </is>
      </c>
    </row>
    <row r="32">
      <c r="B32" t="inlineStr">
        <is>
          <t>Overhead not absorbed by drops</t>
        </is>
      </c>
      <c r="C32" s="31">
        <f>C30-C31</f>
        <v/>
      </c>
      <c r="D32" s="31">
        <f>D30-D31</f>
        <v/>
      </c>
      <c r="E32" t="inlineStr">
        <is>
          <t>USD per month</t>
        </is>
      </c>
      <c r="F32" s="28" t="inlineStr">
        <is>
          <t>paid less allocated; zero at two drops a month</t>
        </is>
      </c>
    </row>
    <row r="33">
      <c r="B33" t="inlineStr">
        <is>
          <t>Office-paid tier revenue</t>
        </is>
      </c>
      <c r="C33" s="31" t="n">
        <v>0</v>
      </c>
      <c r="D33" s="31">
        <f>Scenarios!$H$17*N(Scenarios!$H$18)</f>
        <v/>
      </c>
      <c r="E33" t="inlineStr">
        <is>
          <t>USD per month</t>
        </is>
      </c>
      <c r="F33" s="28" t="inlineStr">
        <is>
          <t>scenario B only</t>
        </is>
      </c>
    </row>
    <row r="34">
      <c r="B34" t="inlineStr">
        <is>
          <t>Office-paid tier cost to serve (needs quote)</t>
        </is>
      </c>
      <c r="C34" s="31" t="n">
        <v>0</v>
      </c>
      <c r="D34" s="31">
        <f>Scenarios!$H$17*N(Scenarios!$H$19)</f>
        <v/>
      </c>
      <c r="E34" t="inlineStr">
        <is>
          <t>USD per month</t>
        </is>
      </c>
      <c r="F34" s="28" t="inlineStr">
        <is>
          <t>blank until quoted</t>
        </is>
      </c>
    </row>
    <row r="35">
      <c r="B35" t="inlineStr">
        <is>
          <t>Drop-day hours handed to a hire</t>
        </is>
      </c>
      <c r="C35" s="32" t="n">
        <v>0</v>
      </c>
      <c r="D35" s="32">
        <f>IF(D22&gt;Scenarios!$H$21,D22*AE8,0)</f>
        <v/>
      </c>
      <c r="E35" t="inlineStr">
        <is>
          <t>hours per month</t>
        </is>
      </c>
      <c r="F35" s="28" t="inlineStr">
        <is>
          <t>scenario A rule: hire above two drops a month</t>
        </is>
      </c>
    </row>
    <row r="36">
      <c r="B36" t="inlineStr">
        <is>
          <t>Delivery hire cost</t>
        </is>
      </c>
      <c r="C36" s="31" t="n">
        <v>0</v>
      </c>
      <c r="D36" s="31">
        <f>D35*N(Scenarios!$H$20)</f>
        <v/>
      </c>
      <c r="E36" t="inlineStr">
        <is>
          <t>USD per month</t>
        </is>
      </c>
      <c r="F36" s="28" t="inlineStr"/>
    </row>
    <row r="37">
      <c r="B37" t="inlineStr">
        <is>
          <t>Net monthly contribution after overhead, office tier and hire</t>
        </is>
      </c>
      <c r="C37" s="33">
        <f>C26-C32+C33-C34-C36</f>
        <v/>
      </c>
      <c r="D37" s="33">
        <f>D26-D32+D33-D34-D36</f>
        <v/>
      </c>
      <c r="E37" t="inlineStr">
        <is>
          <t>USD per month</t>
        </is>
      </c>
      <c r="F37" s="28" t="inlineStr"/>
    </row>
    <row r="38">
      <c r="B38" t="inlineStr">
        <is>
          <t>Founder hours net of the hire</t>
        </is>
      </c>
      <c r="C38" s="32">
        <f>C25-C35</f>
        <v/>
      </c>
      <c r="D38" s="32">
        <f>D25-D35</f>
        <v/>
      </c>
      <c r="E38" t="inlineStr">
        <is>
          <t>hours per month</t>
        </is>
      </c>
      <c r="F38" s="28" t="inlineStr"/>
    </row>
    <row r="39">
      <c r="B39" t="inlineStr">
        <is>
          <t>Net contribution per founder hour</t>
        </is>
      </c>
      <c r="C39" s="27">
        <f>IF(C38&gt;0,C37/C38,"n/a")</f>
        <v/>
      </c>
      <c r="D39" s="27">
        <f>IF(D38&gt;0,D37/D38,"n/a")</f>
        <v/>
      </c>
      <c r="E39" t="inlineStr">
        <is>
          <t>USD per hour</t>
        </is>
      </c>
      <c r="F39" s="28" t="inlineStr"/>
    </row>
    <row r="40">
      <c r="B40" t="inlineStr">
        <is>
          <t>New brand wins needed per month</t>
        </is>
      </c>
      <c r="C40" s="84">
        <f>C22*(G7-H7)</f>
        <v/>
      </c>
      <c r="D40" s="84">
        <f>D22*(G8-H8)</f>
        <v/>
      </c>
      <c r="E40" t="inlineStr">
        <is>
          <t>wins</t>
        </is>
      </c>
      <c r="F40" s="28" t="inlineStr">
        <is>
          <t>brand slots less renewals</t>
        </is>
      </c>
    </row>
    <row r="41">
      <c r="B41" t="inlineStr">
        <is>
          <t>Qualified brand conversations per month</t>
        </is>
      </c>
      <c r="C41" s="18">
        <f>C40/Inputs!$C$80</f>
        <v/>
      </c>
      <c r="D41" s="18">
        <f>D40/Inputs!$C$80</f>
        <v/>
      </c>
      <c r="E41" t="inlineStr">
        <is>
          <t>conversations</t>
        </is>
      </c>
      <c r="F41" s="28" t="inlineStr">
        <is>
          <t>wins / close rate</t>
        </is>
      </c>
    </row>
    <row r="42">
      <c r="B42" t="inlineStr">
        <is>
          <t>Office roster so no office gets more than one drop a month</t>
        </is>
      </c>
      <c r="C42" s="18">
        <f>C22*E7</f>
        <v/>
      </c>
      <c r="D42" s="18">
        <f>D22*E8</f>
        <v/>
      </c>
      <c r="E42" t="inlineStr">
        <is>
          <t>offices</t>
        </is>
      </c>
      <c r="F42" s="28" t="inlineStr">
        <is>
          <t>drops x offices per drop</t>
        </is>
      </c>
    </row>
    <row r="45">
      <c r="A45" s="3" t="inlineStr">
        <is>
          <t>Break-even</t>
        </is>
      </c>
      <c r="B45" s="4" t="n"/>
      <c r="C45" s="4" t="n"/>
      <c r="D45" s="4" t="n"/>
      <c r="E45" s="4" t="n"/>
      <c r="F45" s="4" t="n"/>
    </row>
    <row r="46" ht="30" customHeight="1">
      <c r="B46" s="10" t="inlineStr">
        <is>
          <t>Measure</t>
        </is>
      </c>
      <c r="C46" s="10" t="inlineStr">
        <is>
          <t>Value</t>
        </is>
      </c>
      <c r="D46" s="10" t="inlineStr"/>
      <c r="E46" s="10" t="inlineStr">
        <is>
          <t>Unit</t>
        </is>
      </c>
      <c r="F46" s="10" t="inlineStr">
        <is>
          <t>How it is built</t>
        </is>
      </c>
    </row>
    <row r="47">
      <c r="B47" s="5" t="inlineStr">
        <is>
          <t>Startup outlays to recover (one-time cash, Inputs section 11)</t>
        </is>
      </c>
      <c r="C47" s="33">
        <f>Inputs!$Q$160</f>
        <v/>
      </c>
      <c r="E47" t="inlineStr">
        <is>
          <t>USD</t>
        </is>
      </c>
      <c r="F47" s="28" t="inlineStr">
        <is>
          <t>sum of startup cash amounts</t>
        </is>
      </c>
    </row>
    <row r="48">
      <c r="B48" s="5" t="inlineStr">
        <is>
          <t>Contribution of a one-brand standard courier drop</t>
        </is>
      </c>
      <c r="C48" s="33">
        <f>AJ9</f>
        <v/>
      </c>
      <c r="E48" t="inlineStr">
        <is>
          <t>USD per campaign</t>
        </is>
      </c>
      <c r="F48" s="28" t="inlineStr">
        <is>
          <t>engine row 9</t>
        </is>
      </c>
    </row>
    <row r="49">
      <c r="B49" s="5" t="inlineStr">
        <is>
          <t>Contribution per brand on a three-brand courier drop</t>
        </is>
      </c>
      <c r="C49" s="33">
        <f>AJ7/G7</f>
        <v/>
      </c>
      <c r="E49" t="inlineStr">
        <is>
          <t>USD per campaign</t>
        </is>
      </c>
      <c r="F49" s="28" t="inlineStr">
        <is>
          <t>engine row 7 / 3; shared costs split equally</t>
        </is>
      </c>
    </row>
    <row r="50">
      <c r="B50" s="5" t="inlineStr">
        <is>
          <t>Campaigns to recover startup cash, one-brand drops</t>
        </is>
      </c>
      <c r="C50" s="19">
        <f>IF(C48&gt;0,ROUNDUP(C47/C48,0),"never")</f>
        <v/>
      </c>
      <c r="E50" t="inlineStr">
        <is>
          <t>campaigns</t>
        </is>
      </c>
      <c r="F50" s="28" t="inlineStr">
        <is>
          <t>startup / contribution, rounded up</t>
        </is>
      </c>
    </row>
    <row r="51">
      <c r="B51" s="5" t="inlineStr">
        <is>
          <t>Campaigns to recover startup cash, three-brand drops</t>
        </is>
      </c>
      <c r="C51" s="19">
        <f>IF(C49&gt;0,ROUNDUP(C47/C49,0),"never")</f>
        <v/>
      </c>
      <c r="E51" t="inlineStr">
        <is>
          <t>campaigns</t>
        </is>
      </c>
      <c r="F51" s="28" t="inlineStr">
        <is>
          <t>startup / contribution per brand, rounded up</t>
        </is>
      </c>
    </row>
    <row r="52">
      <c r="B52" s="5" t="inlineStr">
        <is>
          <t>One-brand standard drop: contribution before overhead allocations</t>
        </is>
      </c>
      <c r="C52" s="33">
        <f>AJ9+AM9</f>
        <v/>
      </c>
      <c r="E52" t="inlineStr">
        <is>
          <t>USD per campaign</t>
        </is>
      </c>
      <c r="F52" s="28" t="inlineStr">
        <is>
          <t>revenue less direct costs</t>
        </is>
      </c>
    </row>
    <row r="53">
      <c r="B53" s="5" t="inlineStr">
        <is>
          <t>Overhead paid per month</t>
        </is>
      </c>
      <c r="C53" s="33">
        <f>Steady_State!$D$30</f>
        <v/>
      </c>
      <c r="E53" t="inlineStr">
        <is>
          <t>USD per month</t>
        </is>
      </c>
      <c r="F53" s="28" t="inlineStr">
        <is>
          <t>Monthly steady state</t>
        </is>
      </c>
    </row>
    <row r="54">
      <c r="B54" s="5" t="inlineStr">
        <is>
          <t>Standard campaigns a month to cover overhead</t>
        </is>
      </c>
      <c r="C54" s="19">
        <f>IF(C52&gt;0,ROUNDUP(C53/C52,0),"never")</f>
        <v/>
      </c>
      <c r="E54" t="inlineStr">
        <is>
          <t>campaigns per month</t>
        </is>
      </c>
      <c r="F54" s="28" t="inlineStr">
        <is>
          <t>overhead / contribution before allocations, rounded up</t>
        </is>
      </c>
    </row>
    <row r="55">
      <c r="B55" s="5" t="inlineStr">
        <is>
          <t>Brands per drop where contribution per hour reaches the Gate 3 target, new brands</t>
        </is>
      </c>
      <c r="C55" s="85">
        <f>IF((AJ11-AJ10)-Inputs!$C$126*(AI11-AI10)&lt;=0,"never",MAX(0,1+(Inputs!$C$126*AI10-AJ10)/((AJ11-AJ10)-Inputs!$C$126*(AI11-AI10))))</f>
        <v/>
      </c>
      <c r="E55" t="inlineStr">
        <is>
          <t>brands per drop</t>
        </is>
      </c>
      <c r="F55" s="28" t="inlineStr">
        <is>
          <t>linear in brands: solved from engine rows 10 and 11</t>
        </is>
      </c>
    </row>
    <row r="56">
      <c r="B56" s="5" t="inlineStr">
        <is>
          <t>Smallest whole number of brands that clears it</t>
        </is>
      </c>
      <c r="C56" s="19">
        <f>IF(ISNUMBER(C55),ROUNDUP(C55,0),"never")</f>
        <v/>
      </c>
      <c r="E56" t="inlineStr">
        <is>
          <t>brands per drop</t>
        </is>
      </c>
      <c r="F56" s="28" t="inlineStr"/>
    </row>
    <row r="57">
      <c r="B57" s="5" t="inlineStr">
        <is>
          <t>Same, at the active renewal rate</t>
        </is>
      </c>
      <c r="C57" s="85">
        <f>IF((AJ13-AJ12)-Inputs!$C$126*(AI13-AI12)&lt;=0,"never",MAX(0,1+(Inputs!$C$126*AI12-AJ12)/((AJ13-AJ12)-Inputs!$C$126*(AI13-AI12))))</f>
        <v/>
      </c>
      <c r="E57" t="inlineStr">
        <is>
          <t>brands per drop</t>
        </is>
      </c>
      <c r="F57" s="28" t="inlineStr">
        <is>
          <t>engine rows 12 and 13</t>
        </is>
      </c>
    </row>
    <row r="58">
      <c r="B58" s="5" t="inlineStr">
        <is>
          <t>Same, brands ship direct</t>
        </is>
      </c>
      <c r="C58" s="85">
        <f>IF((AJ15-AJ14)-Inputs!$C$126*(AI15-AI14)&lt;=0,"never",MAX(0,1+(Inputs!$C$126*AI14-AJ14)/((AJ15-AJ14)-Inputs!$C$126*(AI15-AI14))))</f>
        <v/>
      </c>
      <c r="E58" t="inlineStr">
        <is>
          <t>brands per drop</t>
        </is>
      </c>
      <c r="F58" s="28" t="inlineStr">
        <is>
          <t>engine rows 14 and 15</t>
        </is>
      </c>
    </row>
    <row r="59">
      <c r="B59" s="5" t="inlineStr">
        <is>
          <t>Standard price per office where a three-brand drop reaches the target</t>
        </is>
      </c>
      <c r="C59" s="83">
        <f>IF(S17=S16,"never",J16+(Inputs!$C$126*AI16-AJ16)*(J17-J16)/(AJ17-AJ16))</f>
        <v/>
      </c>
      <c r="E59" t="inlineStr">
        <is>
          <t>USD per office</t>
        </is>
      </c>
      <c r="F59" s="28" t="inlineStr">
        <is>
          <t>linear in price: engine rows 16 and 17</t>
        </is>
      </c>
    </row>
  </sheetData>
  <mergeCells count="8">
    <mergeCell ref="A5:C5"/>
    <mergeCell ref="E5:M5"/>
    <mergeCell ref="N5:S5"/>
    <mergeCell ref="A3:AM3"/>
    <mergeCell ref="AB5:AI5"/>
    <mergeCell ref="T5:AA5"/>
    <mergeCell ref="AJ5:AK5"/>
    <mergeCell ref="AL5:AM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77"/>
  <sheetViews>
    <sheetView zoomScale="90" workbookViewId="0">
      <selection activeCell="A1" sqref="A1"/>
    </sheetView>
  </sheetViews>
  <sheetFormatPr baseColWidth="8" defaultRowHeight="15"/>
  <cols>
    <col width="3" customWidth="1" min="1" max="1"/>
    <col width="50" customWidth="1" min="2" max="2"/>
    <col width="14" customWidth="1" min="3" max="3"/>
    <col width="14" customWidth="1" min="4" max="4"/>
    <col width="16" customWidth="1" min="5" max="5"/>
    <col width="16" customWidth="1" min="6" max="6"/>
    <col width="16"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Sensitivity tables</t>
        </is>
      </c>
    </row>
    <row r="2">
      <c r="A2" s="2" t="inlineStr">
        <is>
          <t>Plain formulas, no data tables. Reference drop: standard tier, steady-state delivery model and offices, storage and processing as set on Inputs.</t>
        </is>
      </c>
    </row>
    <row r="3">
      <c r="A3" s="7" t="inlineStr">
        <is>
          <t>Each cell recomputes contribution per founder hour from the inputs. Axis starts and steps are on Inputs section 10. A check cell compares the shortcut with the full engine.</t>
        </is>
      </c>
    </row>
    <row r="5">
      <c r="B5" s="75" t="inlineStr">
        <is>
          <t>Reference-drop components (from Inputs)</t>
        </is>
      </c>
      <c r="E5" s="75" t="inlineStr">
        <is>
          <t>Cross-check with the full engine (current price, active renewal rate)</t>
        </is>
      </c>
    </row>
    <row r="6">
      <c r="B6" t="inlineStr">
        <is>
          <t>Offices per drop</t>
        </is>
      </c>
      <c r="C6" s="18">
        <f>Inputs!$C$104</f>
        <v/>
      </c>
      <c r="E6" t="inlineStr">
        <is>
          <t>Brands used for the check</t>
        </is>
      </c>
      <c r="G6" s="58" t="n">
        <v>3</v>
      </c>
    </row>
    <row r="7">
      <c r="B7" t="inlineStr">
        <is>
          <t>Revenue kept after card processing</t>
        </is>
      </c>
      <c r="C7" s="86">
        <f>1-Inputs!$C$48*Inputs!$C$49</f>
        <v/>
      </c>
      <c r="E7" t="inlineStr">
        <is>
          <t>Shortcut formula</t>
        </is>
      </c>
      <c r="G7" s="26">
        <f>IF(($C$12+$G$6*((1-Scenarios!$H$12)*$C$13+Scenarios!$H$12*$C$14))&gt;0,($G$6*(Inputs!$C$33*$C$9+$C$8)*$C$7-$C$10-$C$11*MAX($G$6-1,0))/($C$12+$G$6*((1-Scenarios!$H$12)*$C$13+Scenarios!$H$12*$C$14)),"n/a")</f>
        <v/>
      </c>
    </row>
    <row r="8">
      <c r="B8" t="inlineStr">
        <is>
          <t>Revenue per brand from offices beyond the package</t>
        </is>
      </c>
      <c r="C8" s="31">
        <f>Inputs!$C$39*MAX(C6-Inputs!$C$34,0)</f>
        <v/>
      </c>
      <c r="E8" t="inlineStr">
        <is>
          <t>Full engine (row 77)</t>
        </is>
      </c>
      <c r="G8" s="26">
        <f>AK77</f>
        <v/>
      </c>
    </row>
    <row r="9">
      <c r="B9" t="inlineStr">
        <is>
          <t>Package offices priced at the per-office rate</t>
        </is>
      </c>
      <c r="C9" s="18">
        <f>MIN(C6,Inputs!$C$34)</f>
        <v/>
      </c>
      <c r="E9" t="inlineStr">
        <is>
          <t>Difference (should be 0)</t>
        </is>
      </c>
      <c r="G9" s="87">
        <f>G7-G8</f>
        <v/>
      </c>
    </row>
    <row r="10">
      <c r="B10" t="inlineStr">
        <is>
          <t>Fixed cost per drop (kits, transport, mailing, allocations)</t>
        </is>
      </c>
      <c r="C10" s="31">
        <f>C6*Inputs!$C$58+INDEX(Inputs!$C$95:$C$97,MATCH(Inputs!$C$103,Inputs!$B$95:$B$97,0))+INDEX(Inputs!$D$95:$D$97,MATCH(Inputs!$C$103,Inputs!$B$95:$B$97,0))*C6+INDEX(Inputs!$E$95:$E$97,MATCH(Inputs!$C$103,Inputs!$B$95:$B$97,0))*C6+(IF(Inputs!$C$65="unit",1,0)*Inputs!$C$66+Inputs!$C$69+Inputs!$C$71)/Inputs!$C$75</f>
        <v/>
      </c>
      <c r="E10" t="inlineStr">
        <is>
          <t>Gate 3 target per founder hour (colours below)</t>
        </is>
      </c>
      <c r="G10" s="31">
        <f>Inputs!$C$126</f>
        <v/>
      </c>
    </row>
    <row r="11">
      <c r="B11" t="inlineStr">
        <is>
          <t>Extra card cost per brand beyond the first</t>
        </is>
      </c>
      <c r="C11" s="31">
        <f>C6*N(Inputs!$C$59)</f>
        <v/>
      </c>
    </row>
    <row r="12">
      <c r="B12" t="inlineStr">
        <is>
          <t>Fixed hours per drop (existing offices, logistics, admin)</t>
        </is>
      </c>
      <c r="C12" s="32">
        <f>C6*Inputs!$C$86+INDEX(Inputs!$F$95:$F$97,MATCH(Inputs!$C$103,Inputs!$B$95:$B$97,0))+INDEX(Inputs!$G$95:$G$97,MATCH(Inputs!$C$103,Inputs!$B$95:$B$97,0))*C6+INDEX(Inputs!$H$95:$H$97,MATCH(Inputs!$C$103,Inputs!$B$95:$B$97,0))*C6+Inputs!$C$89</f>
        <v/>
      </c>
    </row>
    <row r="13">
      <c r="B13" t="inlineStr">
        <is>
          <t>Hours per new brand</t>
        </is>
      </c>
      <c r="C13" s="32">
        <f>Inputs!$C$83+Inputs!$C$87+Inputs!$C$88</f>
        <v/>
      </c>
    </row>
    <row r="14">
      <c r="B14" t="inlineStr">
        <is>
          <t>Hours per renewing brand</t>
        </is>
      </c>
      <c r="C14" s="32">
        <f>Inputs!$C$84+Inputs!$C$87+Inputs!$C$88</f>
        <v/>
      </c>
    </row>
    <row r="16">
      <c r="B16" s="75" t="inlineStr">
        <is>
          <t>Table 1. Contribution per founder hour: price per office (rows) x brands per drop (columns), all brands new</t>
        </is>
      </c>
    </row>
    <row r="17">
      <c r="B17" s="82" t="inlineStr">
        <is>
          <t>Price per office \ brands</t>
        </is>
      </c>
      <c r="C17" s="88">
        <f>Inputs!$C$141</f>
        <v/>
      </c>
      <c r="D17" s="88">
        <f>C17+Inputs!$C$142</f>
        <v/>
      </c>
      <c r="E17" s="88">
        <f>D17+Inputs!$C$142</f>
        <v/>
      </c>
      <c r="F17" s="88">
        <f>E17+Inputs!$C$142</f>
        <v/>
      </c>
      <c r="G17" s="88">
        <f>F17+Inputs!$C$142</f>
        <v/>
      </c>
    </row>
    <row r="18">
      <c r="B18" s="33">
        <f>Inputs!$C$139</f>
        <v/>
      </c>
      <c r="C18" s="26">
        <f>IF(($C$12+C$17*((1-0)*$C$13+0*$C$14))&gt;0,(C$17*($B18*$C$9+$C$8)*$C$7-$C$10-$C$11*MAX(C$17-1,0))/($C$12+C$17*((1-0)*$C$13+0*$C$14)),"n/a")</f>
        <v/>
      </c>
      <c r="D18" s="26">
        <f>IF(($C$12+D$17*((1-0)*$C$13+0*$C$14))&gt;0,(D$17*($B18*$C$9+$C$8)*$C$7-$C$10-$C$11*MAX(D$17-1,0))/($C$12+D$17*((1-0)*$C$13+0*$C$14)),"n/a")</f>
        <v/>
      </c>
      <c r="E18" s="26">
        <f>IF(($C$12+E$17*((1-0)*$C$13+0*$C$14))&gt;0,(E$17*($B18*$C$9+$C$8)*$C$7-$C$10-$C$11*MAX(E$17-1,0))/($C$12+E$17*((1-0)*$C$13+0*$C$14)),"n/a")</f>
        <v/>
      </c>
      <c r="F18" s="26">
        <f>IF(($C$12+F$17*((1-0)*$C$13+0*$C$14))&gt;0,(F$17*($B18*$C$9+$C$8)*$C$7-$C$10-$C$11*MAX(F$17-1,0))/($C$12+F$17*((1-0)*$C$13+0*$C$14)),"n/a")</f>
        <v/>
      </c>
      <c r="G18" s="26">
        <f>IF(($C$12+G$17*((1-0)*$C$13+0*$C$14))&gt;0,(G$17*($B18*$C$9+$C$8)*$C$7-$C$10-$C$11*MAX(G$17-1,0))/($C$12+G$17*((1-0)*$C$13+0*$C$14)),"n/a")</f>
        <v/>
      </c>
    </row>
    <row r="19">
      <c r="B19" s="33">
        <f>B18+Inputs!$C$140</f>
        <v/>
      </c>
      <c r="C19" s="26">
        <f>IF(($C$12+C$17*((1-0)*$C$13+0*$C$14))&gt;0,(C$17*($B19*$C$9+$C$8)*$C$7-$C$10-$C$11*MAX(C$17-1,0))/($C$12+C$17*((1-0)*$C$13+0*$C$14)),"n/a")</f>
        <v/>
      </c>
      <c r="D19" s="26">
        <f>IF(($C$12+D$17*((1-0)*$C$13+0*$C$14))&gt;0,(D$17*($B19*$C$9+$C$8)*$C$7-$C$10-$C$11*MAX(D$17-1,0))/($C$12+D$17*((1-0)*$C$13+0*$C$14)),"n/a")</f>
        <v/>
      </c>
      <c r="E19" s="26">
        <f>IF(($C$12+E$17*((1-0)*$C$13+0*$C$14))&gt;0,(E$17*($B19*$C$9+$C$8)*$C$7-$C$10-$C$11*MAX(E$17-1,0))/($C$12+E$17*((1-0)*$C$13+0*$C$14)),"n/a")</f>
        <v/>
      </c>
      <c r="F19" s="26">
        <f>IF(($C$12+F$17*((1-0)*$C$13+0*$C$14))&gt;0,(F$17*($B19*$C$9+$C$8)*$C$7-$C$10-$C$11*MAX(F$17-1,0))/($C$12+F$17*((1-0)*$C$13+0*$C$14)),"n/a")</f>
        <v/>
      </c>
      <c r="G19" s="26">
        <f>IF(($C$12+G$17*((1-0)*$C$13+0*$C$14))&gt;0,(G$17*($B19*$C$9+$C$8)*$C$7-$C$10-$C$11*MAX(G$17-1,0))/($C$12+G$17*((1-0)*$C$13+0*$C$14)),"n/a")</f>
        <v/>
      </c>
    </row>
    <row r="20">
      <c r="B20" s="33">
        <f>B19+Inputs!$C$140</f>
        <v/>
      </c>
      <c r="C20" s="26">
        <f>IF(($C$12+C$17*((1-0)*$C$13+0*$C$14))&gt;0,(C$17*($B20*$C$9+$C$8)*$C$7-$C$10-$C$11*MAX(C$17-1,0))/($C$12+C$17*((1-0)*$C$13+0*$C$14)),"n/a")</f>
        <v/>
      </c>
      <c r="D20" s="26">
        <f>IF(($C$12+D$17*((1-0)*$C$13+0*$C$14))&gt;0,(D$17*($B20*$C$9+$C$8)*$C$7-$C$10-$C$11*MAX(D$17-1,0))/($C$12+D$17*((1-0)*$C$13+0*$C$14)),"n/a")</f>
        <v/>
      </c>
      <c r="E20" s="26">
        <f>IF(($C$12+E$17*((1-0)*$C$13+0*$C$14))&gt;0,(E$17*($B20*$C$9+$C$8)*$C$7-$C$10-$C$11*MAX(E$17-1,0))/($C$12+E$17*((1-0)*$C$13+0*$C$14)),"n/a")</f>
        <v/>
      </c>
      <c r="F20" s="26">
        <f>IF(($C$12+F$17*((1-0)*$C$13+0*$C$14))&gt;0,(F$17*($B20*$C$9+$C$8)*$C$7-$C$10-$C$11*MAX(F$17-1,0))/($C$12+F$17*((1-0)*$C$13+0*$C$14)),"n/a")</f>
        <v/>
      </c>
      <c r="G20" s="26">
        <f>IF(($C$12+G$17*((1-0)*$C$13+0*$C$14))&gt;0,(G$17*($B20*$C$9+$C$8)*$C$7-$C$10-$C$11*MAX(G$17-1,0))/($C$12+G$17*((1-0)*$C$13+0*$C$14)),"n/a")</f>
        <v/>
      </c>
    </row>
    <row r="21">
      <c r="B21" s="33">
        <f>B20+Inputs!$C$140</f>
        <v/>
      </c>
      <c r="C21" s="26">
        <f>IF(($C$12+C$17*((1-0)*$C$13+0*$C$14))&gt;0,(C$17*($B21*$C$9+$C$8)*$C$7-$C$10-$C$11*MAX(C$17-1,0))/($C$12+C$17*((1-0)*$C$13+0*$C$14)),"n/a")</f>
        <v/>
      </c>
      <c r="D21" s="26">
        <f>IF(($C$12+D$17*((1-0)*$C$13+0*$C$14))&gt;0,(D$17*($B21*$C$9+$C$8)*$C$7-$C$10-$C$11*MAX(D$17-1,0))/($C$12+D$17*((1-0)*$C$13+0*$C$14)),"n/a")</f>
        <v/>
      </c>
      <c r="E21" s="26">
        <f>IF(($C$12+E$17*((1-0)*$C$13+0*$C$14))&gt;0,(E$17*($B21*$C$9+$C$8)*$C$7-$C$10-$C$11*MAX(E$17-1,0))/($C$12+E$17*((1-0)*$C$13+0*$C$14)),"n/a")</f>
        <v/>
      </c>
      <c r="F21" s="26">
        <f>IF(($C$12+F$17*((1-0)*$C$13+0*$C$14))&gt;0,(F$17*($B21*$C$9+$C$8)*$C$7-$C$10-$C$11*MAX(F$17-1,0))/($C$12+F$17*((1-0)*$C$13+0*$C$14)),"n/a")</f>
        <v/>
      </c>
      <c r="G21" s="26">
        <f>IF(($C$12+G$17*((1-0)*$C$13+0*$C$14))&gt;0,(G$17*($B21*$C$9+$C$8)*$C$7-$C$10-$C$11*MAX(G$17-1,0))/($C$12+G$17*((1-0)*$C$13+0*$C$14)),"n/a")</f>
        <v/>
      </c>
    </row>
    <row r="22">
      <c r="B22" s="33">
        <f>B21+Inputs!$C$140</f>
        <v/>
      </c>
      <c r="C22" s="26">
        <f>IF(($C$12+C$17*((1-0)*$C$13+0*$C$14))&gt;0,(C$17*($B22*$C$9+$C$8)*$C$7-$C$10-$C$11*MAX(C$17-1,0))/($C$12+C$17*((1-0)*$C$13+0*$C$14)),"n/a")</f>
        <v/>
      </c>
      <c r="D22" s="26">
        <f>IF(($C$12+D$17*((1-0)*$C$13+0*$C$14))&gt;0,(D$17*($B22*$C$9+$C$8)*$C$7-$C$10-$C$11*MAX(D$17-1,0))/($C$12+D$17*((1-0)*$C$13+0*$C$14)),"n/a")</f>
        <v/>
      </c>
      <c r="E22" s="26">
        <f>IF(($C$12+E$17*((1-0)*$C$13+0*$C$14))&gt;0,(E$17*($B22*$C$9+$C$8)*$C$7-$C$10-$C$11*MAX(E$17-1,0))/($C$12+E$17*((1-0)*$C$13+0*$C$14)),"n/a")</f>
        <v/>
      </c>
      <c r="F22" s="26">
        <f>IF(($C$12+F$17*((1-0)*$C$13+0*$C$14))&gt;0,(F$17*($B22*$C$9+$C$8)*$C$7-$C$10-$C$11*MAX(F$17-1,0))/($C$12+F$17*((1-0)*$C$13+0*$C$14)),"n/a")</f>
        <v/>
      </c>
      <c r="G22" s="26">
        <f>IF(($C$12+G$17*((1-0)*$C$13+0*$C$14))&gt;0,(G$17*($B22*$C$9+$C$8)*$C$7-$C$10-$C$11*MAX(G$17-1,0))/($C$12+G$17*((1-0)*$C$13+0*$C$14)),"n/a")</f>
        <v/>
      </c>
    </row>
    <row r="23">
      <c r="B23" s="33">
        <f>B22+Inputs!$C$140</f>
        <v/>
      </c>
      <c r="C23" s="26">
        <f>IF(($C$12+C$17*((1-0)*$C$13+0*$C$14))&gt;0,(C$17*($B23*$C$9+$C$8)*$C$7-$C$10-$C$11*MAX(C$17-1,0))/($C$12+C$17*((1-0)*$C$13+0*$C$14)),"n/a")</f>
        <v/>
      </c>
      <c r="D23" s="26">
        <f>IF(($C$12+D$17*((1-0)*$C$13+0*$C$14))&gt;0,(D$17*($B23*$C$9+$C$8)*$C$7-$C$10-$C$11*MAX(D$17-1,0))/($C$12+D$17*((1-0)*$C$13+0*$C$14)),"n/a")</f>
        <v/>
      </c>
      <c r="E23" s="26">
        <f>IF(($C$12+E$17*((1-0)*$C$13+0*$C$14))&gt;0,(E$17*($B23*$C$9+$C$8)*$C$7-$C$10-$C$11*MAX(E$17-1,0))/($C$12+E$17*((1-0)*$C$13+0*$C$14)),"n/a")</f>
        <v/>
      </c>
      <c r="F23" s="26">
        <f>IF(($C$12+F$17*((1-0)*$C$13+0*$C$14))&gt;0,(F$17*($B23*$C$9+$C$8)*$C$7-$C$10-$C$11*MAX(F$17-1,0))/($C$12+F$17*((1-0)*$C$13+0*$C$14)),"n/a")</f>
        <v/>
      </c>
      <c r="G23" s="26">
        <f>IF(($C$12+G$17*((1-0)*$C$13+0*$C$14))&gt;0,(G$17*($B23*$C$9+$C$8)*$C$7-$C$10-$C$11*MAX(G$17-1,0))/($C$12+G$17*((1-0)*$C$13+0*$C$14)),"n/a")</f>
        <v/>
      </c>
    </row>
    <row r="24">
      <c r="B24" s="33">
        <f>B23+Inputs!$C$140</f>
        <v/>
      </c>
      <c r="C24" s="26">
        <f>IF(($C$12+C$17*((1-0)*$C$13+0*$C$14))&gt;0,(C$17*($B24*$C$9+$C$8)*$C$7-$C$10-$C$11*MAX(C$17-1,0))/($C$12+C$17*((1-0)*$C$13+0*$C$14)),"n/a")</f>
        <v/>
      </c>
      <c r="D24" s="26">
        <f>IF(($C$12+D$17*((1-0)*$C$13+0*$C$14))&gt;0,(D$17*($B24*$C$9+$C$8)*$C$7-$C$10-$C$11*MAX(D$17-1,0))/($C$12+D$17*((1-0)*$C$13+0*$C$14)),"n/a")</f>
        <v/>
      </c>
      <c r="E24" s="26">
        <f>IF(($C$12+E$17*((1-0)*$C$13+0*$C$14))&gt;0,(E$17*($B24*$C$9+$C$8)*$C$7-$C$10-$C$11*MAX(E$17-1,0))/($C$12+E$17*((1-0)*$C$13+0*$C$14)),"n/a")</f>
        <v/>
      </c>
      <c r="F24" s="26">
        <f>IF(($C$12+F$17*((1-0)*$C$13+0*$C$14))&gt;0,(F$17*($B24*$C$9+$C$8)*$C$7-$C$10-$C$11*MAX(F$17-1,0))/($C$12+F$17*((1-0)*$C$13+0*$C$14)),"n/a")</f>
        <v/>
      </c>
      <c r="G24" s="26">
        <f>IF(($C$12+G$17*((1-0)*$C$13+0*$C$14))&gt;0,(G$17*($B24*$C$9+$C$8)*$C$7-$C$10-$C$11*MAX(G$17-1,0))/($C$12+G$17*((1-0)*$C$13+0*$C$14)),"n/a")</f>
        <v/>
      </c>
    </row>
    <row r="25">
      <c r="B25" s="33">
        <f>B24+Inputs!$C$140</f>
        <v/>
      </c>
      <c r="C25" s="26">
        <f>IF(($C$12+C$17*((1-0)*$C$13+0*$C$14))&gt;0,(C$17*($B25*$C$9+$C$8)*$C$7-$C$10-$C$11*MAX(C$17-1,0))/($C$12+C$17*((1-0)*$C$13+0*$C$14)),"n/a")</f>
        <v/>
      </c>
      <c r="D25" s="26">
        <f>IF(($C$12+D$17*((1-0)*$C$13+0*$C$14))&gt;0,(D$17*($B25*$C$9+$C$8)*$C$7-$C$10-$C$11*MAX(D$17-1,0))/($C$12+D$17*((1-0)*$C$13+0*$C$14)),"n/a")</f>
        <v/>
      </c>
      <c r="E25" s="26">
        <f>IF(($C$12+E$17*((1-0)*$C$13+0*$C$14))&gt;0,(E$17*($B25*$C$9+$C$8)*$C$7-$C$10-$C$11*MAX(E$17-1,0))/($C$12+E$17*((1-0)*$C$13+0*$C$14)),"n/a")</f>
        <v/>
      </c>
      <c r="F25" s="26">
        <f>IF(($C$12+F$17*((1-0)*$C$13+0*$C$14))&gt;0,(F$17*($B25*$C$9+$C$8)*$C$7-$C$10-$C$11*MAX(F$17-1,0))/($C$12+F$17*((1-0)*$C$13+0*$C$14)),"n/a")</f>
        <v/>
      </c>
      <c r="G25" s="26">
        <f>IF(($C$12+G$17*((1-0)*$C$13+0*$C$14))&gt;0,(G$17*($B25*$C$9+$C$8)*$C$7-$C$10-$C$11*MAX(G$17-1,0))/($C$12+G$17*((1-0)*$C$13+0*$C$14)),"n/a")</f>
        <v/>
      </c>
    </row>
    <row r="28">
      <c r="B28" s="75" t="inlineStr">
        <is>
          <t>Table 2. Contribution per founder hour: renewal rate (rows) x brands per drop (columns), at the standard price on Inputs</t>
        </is>
      </c>
    </row>
    <row r="29">
      <c r="B29" s="82" t="inlineStr">
        <is>
          <t>Renewal rate \ brands</t>
        </is>
      </c>
      <c r="C29" s="88">
        <f>Inputs!$C$141</f>
        <v/>
      </c>
      <c r="D29" s="88">
        <f>C29+Inputs!$C$142</f>
        <v/>
      </c>
      <c r="E29" s="88">
        <f>D29+Inputs!$C$142</f>
        <v/>
      </c>
      <c r="F29" s="88">
        <f>E29+Inputs!$C$142</f>
        <v/>
      </c>
      <c r="G29" s="88">
        <f>F29+Inputs!$C$142</f>
        <v/>
      </c>
    </row>
    <row r="30">
      <c r="B30" s="25">
        <f>Inputs!$C$143</f>
        <v/>
      </c>
      <c r="C30" s="26">
        <f>IF(($C$12+C$29*((1-$B30)*$C$13+$B30*$C$14))&gt;0,(C$29*(Inputs!$C$33*$C$9+$C$8)*$C$7-$C$10-$C$11*MAX(C$29-1,0))/($C$12+C$29*((1-$B30)*$C$13+$B30*$C$14)),"n/a")</f>
        <v/>
      </c>
      <c r="D30" s="26">
        <f>IF(($C$12+D$29*((1-$B30)*$C$13+$B30*$C$14))&gt;0,(D$29*(Inputs!$C$33*$C$9+$C$8)*$C$7-$C$10-$C$11*MAX(D$29-1,0))/($C$12+D$29*((1-$B30)*$C$13+$B30*$C$14)),"n/a")</f>
        <v/>
      </c>
      <c r="E30" s="26">
        <f>IF(($C$12+E$29*((1-$B30)*$C$13+$B30*$C$14))&gt;0,(E$29*(Inputs!$C$33*$C$9+$C$8)*$C$7-$C$10-$C$11*MAX(E$29-1,0))/($C$12+E$29*((1-$B30)*$C$13+$B30*$C$14)),"n/a")</f>
        <v/>
      </c>
      <c r="F30" s="26">
        <f>IF(($C$12+F$29*((1-$B30)*$C$13+$B30*$C$14))&gt;0,(F$29*(Inputs!$C$33*$C$9+$C$8)*$C$7-$C$10-$C$11*MAX(F$29-1,0))/($C$12+F$29*((1-$B30)*$C$13+$B30*$C$14)),"n/a")</f>
        <v/>
      </c>
      <c r="G30" s="26">
        <f>IF(($C$12+G$29*((1-$B30)*$C$13+$B30*$C$14))&gt;0,(G$29*(Inputs!$C$33*$C$9+$C$8)*$C$7-$C$10-$C$11*MAX(G$29-1,0))/($C$12+G$29*((1-$B30)*$C$13+$B30*$C$14)),"n/a")</f>
        <v/>
      </c>
    </row>
    <row r="31">
      <c r="B31" s="25">
        <f>B30+Inputs!$C$144</f>
        <v/>
      </c>
      <c r="C31" s="26">
        <f>IF(($C$12+C$29*((1-$B31)*$C$13+$B31*$C$14))&gt;0,(C$29*(Inputs!$C$33*$C$9+$C$8)*$C$7-$C$10-$C$11*MAX(C$29-1,0))/($C$12+C$29*((1-$B31)*$C$13+$B31*$C$14)),"n/a")</f>
        <v/>
      </c>
      <c r="D31" s="26">
        <f>IF(($C$12+D$29*((1-$B31)*$C$13+$B31*$C$14))&gt;0,(D$29*(Inputs!$C$33*$C$9+$C$8)*$C$7-$C$10-$C$11*MAX(D$29-1,0))/($C$12+D$29*((1-$B31)*$C$13+$B31*$C$14)),"n/a")</f>
        <v/>
      </c>
      <c r="E31" s="26">
        <f>IF(($C$12+E$29*((1-$B31)*$C$13+$B31*$C$14))&gt;0,(E$29*(Inputs!$C$33*$C$9+$C$8)*$C$7-$C$10-$C$11*MAX(E$29-1,0))/($C$12+E$29*((1-$B31)*$C$13+$B31*$C$14)),"n/a")</f>
        <v/>
      </c>
      <c r="F31" s="26">
        <f>IF(($C$12+F$29*((1-$B31)*$C$13+$B31*$C$14))&gt;0,(F$29*(Inputs!$C$33*$C$9+$C$8)*$C$7-$C$10-$C$11*MAX(F$29-1,0))/($C$12+F$29*((1-$B31)*$C$13+$B31*$C$14)),"n/a")</f>
        <v/>
      </c>
      <c r="G31" s="26">
        <f>IF(($C$12+G$29*((1-$B31)*$C$13+$B31*$C$14))&gt;0,(G$29*(Inputs!$C$33*$C$9+$C$8)*$C$7-$C$10-$C$11*MAX(G$29-1,0))/($C$12+G$29*((1-$B31)*$C$13+$B31*$C$14)),"n/a")</f>
        <v/>
      </c>
    </row>
    <row r="32">
      <c r="B32" s="25">
        <f>B31+Inputs!$C$144</f>
        <v/>
      </c>
      <c r="C32" s="26">
        <f>IF(($C$12+C$29*((1-$B32)*$C$13+$B32*$C$14))&gt;0,(C$29*(Inputs!$C$33*$C$9+$C$8)*$C$7-$C$10-$C$11*MAX(C$29-1,0))/($C$12+C$29*((1-$B32)*$C$13+$B32*$C$14)),"n/a")</f>
        <v/>
      </c>
      <c r="D32" s="26">
        <f>IF(($C$12+D$29*((1-$B32)*$C$13+$B32*$C$14))&gt;0,(D$29*(Inputs!$C$33*$C$9+$C$8)*$C$7-$C$10-$C$11*MAX(D$29-1,0))/($C$12+D$29*((1-$B32)*$C$13+$B32*$C$14)),"n/a")</f>
        <v/>
      </c>
      <c r="E32" s="26">
        <f>IF(($C$12+E$29*((1-$B32)*$C$13+$B32*$C$14))&gt;0,(E$29*(Inputs!$C$33*$C$9+$C$8)*$C$7-$C$10-$C$11*MAX(E$29-1,0))/($C$12+E$29*((1-$B32)*$C$13+$B32*$C$14)),"n/a")</f>
        <v/>
      </c>
      <c r="F32" s="26">
        <f>IF(($C$12+F$29*((1-$B32)*$C$13+$B32*$C$14))&gt;0,(F$29*(Inputs!$C$33*$C$9+$C$8)*$C$7-$C$10-$C$11*MAX(F$29-1,0))/($C$12+F$29*((1-$B32)*$C$13+$B32*$C$14)),"n/a")</f>
        <v/>
      </c>
      <c r="G32" s="26">
        <f>IF(($C$12+G$29*((1-$B32)*$C$13+$B32*$C$14))&gt;0,(G$29*(Inputs!$C$33*$C$9+$C$8)*$C$7-$C$10-$C$11*MAX(G$29-1,0))/($C$12+G$29*((1-$B32)*$C$13+$B32*$C$14)),"n/a")</f>
        <v/>
      </c>
    </row>
    <row r="33">
      <c r="B33" s="25">
        <f>B32+Inputs!$C$144</f>
        <v/>
      </c>
      <c r="C33" s="26">
        <f>IF(($C$12+C$29*((1-$B33)*$C$13+$B33*$C$14))&gt;0,(C$29*(Inputs!$C$33*$C$9+$C$8)*$C$7-$C$10-$C$11*MAX(C$29-1,0))/($C$12+C$29*((1-$B33)*$C$13+$B33*$C$14)),"n/a")</f>
        <v/>
      </c>
      <c r="D33" s="26">
        <f>IF(($C$12+D$29*((1-$B33)*$C$13+$B33*$C$14))&gt;0,(D$29*(Inputs!$C$33*$C$9+$C$8)*$C$7-$C$10-$C$11*MAX(D$29-1,0))/($C$12+D$29*((1-$B33)*$C$13+$B33*$C$14)),"n/a")</f>
        <v/>
      </c>
      <c r="E33" s="26">
        <f>IF(($C$12+E$29*((1-$B33)*$C$13+$B33*$C$14))&gt;0,(E$29*(Inputs!$C$33*$C$9+$C$8)*$C$7-$C$10-$C$11*MAX(E$29-1,0))/($C$12+E$29*((1-$B33)*$C$13+$B33*$C$14)),"n/a")</f>
        <v/>
      </c>
      <c r="F33" s="26">
        <f>IF(($C$12+F$29*((1-$B33)*$C$13+$B33*$C$14))&gt;0,(F$29*(Inputs!$C$33*$C$9+$C$8)*$C$7-$C$10-$C$11*MAX(F$29-1,0))/($C$12+F$29*((1-$B33)*$C$13+$B33*$C$14)),"n/a")</f>
        <v/>
      </c>
      <c r="G33" s="26">
        <f>IF(($C$12+G$29*((1-$B33)*$C$13+$B33*$C$14))&gt;0,(G$29*(Inputs!$C$33*$C$9+$C$8)*$C$7-$C$10-$C$11*MAX(G$29-1,0))/($C$12+G$29*((1-$B33)*$C$13+$B33*$C$14)),"n/a")</f>
        <v/>
      </c>
    </row>
    <row r="34">
      <c r="B34" s="25">
        <f>B33+Inputs!$C$144</f>
        <v/>
      </c>
      <c r="C34" s="26">
        <f>IF(($C$12+C$29*((1-$B34)*$C$13+$B34*$C$14))&gt;0,(C$29*(Inputs!$C$33*$C$9+$C$8)*$C$7-$C$10-$C$11*MAX(C$29-1,0))/($C$12+C$29*((1-$B34)*$C$13+$B34*$C$14)),"n/a")</f>
        <v/>
      </c>
      <c r="D34" s="26">
        <f>IF(($C$12+D$29*((1-$B34)*$C$13+$B34*$C$14))&gt;0,(D$29*(Inputs!$C$33*$C$9+$C$8)*$C$7-$C$10-$C$11*MAX(D$29-1,0))/($C$12+D$29*((1-$B34)*$C$13+$B34*$C$14)),"n/a")</f>
        <v/>
      </c>
      <c r="E34" s="26">
        <f>IF(($C$12+E$29*((1-$B34)*$C$13+$B34*$C$14))&gt;0,(E$29*(Inputs!$C$33*$C$9+$C$8)*$C$7-$C$10-$C$11*MAX(E$29-1,0))/($C$12+E$29*((1-$B34)*$C$13+$B34*$C$14)),"n/a")</f>
        <v/>
      </c>
      <c r="F34" s="26">
        <f>IF(($C$12+F$29*((1-$B34)*$C$13+$B34*$C$14))&gt;0,(F$29*(Inputs!$C$33*$C$9+$C$8)*$C$7-$C$10-$C$11*MAX(F$29-1,0))/($C$12+F$29*((1-$B34)*$C$13+$B34*$C$14)),"n/a")</f>
        <v/>
      </c>
      <c r="G34" s="26">
        <f>IF(($C$12+G$29*((1-$B34)*$C$13+$B34*$C$14))&gt;0,(G$29*(Inputs!$C$33*$C$9+$C$8)*$C$7-$C$10-$C$11*MAX(G$29-1,0))/($C$12+G$29*((1-$B34)*$C$13+$B34*$C$14)),"n/a")</f>
        <v/>
      </c>
    </row>
    <row r="35">
      <c r="B35" s="25">
        <f>B34+Inputs!$C$144</f>
        <v/>
      </c>
      <c r="C35" s="26">
        <f>IF(($C$12+C$29*((1-$B35)*$C$13+$B35*$C$14))&gt;0,(C$29*(Inputs!$C$33*$C$9+$C$8)*$C$7-$C$10-$C$11*MAX(C$29-1,0))/($C$12+C$29*((1-$B35)*$C$13+$B35*$C$14)),"n/a")</f>
        <v/>
      </c>
      <c r="D35" s="26">
        <f>IF(($C$12+D$29*((1-$B35)*$C$13+$B35*$C$14))&gt;0,(D$29*(Inputs!$C$33*$C$9+$C$8)*$C$7-$C$10-$C$11*MAX(D$29-1,0))/($C$12+D$29*((1-$B35)*$C$13+$B35*$C$14)),"n/a")</f>
        <v/>
      </c>
      <c r="E35" s="26">
        <f>IF(($C$12+E$29*((1-$B35)*$C$13+$B35*$C$14))&gt;0,(E$29*(Inputs!$C$33*$C$9+$C$8)*$C$7-$C$10-$C$11*MAX(E$29-1,0))/($C$12+E$29*((1-$B35)*$C$13+$B35*$C$14)),"n/a")</f>
        <v/>
      </c>
      <c r="F35" s="26">
        <f>IF(($C$12+F$29*((1-$B35)*$C$13+$B35*$C$14))&gt;0,(F$29*(Inputs!$C$33*$C$9+$C$8)*$C$7-$C$10-$C$11*MAX(F$29-1,0))/($C$12+F$29*((1-$B35)*$C$13+$B35*$C$14)),"n/a")</f>
        <v/>
      </c>
      <c r="G35" s="26">
        <f>IF(($C$12+G$29*((1-$B35)*$C$13+$B35*$C$14))&gt;0,(G$29*(Inputs!$C$33*$C$9+$C$8)*$C$7-$C$10-$C$11*MAX(G$29-1,0))/($C$12+G$29*((1-$B35)*$C$13+$B35*$C$14)),"n/a")</f>
        <v/>
      </c>
    </row>
    <row r="36">
      <c r="B36" s="25">
        <f>B35+Inputs!$C$144</f>
        <v/>
      </c>
      <c r="C36" s="26">
        <f>IF(($C$12+C$29*((1-$B36)*$C$13+$B36*$C$14))&gt;0,(C$29*(Inputs!$C$33*$C$9+$C$8)*$C$7-$C$10-$C$11*MAX(C$29-1,0))/($C$12+C$29*((1-$B36)*$C$13+$B36*$C$14)),"n/a")</f>
        <v/>
      </c>
      <c r="D36" s="26">
        <f>IF(($C$12+D$29*((1-$B36)*$C$13+$B36*$C$14))&gt;0,(D$29*(Inputs!$C$33*$C$9+$C$8)*$C$7-$C$10-$C$11*MAX(D$29-1,0))/($C$12+D$29*((1-$B36)*$C$13+$B36*$C$14)),"n/a")</f>
        <v/>
      </c>
      <c r="E36" s="26">
        <f>IF(($C$12+E$29*((1-$B36)*$C$13+$B36*$C$14))&gt;0,(E$29*(Inputs!$C$33*$C$9+$C$8)*$C$7-$C$10-$C$11*MAX(E$29-1,0))/($C$12+E$29*((1-$B36)*$C$13+$B36*$C$14)),"n/a")</f>
        <v/>
      </c>
      <c r="F36" s="26">
        <f>IF(($C$12+F$29*((1-$B36)*$C$13+$B36*$C$14))&gt;0,(F$29*(Inputs!$C$33*$C$9+$C$8)*$C$7-$C$10-$C$11*MAX(F$29-1,0))/($C$12+F$29*((1-$B36)*$C$13+$B36*$C$14)),"n/a")</f>
        <v/>
      </c>
      <c r="G36" s="26">
        <f>IF(($C$12+G$29*((1-$B36)*$C$13+$B36*$C$14))&gt;0,(G$29*(Inputs!$C$33*$C$9+$C$8)*$C$7-$C$10-$C$11*MAX(G$29-1,0))/($C$12+G$29*((1-$B36)*$C$13+$B36*$C$14)),"n/a")</f>
        <v/>
      </c>
    </row>
    <row r="37">
      <c r="B37" s="25">
        <f>B36+Inputs!$C$144</f>
        <v/>
      </c>
      <c r="C37" s="26">
        <f>IF(($C$12+C$29*((1-$B37)*$C$13+$B37*$C$14))&gt;0,(C$29*(Inputs!$C$33*$C$9+$C$8)*$C$7-$C$10-$C$11*MAX(C$29-1,0))/($C$12+C$29*((1-$B37)*$C$13+$B37*$C$14)),"n/a")</f>
        <v/>
      </c>
      <c r="D37" s="26">
        <f>IF(($C$12+D$29*((1-$B37)*$C$13+$B37*$C$14))&gt;0,(D$29*(Inputs!$C$33*$C$9+$C$8)*$C$7-$C$10-$C$11*MAX(D$29-1,0))/($C$12+D$29*((1-$B37)*$C$13+$B37*$C$14)),"n/a")</f>
        <v/>
      </c>
      <c r="E37" s="26">
        <f>IF(($C$12+E$29*((1-$B37)*$C$13+$B37*$C$14))&gt;0,(E$29*(Inputs!$C$33*$C$9+$C$8)*$C$7-$C$10-$C$11*MAX(E$29-1,0))/($C$12+E$29*((1-$B37)*$C$13+$B37*$C$14)),"n/a")</f>
        <v/>
      </c>
      <c r="F37" s="26">
        <f>IF(($C$12+F$29*((1-$B37)*$C$13+$B37*$C$14))&gt;0,(F$29*(Inputs!$C$33*$C$9+$C$8)*$C$7-$C$10-$C$11*MAX(F$29-1,0))/($C$12+F$29*((1-$B37)*$C$13+$B37*$C$14)),"n/a")</f>
        <v/>
      </c>
      <c r="G37" s="26">
        <f>IF(($C$12+G$29*((1-$B37)*$C$13+$B37*$C$14))&gt;0,(G$29*(Inputs!$C$33*$C$9+$C$8)*$C$7-$C$10-$C$11*MAX(G$29-1,0))/($C$12+G$29*((1-$B37)*$C$13+$B37*$C$14)),"n/a")</f>
        <v/>
      </c>
    </row>
    <row r="38">
      <c r="B38" s="25">
        <f>B37+Inputs!$C$144</f>
        <v/>
      </c>
      <c r="C38" s="26">
        <f>IF(($C$12+C$29*((1-$B38)*$C$13+$B38*$C$14))&gt;0,(C$29*(Inputs!$C$33*$C$9+$C$8)*$C$7-$C$10-$C$11*MAX(C$29-1,0))/($C$12+C$29*((1-$B38)*$C$13+$B38*$C$14)),"n/a")</f>
        <v/>
      </c>
      <c r="D38" s="26">
        <f>IF(($C$12+D$29*((1-$B38)*$C$13+$B38*$C$14))&gt;0,(D$29*(Inputs!$C$33*$C$9+$C$8)*$C$7-$C$10-$C$11*MAX(D$29-1,0))/($C$12+D$29*((1-$B38)*$C$13+$B38*$C$14)),"n/a")</f>
        <v/>
      </c>
      <c r="E38" s="26">
        <f>IF(($C$12+E$29*((1-$B38)*$C$13+$B38*$C$14))&gt;0,(E$29*(Inputs!$C$33*$C$9+$C$8)*$C$7-$C$10-$C$11*MAX(E$29-1,0))/($C$12+E$29*((1-$B38)*$C$13+$B38*$C$14)),"n/a")</f>
        <v/>
      </c>
      <c r="F38" s="26">
        <f>IF(($C$12+F$29*((1-$B38)*$C$13+$B38*$C$14))&gt;0,(F$29*(Inputs!$C$33*$C$9+$C$8)*$C$7-$C$10-$C$11*MAX(F$29-1,0))/($C$12+F$29*((1-$B38)*$C$13+$B38*$C$14)),"n/a")</f>
        <v/>
      </c>
      <c r="G38" s="26">
        <f>IF(($C$12+G$29*((1-$B38)*$C$13+$B38*$C$14))&gt;0,(G$29*(Inputs!$C$33*$C$9+$C$8)*$C$7-$C$10-$C$11*MAX(G$29-1,0))/($C$12+G$29*((1-$B38)*$C$13+$B38*$C$14)),"n/a")</f>
        <v/>
      </c>
    </row>
    <row r="39">
      <c r="B39" s="25">
        <f>B38+Inputs!$C$144</f>
        <v/>
      </c>
      <c r="C39" s="26">
        <f>IF(($C$12+C$29*((1-$B39)*$C$13+$B39*$C$14))&gt;0,(C$29*(Inputs!$C$33*$C$9+$C$8)*$C$7-$C$10-$C$11*MAX(C$29-1,0))/($C$12+C$29*((1-$B39)*$C$13+$B39*$C$14)),"n/a")</f>
        <v/>
      </c>
      <c r="D39" s="26">
        <f>IF(($C$12+D$29*((1-$B39)*$C$13+$B39*$C$14))&gt;0,(D$29*(Inputs!$C$33*$C$9+$C$8)*$C$7-$C$10-$C$11*MAX(D$29-1,0))/($C$12+D$29*((1-$B39)*$C$13+$B39*$C$14)),"n/a")</f>
        <v/>
      </c>
      <c r="E39" s="26">
        <f>IF(($C$12+E$29*((1-$B39)*$C$13+$B39*$C$14))&gt;0,(E$29*(Inputs!$C$33*$C$9+$C$8)*$C$7-$C$10-$C$11*MAX(E$29-1,0))/($C$12+E$29*((1-$B39)*$C$13+$B39*$C$14)),"n/a")</f>
        <v/>
      </c>
      <c r="F39" s="26">
        <f>IF(($C$12+F$29*((1-$B39)*$C$13+$B39*$C$14))&gt;0,(F$29*(Inputs!$C$33*$C$9+$C$8)*$C$7-$C$10-$C$11*MAX(F$29-1,0))/($C$12+F$29*((1-$B39)*$C$13+$B39*$C$14)),"n/a")</f>
        <v/>
      </c>
      <c r="G39" s="26">
        <f>IF(($C$12+G$29*((1-$B39)*$C$13+$B39*$C$14))&gt;0,(G$29*(Inputs!$C$33*$C$9+$C$8)*$C$7-$C$10-$C$11*MAX(G$29-1,0))/($C$12+G$29*((1-$B39)*$C$13+$B39*$C$14)),"n/a")</f>
        <v/>
      </c>
    </row>
    <row r="40">
      <c r="B40" s="25">
        <f>B39+Inputs!$C$144</f>
        <v/>
      </c>
      <c r="C40" s="26">
        <f>IF(($C$12+C$29*((1-$B40)*$C$13+$B40*$C$14))&gt;0,(C$29*(Inputs!$C$33*$C$9+$C$8)*$C$7-$C$10-$C$11*MAX(C$29-1,0))/($C$12+C$29*((1-$B40)*$C$13+$B40*$C$14)),"n/a")</f>
        <v/>
      </c>
      <c r="D40" s="26">
        <f>IF(($C$12+D$29*((1-$B40)*$C$13+$B40*$C$14))&gt;0,(D$29*(Inputs!$C$33*$C$9+$C$8)*$C$7-$C$10-$C$11*MAX(D$29-1,0))/($C$12+D$29*((1-$B40)*$C$13+$B40*$C$14)),"n/a")</f>
        <v/>
      </c>
      <c r="E40" s="26">
        <f>IF(($C$12+E$29*((1-$B40)*$C$13+$B40*$C$14))&gt;0,(E$29*(Inputs!$C$33*$C$9+$C$8)*$C$7-$C$10-$C$11*MAX(E$29-1,0))/($C$12+E$29*((1-$B40)*$C$13+$B40*$C$14)),"n/a")</f>
        <v/>
      </c>
      <c r="F40" s="26">
        <f>IF(($C$12+F$29*((1-$B40)*$C$13+$B40*$C$14))&gt;0,(F$29*(Inputs!$C$33*$C$9+$C$8)*$C$7-$C$10-$C$11*MAX(F$29-1,0))/($C$12+F$29*((1-$B40)*$C$13+$B40*$C$14)),"n/a")</f>
        <v/>
      </c>
      <c r="G40" s="26">
        <f>IF(($C$12+G$29*((1-$B40)*$C$13+$B40*$C$14))&gt;0,(G$29*(Inputs!$C$33*$C$9+$C$8)*$C$7-$C$10-$C$11*MAX(G$29-1,0))/($C$12+G$29*((1-$B40)*$C$13+$B40*$C$14)),"n/a")</f>
        <v/>
      </c>
    </row>
    <row r="43">
      <c r="B43" s="75" t="inlineStr">
        <is>
          <t>Table 3. Renewal rate and the monthly steady state (scenario drops per month, brands per drop and post-decision price)</t>
        </is>
      </c>
    </row>
    <row r="44" ht="45" customHeight="1">
      <c r="B44" s="10" t="inlineStr">
        <is>
          <t>Renewal rate</t>
        </is>
      </c>
      <c r="C44" s="10" t="inlineStr">
        <is>
          <t>New brand wins per month</t>
        </is>
      </c>
      <c r="D44" s="10" t="inlineStr">
        <is>
          <t>Qualified conversations per month</t>
        </is>
      </c>
      <c r="E44" s="10" t="inlineStr">
        <is>
          <t>Founder hours per month</t>
        </is>
      </c>
      <c r="F44" s="10" t="inlineStr">
        <is>
          <t>Contribution per month</t>
        </is>
      </c>
      <c r="G44" s="10" t="inlineStr">
        <is>
          <t>Contribution per founder hour</t>
        </is>
      </c>
    </row>
    <row r="45">
      <c r="B45" s="25">
        <f>Inputs!$C$143</f>
        <v/>
      </c>
      <c r="C45" s="84">
        <f>Scenarios!$H$15*Scenarios!$H$16*(1-B45)</f>
        <v/>
      </c>
      <c r="D45" s="18">
        <f>C45/Inputs!$C$80</f>
        <v/>
      </c>
      <c r="E45" s="32">
        <f>Scenarios!$H$15*IF(Scenarios!$H$16&gt;0,$C$12+Scenarios!$H$16*((1-B45)*$C$13+B45*$C$14),0)</f>
        <v/>
      </c>
      <c r="F45" s="31">
        <f>Scenarios!$H$15*IF(Scenarios!$H$16&gt;0,Scenarios!$H$16*(Scenarios!$H$14*$C$9+$C$8)*$C$7-$C$10-$C$11*MAX(Scenarios!$H$16-1,0),0)</f>
        <v/>
      </c>
      <c r="G45" s="26">
        <f>IF(E45&gt;0,F45/E45,"n/a")</f>
        <v/>
      </c>
    </row>
    <row r="46">
      <c r="B46" s="25">
        <f>B45+Inputs!$C$144</f>
        <v/>
      </c>
      <c r="C46" s="84">
        <f>Scenarios!$H$15*Scenarios!$H$16*(1-B46)</f>
        <v/>
      </c>
      <c r="D46" s="18">
        <f>C46/Inputs!$C$80</f>
        <v/>
      </c>
      <c r="E46" s="32">
        <f>Scenarios!$H$15*IF(Scenarios!$H$16&gt;0,$C$12+Scenarios!$H$16*((1-B46)*$C$13+B46*$C$14),0)</f>
        <v/>
      </c>
      <c r="F46" s="31">
        <f>Scenarios!$H$15*IF(Scenarios!$H$16&gt;0,Scenarios!$H$16*(Scenarios!$H$14*$C$9+$C$8)*$C$7-$C$10-$C$11*MAX(Scenarios!$H$16-1,0),0)</f>
        <v/>
      </c>
      <c r="G46" s="26">
        <f>IF(E46&gt;0,F46/E46,"n/a")</f>
        <v/>
      </c>
    </row>
    <row r="47">
      <c r="B47" s="25">
        <f>B46+Inputs!$C$144</f>
        <v/>
      </c>
      <c r="C47" s="84">
        <f>Scenarios!$H$15*Scenarios!$H$16*(1-B47)</f>
        <v/>
      </c>
      <c r="D47" s="18">
        <f>C47/Inputs!$C$80</f>
        <v/>
      </c>
      <c r="E47" s="32">
        <f>Scenarios!$H$15*IF(Scenarios!$H$16&gt;0,$C$12+Scenarios!$H$16*((1-B47)*$C$13+B47*$C$14),0)</f>
        <v/>
      </c>
      <c r="F47" s="31">
        <f>Scenarios!$H$15*IF(Scenarios!$H$16&gt;0,Scenarios!$H$16*(Scenarios!$H$14*$C$9+$C$8)*$C$7-$C$10-$C$11*MAX(Scenarios!$H$16-1,0),0)</f>
        <v/>
      </c>
      <c r="G47" s="26">
        <f>IF(E47&gt;0,F47/E47,"n/a")</f>
        <v/>
      </c>
    </row>
    <row r="48">
      <c r="B48" s="25">
        <f>B47+Inputs!$C$144</f>
        <v/>
      </c>
      <c r="C48" s="84">
        <f>Scenarios!$H$15*Scenarios!$H$16*(1-B48)</f>
        <v/>
      </c>
      <c r="D48" s="18">
        <f>C48/Inputs!$C$80</f>
        <v/>
      </c>
      <c r="E48" s="32">
        <f>Scenarios!$H$15*IF(Scenarios!$H$16&gt;0,$C$12+Scenarios!$H$16*((1-B48)*$C$13+B48*$C$14),0)</f>
        <v/>
      </c>
      <c r="F48" s="31">
        <f>Scenarios!$H$15*IF(Scenarios!$H$16&gt;0,Scenarios!$H$16*(Scenarios!$H$14*$C$9+$C$8)*$C$7-$C$10-$C$11*MAX(Scenarios!$H$16-1,0),0)</f>
        <v/>
      </c>
      <c r="G48" s="26">
        <f>IF(E48&gt;0,F48/E48,"n/a")</f>
        <v/>
      </c>
    </row>
    <row r="49">
      <c r="B49" s="25">
        <f>B48+Inputs!$C$144</f>
        <v/>
      </c>
      <c r="C49" s="84">
        <f>Scenarios!$H$15*Scenarios!$H$16*(1-B49)</f>
        <v/>
      </c>
      <c r="D49" s="18">
        <f>C49/Inputs!$C$80</f>
        <v/>
      </c>
      <c r="E49" s="32">
        <f>Scenarios!$H$15*IF(Scenarios!$H$16&gt;0,$C$12+Scenarios!$H$16*((1-B49)*$C$13+B49*$C$14),0)</f>
        <v/>
      </c>
      <c r="F49" s="31">
        <f>Scenarios!$H$15*IF(Scenarios!$H$16&gt;0,Scenarios!$H$16*(Scenarios!$H$14*$C$9+$C$8)*$C$7-$C$10-$C$11*MAX(Scenarios!$H$16-1,0),0)</f>
        <v/>
      </c>
      <c r="G49" s="26">
        <f>IF(E49&gt;0,F49/E49,"n/a")</f>
        <v/>
      </c>
    </row>
    <row r="50">
      <c r="B50" s="25">
        <f>B49+Inputs!$C$144</f>
        <v/>
      </c>
      <c r="C50" s="84">
        <f>Scenarios!$H$15*Scenarios!$H$16*(1-B50)</f>
        <v/>
      </c>
      <c r="D50" s="18">
        <f>C50/Inputs!$C$80</f>
        <v/>
      </c>
      <c r="E50" s="32">
        <f>Scenarios!$H$15*IF(Scenarios!$H$16&gt;0,$C$12+Scenarios!$H$16*((1-B50)*$C$13+B50*$C$14),0)</f>
        <v/>
      </c>
      <c r="F50" s="31">
        <f>Scenarios!$H$15*IF(Scenarios!$H$16&gt;0,Scenarios!$H$16*(Scenarios!$H$14*$C$9+$C$8)*$C$7-$C$10-$C$11*MAX(Scenarios!$H$16-1,0),0)</f>
        <v/>
      </c>
      <c r="G50" s="26">
        <f>IF(E50&gt;0,F50/E50,"n/a")</f>
        <v/>
      </c>
    </row>
    <row r="51">
      <c r="B51" s="25">
        <f>B50+Inputs!$C$144</f>
        <v/>
      </c>
      <c r="C51" s="84">
        <f>Scenarios!$H$15*Scenarios!$H$16*(1-B51)</f>
        <v/>
      </c>
      <c r="D51" s="18">
        <f>C51/Inputs!$C$80</f>
        <v/>
      </c>
      <c r="E51" s="32">
        <f>Scenarios!$H$15*IF(Scenarios!$H$16&gt;0,$C$12+Scenarios!$H$16*((1-B51)*$C$13+B51*$C$14),0)</f>
        <v/>
      </c>
      <c r="F51" s="31">
        <f>Scenarios!$H$15*IF(Scenarios!$H$16&gt;0,Scenarios!$H$16*(Scenarios!$H$14*$C$9+$C$8)*$C$7-$C$10-$C$11*MAX(Scenarios!$H$16-1,0),0)</f>
        <v/>
      </c>
      <c r="G51" s="26">
        <f>IF(E51&gt;0,F51/E51,"n/a")</f>
        <v/>
      </c>
    </row>
    <row r="52">
      <c r="B52" s="25">
        <f>B51+Inputs!$C$144</f>
        <v/>
      </c>
      <c r="C52" s="84">
        <f>Scenarios!$H$15*Scenarios!$H$16*(1-B52)</f>
        <v/>
      </c>
      <c r="D52" s="18">
        <f>C52/Inputs!$C$80</f>
        <v/>
      </c>
      <c r="E52" s="32">
        <f>Scenarios!$H$15*IF(Scenarios!$H$16&gt;0,$C$12+Scenarios!$H$16*((1-B52)*$C$13+B52*$C$14),0)</f>
        <v/>
      </c>
      <c r="F52" s="31">
        <f>Scenarios!$H$15*IF(Scenarios!$H$16&gt;0,Scenarios!$H$16*(Scenarios!$H$14*$C$9+$C$8)*$C$7-$C$10-$C$11*MAX(Scenarios!$H$16-1,0),0)</f>
        <v/>
      </c>
      <c r="G52" s="26">
        <f>IF(E52&gt;0,F52/E52,"n/a")</f>
        <v/>
      </c>
    </row>
    <row r="53">
      <c r="B53" s="25">
        <f>B52+Inputs!$C$144</f>
        <v/>
      </c>
      <c r="C53" s="84">
        <f>Scenarios!$H$15*Scenarios!$H$16*(1-B53)</f>
        <v/>
      </c>
      <c r="D53" s="18">
        <f>C53/Inputs!$C$80</f>
        <v/>
      </c>
      <c r="E53" s="32">
        <f>Scenarios!$H$15*IF(Scenarios!$H$16&gt;0,$C$12+Scenarios!$H$16*((1-B53)*$C$13+B53*$C$14),0)</f>
        <v/>
      </c>
      <c r="F53" s="31">
        <f>Scenarios!$H$15*IF(Scenarios!$H$16&gt;0,Scenarios!$H$16*(Scenarios!$H$14*$C$9+$C$8)*$C$7-$C$10-$C$11*MAX(Scenarios!$H$16-1,0),0)</f>
        <v/>
      </c>
      <c r="G53" s="26">
        <f>IF(E53&gt;0,F53/E53,"n/a")</f>
        <v/>
      </c>
    </row>
    <row r="54">
      <c r="B54" s="25">
        <f>B53+Inputs!$C$144</f>
        <v/>
      </c>
      <c r="C54" s="84">
        <f>Scenarios!$H$15*Scenarios!$H$16*(1-B54)</f>
        <v/>
      </c>
      <c r="D54" s="18">
        <f>C54/Inputs!$C$80</f>
        <v/>
      </c>
      <c r="E54" s="32">
        <f>Scenarios!$H$15*IF(Scenarios!$H$16&gt;0,$C$12+Scenarios!$H$16*((1-B54)*$C$13+B54*$C$14),0)</f>
        <v/>
      </c>
      <c r="F54" s="31">
        <f>Scenarios!$H$15*IF(Scenarios!$H$16&gt;0,Scenarios!$H$16*(Scenarios!$H$14*$C$9+$C$8)*$C$7-$C$10-$C$11*MAX(Scenarios!$H$16-1,0),0)</f>
        <v/>
      </c>
      <c r="G54" s="26">
        <f>IF(E54&gt;0,F54/E54,"n/a")</f>
        <v/>
      </c>
    </row>
    <row r="55">
      <c r="B55" s="25">
        <f>B54+Inputs!$C$144</f>
        <v/>
      </c>
      <c r="C55" s="84">
        <f>Scenarios!$H$15*Scenarios!$H$16*(1-B55)</f>
        <v/>
      </c>
      <c r="D55" s="18">
        <f>C55/Inputs!$C$80</f>
        <v/>
      </c>
      <c r="E55" s="32">
        <f>Scenarios!$H$15*IF(Scenarios!$H$16&gt;0,$C$12+Scenarios!$H$16*((1-B55)*$C$13+B55*$C$14),0)</f>
        <v/>
      </c>
      <c r="F55" s="31">
        <f>Scenarios!$H$15*IF(Scenarios!$H$16&gt;0,Scenarios!$H$16*(Scenarios!$H$14*$C$9+$C$8)*$C$7-$C$10-$C$11*MAX(Scenarios!$H$16-1,0),0)</f>
        <v/>
      </c>
      <c r="G55" s="26">
        <f>IF(E55&gt;0,F55/E55,"n/a")</f>
        <v/>
      </c>
    </row>
    <row r="58">
      <c r="B58" s="75" t="inlineStr">
        <is>
          <t>Table 4. Price per office and the monthly steady state (scenario drops per month, brands per drop and renewal rate)</t>
        </is>
      </c>
    </row>
    <row r="59" ht="45" customHeight="1">
      <c r="B59" s="10" t="inlineStr">
        <is>
          <t>Price per office</t>
        </is>
      </c>
      <c r="C59" s="10" t="inlineStr">
        <is>
          <t>Revenue per month</t>
        </is>
      </c>
      <c r="D59" s="10" t="inlineStr">
        <is>
          <t>Contribution per month</t>
        </is>
      </c>
      <c r="E59" s="10" t="inlineStr">
        <is>
          <t>Founder hours per month</t>
        </is>
      </c>
      <c r="F59" s="10" t="inlineStr">
        <is>
          <t>Contribution per founder hour</t>
        </is>
      </c>
    </row>
    <row r="60">
      <c r="B60" s="33">
        <f>Inputs!$C$139</f>
        <v/>
      </c>
      <c r="C60" s="31">
        <f>Scenarios!$H$15*Scenarios!$H$16*(B60*$C$9+$C$8)</f>
        <v/>
      </c>
      <c r="D60" s="31">
        <f>Scenarios!$H$15*IF(Scenarios!$H$16&gt;0,Scenarios!$H$16*(B60*$C$9+$C$8)*$C$7-$C$10-$C$11*MAX(Scenarios!$H$16-1,0),0)</f>
        <v/>
      </c>
      <c r="E60" s="32">
        <f>Scenarios!$H$15*IF(Scenarios!$H$16&gt;0,$C$12+Scenarios!$H$16*((1-Scenarios!$H$12)*$C$13+Scenarios!$H$12*$C$14),0)</f>
        <v/>
      </c>
      <c r="F60" s="26">
        <f>IF(E60&gt;0,D60/E60,"n/a")</f>
        <v/>
      </c>
    </row>
    <row r="61">
      <c r="B61" s="33">
        <f>B60+Inputs!$C$140</f>
        <v/>
      </c>
      <c r="C61" s="31">
        <f>Scenarios!$H$15*Scenarios!$H$16*(B61*$C$9+$C$8)</f>
        <v/>
      </c>
      <c r="D61" s="31">
        <f>Scenarios!$H$15*IF(Scenarios!$H$16&gt;0,Scenarios!$H$16*(B61*$C$9+$C$8)*$C$7-$C$10-$C$11*MAX(Scenarios!$H$16-1,0),0)</f>
        <v/>
      </c>
      <c r="E61" s="32">
        <f>Scenarios!$H$15*IF(Scenarios!$H$16&gt;0,$C$12+Scenarios!$H$16*((1-Scenarios!$H$12)*$C$13+Scenarios!$H$12*$C$14),0)</f>
        <v/>
      </c>
      <c r="F61" s="26">
        <f>IF(E61&gt;0,D61/E61,"n/a")</f>
        <v/>
      </c>
    </row>
    <row r="62">
      <c r="B62" s="33">
        <f>B61+Inputs!$C$140</f>
        <v/>
      </c>
      <c r="C62" s="31">
        <f>Scenarios!$H$15*Scenarios!$H$16*(B62*$C$9+$C$8)</f>
        <v/>
      </c>
      <c r="D62" s="31">
        <f>Scenarios!$H$15*IF(Scenarios!$H$16&gt;0,Scenarios!$H$16*(B62*$C$9+$C$8)*$C$7-$C$10-$C$11*MAX(Scenarios!$H$16-1,0),0)</f>
        <v/>
      </c>
      <c r="E62" s="32">
        <f>Scenarios!$H$15*IF(Scenarios!$H$16&gt;0,$C$12+Scenarios!$H$16*((1-Scenarios!$H$12)*$C$13+Scenarios!$H$12*$C$14),0)</f>
        <v/>
      </c>
      <c r="F62" s="26">
        <f>IF(E62&gt;0,D62/E62,"n/a")</f>
        <v/>
      </c>
    </row>
    <row r="63">
      <c r="B63" s="33">
        <f>B62+Inputs!$C$140</f>
        <v/>
      </c>
      <c r="C63" s="31">
        <f>Scenarios!$H$15*Scenarios!$H$16*(B63*$C$9+$C$8)</f>
        <v/>
      </c>
      <c r="D63" s="31">
        <f>Scenarios!$H$15*IF(Scenarios!$H$16&gt;0,Scenarios!$H$16*(B63*$C$9+$C$8)*$C$7-$C$10-$C$11*MAX(Scenarios!$H$16-1,0),0)</f>
        <v/>
      </c>
      <c r="E63" s="32">
        <f>Scenarios!$H$15*IF(Scenarios!$H$16&gt;0,$C$12+Scenarios!$H$16*((1-Scenarios!$H$12)*$C$13+Scenarios!$H$12*$C$14),0)</f>
        <v/>
      </c>
      <c r="F63" s="26">
        <f>IF(E63&gt;0,D63/E63,"n/a")</f>
        <v/>
      </c>
    </row>
    <row r="64">
      <c r="B64" s="33">
        <f>B63+Inputs!$C$140</f>
        <v/>
      </c>
      <c r="C64" s="31">
        <f>Scenarios!$H$15*Scenarios!$H$16*(B64*$C$9+$C$8)</f>
        <v/>
      </c>
      <c r="D64" s="31">
        <f>Scenarios!$H$15*IF(Scenarios!$H$16&gt;0,Scenarios!$H$16*(B64*$C$9+$C$8)*$C$7-$C$10-$C$11*MAX(Scenarios!$H$16-1,0),0)</f>
        <v/>
      </c>
      <c r="E64" s="32">
        <f>Scenarios!$H$15*IF(Scenarios!$H$16&gt;0,$C$12+Scenarios!$H$16*((1-Scenarios!$H$12)*$C$13+Scenarios!$H$12*$C$14),0)</f>
        <v/>
      </c>
      <c r="F64" s="26">
        <f>IF(E64&gt;0,D64/E64,"n/a")</f>
        <v/>
      </c>
    </row>
    <row r="65">
      <c r="B65" s="33">
        <f>B64+Inputs!$C$140</f>
        <v/>
      </c>
      <c r="C65" s="31">
        <f>Scenarios!$H$15*Scenarios!$H$16*(B65*$C$9+$C$8)</f>
        <v/>
      </c>
      <c r="D65" s="31">
        <f>Scenarios!$H$15*IF(Scenarios!$H$16&gt;0,Scenarios!$H$16*(B65*$C$9+$C$8)*$C$7-$C$10-$C$11*MAX(Scenarios!$H$16-1,0),0)</f>
        <v/>
      </c>
      <c r="E65" s="32">
        <f>Scenarios!$H$15*IF(Scenarios!$H$16&gt;0,$C$12+Scenarios!$H$16*((1-Scenarios!$H$12)*$C$13+Scenarios!$H$12*$C$14),0)</f>
        <v/>
      </c>
      <c r="F65" s="26">
        <f>IF(E65&gt;0,D65/E65,"n/a")</f>
        <v/>
      </c>
    </row>
    <row r="66">
      <c r="B66" s="33">
        <f>B65+Inputs!$C$140</f>
        <v/>
      </c>
      <c r="C66" s="31">
        <f>Scenarios!$H$15*Scenarios!$H$16*(B66*$C$9+$C$8)</f>
        <v/>
      </c>
      <c r="D66" s="31">
        <f>Scenarios!$H$15*IF(Scenarios!$H$16&gt;0,Scenarios!$H$16*(B66*$C$9+$C$8)*$C$7-$C$10-$C$11*MAX(Scenarios!$H$16-1,0),0)</f>
        <v/>
      </c>
      <c r="E66" s="32">
        <f>Scenarios!$H$15*IF(Scenarios!$H$16&gt;0,$C$12+Scenarios!$H$16*((1-Scenarios!$H$12)*$C$13+Scenarios!$H$12*$C$14),0)</f>
        <v/>
      </c>
      <c r="F66" s="26">
        <f>IF(E66&gt;0,D66/E66,"n/a")</f>
        <v/>
      </c>
    </row>
    <row r="67">
      <c r="B67" s="33">
        <f>B66+Inputs!$C$140</f>
        <v/>
      </c>
      <c r="C67" s="31">
        <f>Scenarios!$H$15*Scenarios!$H$16*(B67*$C$9+$C$8)</f>
        <v/>
      </c>
      <c r="D67" s="31">
        <f>Scenarios!$H$15*IF(Scenarios!$H$16&gt;0,Scenarios!$H$16*(B67*$C$9+$C$8)*$C$7-$C$10-$C$11*MAX(Scenarios!$H$16-1,0),0)</f>
        <v/>
      </c>
      <c r="E67" s="32">
        <f>Scenarios!$H$15*IF(Scenarios!$H$16&gt;0,$C$12+Scenarios!$H$16*((1-Scenarios!$H$12)*$C$13+Scenarios!$H$12*$C$14),0)</f>
        <v/>
      </c>
      <c r="F67" s="26">
        <f>IF(E67&gt;0,D67/E67,"n/a")</f>
        <v/>
      </c>
    </row>
    <row r="70">
      <c r="B70" s="75" t="inlineStr">
        <is>
          <t>Direction checks (each should be 0)</t>
        </is>
      </c>
    </row>
    <row r="71">
      <c r="B71" t="inlineStr">
        <is>
          <t>Table 1: cells where a higher price does not raise contribution per hour</t>
        </is>
      </c>
      <c r="C71" s="19">
        <f>SUMPRODUCT((C19:C25-C18:C24&lt;=0)*1)+SUMPRODUCT((D19:D25-D18:D24&lt;=0)*1)+SUMPRODUCT((E19:E25-E18:E24&lt;=0)*1)+SUMPRODUCT((F19:F25-F18:F24&lt;=0)*1)+SUMPRODUCT((G19:G25-G18:G24&lt;=0)*1)</f>
        <v/>
      </c>
    </row>
    <row r="72">
      <c r="B72" t="inlineStr">
        <is>
          <t>Table 1: cells where one more brand does not raise contribution per hour</t>
        </is>
      </c>
      <c r="C72" s="19">
        <f>SUMPRODUCT((D18:G18-C18:F18&lt;=0)*1)+SUMPRODUCT((D19:G19-C19:F19&lt;=0)*1)+SUMPRODUCT((D20:G20-C20:F20&lt;=0)*1)+SUMPRODUCT((D21:G21-C21:F21&lt;=0)*1)+SUMPRODUCT((D22:G22-C22:F22&lt;=0)*1)+SUMPRODUCT((D23:G23-C23:F23&lt;=0)*1)+SUMPRODUCT((D24:G24-C24:F24&lt;=0)*1)+SUMPRODUCT((D25:G25-C25:F25&lt;=0)*1)</f>
        <v/>
      </c>
    </row>
    <row r="73">
      <c r="B73" t="inlineStr">
        <is>
          <t>Table 2: cells where a higher renewal rate lowers a positive contribution per hour</t>
        </is>
      </c>
      <c r="C73" s="19">
        <f>SUMPRODUCT((C31:C40-C30:C39&lt;0)*(C30:C39&gt;0))+SUMPRODUCT((D31:D40-D30:D39&lt;0)*(D30:D39&gt;0))+SUMPRODUCT((E31:E40-E30:E39&lt;0)*(E30:E39&gt;0))+SUMPRODUCT((F31:F40-F30:F39&lt;0)*(F30:F39&gt;0))+SUMPRODUCT((G31:G40-G30:G39&lt;0)*(G30:G39&gt;0))</f>
        <v/>
      </c>
    </row>
    <row r="75">
      <c r="A75" s="75" t="inlineStr">
        <is>
          <t>Full-engine row used by the cross-check above</t>
        </is>
      </c>
    </row>
    <row r="76" ht="58" customHeight="1">
      <c r="A76" s="10" t="inlineStr">
        <is>
          <t>Drop or case</t>
        </is>
      </c>
      <c r="B76" s="10" t="inlineStr">
        <is>
          <t>Drop date</t>
        </is>
      </c>
      <c r="C76" s="10" t="inlineStr">
        <is>
          <t>Delivery model</t>
        </is>
      </c>
      <c r="D76" s="10" t="inlineStr">
        <is>
          <t>Tier</t>
        </is>
      </c>
      <c r="E76" s="10" t="inlineStr">
        <is>
          <t>Offices</t>
        </is>
      </c>
      <c r="F76" s="10" t="inlineStr">
        <is>
          <t>New offices</t>
        </is>
      </c>
      <c r="G76" s="10" t="inlineStr">
        <is>
          <t>Brands</t>
        </is>
      </c>
      <c r="H76" s="10" t="inlineStr">
        <is>
          <t>of which renewals</t>
        </is>
      </c>
      <c r="I76" s="10" t="inlineStr">
        <is>
          <t>of which founding-rate renewals</t>
        </is>
      </c>
      <c r="J76" s="10" t="inlineStr">
        <is>
          <t>Standard price per office</t>
        </is>
      </c>
      <c r="K76" s="10" t="inlineStr">
        <is>
          <t>Founding price per office</t>
        </is>
      </c>
      <c r="L76" s="10" t="inlineStr">
        <is>
          <t>Storage allocated (1/0)</t>
        </is>
      </c>
      <c r="M76" s="10" t="inlineStr">
        <is>
          <t>Card processing (1/0)</t>
        </is>
      </c>
      <c r="N76" s="10" t="inlineStr">
        <is>
          <t>Drop runs (1/0)</t>
        </is>
      </c>
      <c r="O76" s="10" t="inlineStr">
        <is>
          <t>New founding brands</t>
        </is>
      </c>
      <c r="P76" s="10" t="inlineStr">
        <is>
          <t>New standard brands</t>
        </is>
      </c>
      <c r="Q76" s="10" t="inlineStr">
        <is>
          <t>Revenue at founding rate</t>
        </is>
      </c>
      <c r="R76" s="10" t="inlineStr">
        <is>
          <t>Revenue at standard rate</t>
        </is>
      </c>
      <c r="S76" s="10" t="inlineStr">
        <is>
          <t>Revenue</t>
        </is>
      </c>
      <c r="T76" s="10" t="inlineStr">
        <is>
          <t>Display kits</t>
        </is>
      </c>
      <c r="U76" s="10" t="inlineStr">
        <is>
          <t>Transport</t>
        </is>
      </c>
      <c r="V76" s="10" t="inlineStr">
        <is>
          <t>Kit mailing</t>
        </is>
      </c>
      <c r="W76" s="10" t="inlineStr">
        <is>
          <t>Card processing</t>
        </is>
      </c>
      <c r="X76" s="10" t="inlineStr">
        <is>
          <t>Storage allocation</t>
        </is>
      </c>
      <c r="Y76" s="10" t="inlineStr">
        <is>
          <t>Software allocation</t>
        </is>
      </c>
      <c r="Z76" s="10" t="inlineStr">
        <is>
          <t>Insurance allocation</t>
        </is>
      </c>
      <c r="AA76" s="10" t="inlineStr">
        <is>
          <t>Hard costs</t>
        </is>
      </c>
      <c r="AB76" s="10" t="inlineStr">
        <is>
          <t>brand_sales (h)</t>
        </is>
      </c>
      <c r="AC76" s="10" t="inlineStr">
        <is>
          <t>office_coordination (h)</t>
        </is>
      </c>
      <c r="AD76" s="10" t="inlineStr">
        <is>
          <t>receiving_kitting (h)</t>
        </is>
      </c>
      <c r="AE76" s="10" t="inlineStr">
        <is>
          <t>drop_day (h)</t>
        </is>
      </c>
      <c r="AF76" s="10" t="inlineStr">
        <is>
          <t>checks_pickup (h)</t>
        </is>
      </c>
      <c r="AG76" s="10" t="inlineStr">
        <is>
          <t>reporting_debriefs (h)</t>
        </is>
      </c>
      <c r="AH76" s="10" t="inlineStr">
        <is>
          <t>admin_invoicing (h)</t>
        </is>
      </c>
      <c r="AI76" s="10" t="inlineStr">
        <is>
          <t>Founder hours</t>
        </is>
      </c>
      <c r="AJ76" s="10" t="inlineStr">
        <is>
          <t>Contribution</t>
        </is>
      </c>
      <c r="AK76" s="10" t="inlineStr">
        <is>
          <t>Contribution per founder hour</t>
        </is>
      </c>
      <c r="AL76" s="10" t="inlineStr">
        <is>
          <t>Direct costs (kits, transport, mailing, processing)</t>
        </is>
      </c>
      <c r="AM76" s="10" t="inlineStr">
        <is>
          <t>Overhead allocations (views of monthly costs)</t>
        </is>
      </c>
    </row>
    <row r="77">
      <c r="A77" t="inlineStr">
        <is>
          <t>Check: steady-state model, current price, active renewal rate</t>
        </is>
      </c>
      <c r="B77" s="17" t="n"/>
      <c r="C77">
        <f>Inputs!$C$103</f>
        <v/>
      </c>
      <c r="D77" t="inlineStr">
        <is>
          <t>standard</t>
        </is>
      </c>
      <c r="E77" s="18">
        <f>Inputs!$C$104</f>
        <v/>
      </c>
      <c r="F77" s="18" t="n">
        <v>0</v>
      </c>
      <c r="G77">
        <f>$G$6</f>
        <v/>
      </c>
      <c r="H77">
        <f>Scenarios!$H$12*G77</f>
        <v/>
      </c>
      <c r="I77" t="n">
        <v>0</v>
      </c>
      <c r="J77" s="31">
        <f>Inputs!$C$33</f>
        <v/>
      </c>
      <c r="K77" s="31">
        <f>Inputs!$C$36</f>
        <v/>
      </c>
      <c r="L77" s="18">
        <f>IF(Inputs!$C$65="unit",1,0)</f>
        <v/>
      </c>
      <c r="M77" s="18">
        <f>Inputs!$C$49</f>
        <v/>
      </c>
      <c r="N77" s="18">
        <f>IF(G77&gt;0,1,0)</f>
        <v/>
      </c>
      <c r="O77">
        <f>IF(D77="founding",G77-H77,0)</f>
        <v/>
      </c>
      <c r="P77">
        <f>IF(D77="standard",G77-H77,0)</f>
        <v/>
      </c>
      <c r="Q77" s="31">
        <f>O77*(K77*MIN(E77,Inputs!$C$37)+Inputs!$C$39*MAX(E77-Inputs!$C$37,0))+I77*K77*E77</f>
        <v/>
      </c>
      <c r="R77" s="31">
        <f>(P77+H77-I77)*(J77*MIN(E77,Inputs!$C$34)+Inputs!$C$39*MAX(E77-Inputs!$C$34,0))</f>
        <v/>
      </c>
      <c r="S77" s="33">
        <f>Q77+R77</f>
        <v/>
      </c>
      <c r="T77" s="31">
        <f>N77*E77*(Inputs!$C$58+Inputs!$C$59*MAX(G77-1,0))</f>
        <v/>
      </c>
      <c r="U77" s="31">
        <f>IF(N77=0,0,INDEX(Inputs!$C$95:$C$97,MATCH(C77,Inputs!$B$95:$B$97,0))+INDEX(Inputs!$D$95:$D$97,MATCH(C77,Inputs!$B$95:$B$97,0))*E77)</f>
        <v/>
      </c>
      <c r="V77" s="31">
        <f>IF(N77=0,0,INDEX(Inputs!$E$95:$E$97,MATCH(C77,Inputs!$B$95:$B$97,0))*E77)</f>
        <v/>
      </c>
      <c r="W77" s="31">
        <f>S77*Inputs!$C$48*M77</f>
        <v/>
      </c>
      <c r="X77" s="31">
        <f>N77*L77*Inputs!$C$66/Inputs!$C$75</f>
        <v/>
      </c>
      <c r="Y77" s="31">
        <f>N77*Inputs!$C$69/Inputs!$C$75</f>
        <v/>
      </c>
      <c r="Z77" s="31">
        <f>N77*Inputs!$C$71/Inputs!$C$75</f>
        <v/>
      </c>
      <c r="AA77" s="33">
        <f>SUM(T77:Z77)</f>
        <v/>
      </c>
      <c r="AB77" s="32">
        <f>O77*Inputs!$C$79+P77*Inputs!$C$83+H77*Inputs!$C$84</f>
        <v/>
      </c>
      <c r="AC77" s="32">
        <f>N77*(F77*Inputs!$C$85+(E77-F77)*Inputs!$C$86)</f>
        <v/>
      </c>
      <c r="AD77" s="32">
        <f>IF(N77=0,0,INDEX(Inputs!$F$95:$F$97,MATCH(C77,Inputs!$B$95:$B$97,0))+Inputs!$C$87*G77)</f>
        <v/>
      </c>
      <c r="AE77" s="32">
        <f>IF(N77=0,0,INDEX(Inputs!$G$95:$G$97,MATCH(C77,Inputs!$B$95:$B$97,0))*E77)</f>
        <v/>
      </c>
      <c r="AF77" s="32">
        <f>IF(N77=0,0,INDEX(Inputs!$H$95:$H$97,MATCH(C77,Inputs!$B$95:$B$97,0))*E77)</f>
        <v/>
      </c>
      <c r="AG77" s="32">
        <f>Inputs!$C$88*G77</f>
        <v/>
      </c>
      <c r="AH77" s="32">
        <f>N77*Inputs!$C$89</f>
        <v/>
      </c>
      <c r="AI77" s="34">
        <f>SUM(AB77:AH77)</f>
        <v/>
      </c>
      <c r="AJ77" s="33">
        <f>S77-AA77</f>
        <v/>
      </c>
      <c r="AK77" s="27">
        <f>IF(AI77&gt;0,AJ77/AI77,"n/a")</f>
        <v/>
      </c>
      <c r="AL77" s="31">
        <f>T77+U77+V77+W77</f>
        <v/>
      </c>
      <c r="AM77" s="31">
        <f>X77+Y77+Z77</f>
        <v/>
      </c>
    </row>
  </sheetData>
  <mergeCells count="1">
    <mergeCell ref="A3:L3"/>
  </mergeCells>
  <conditionalFormatting sqref="C18:G25">
    <cfRule type="cellIs" priority="1" operator="greaterThanOrEqual" dxfId="4">
      <formula>$G$10</formula>
    </cfRule>
    <cfRule type="cellIs" priority="2" operator="lessThan" dxfId="5">
      <formula>$G$10</formula>
    </cfRule>
  </conditionalFormatting>
  <conditionalFormatting sqref="C30:G40">
    <cfRule type="cellIs" priority="3" operator="greaterThanOrEqual" dxfId="4">
      <formula>$G$10</formula>
    </cfRule>
    <cfRule type="cellIs" priority="4" operator="lessThan" dxfId="5">
      <formula>$G$10</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Y58"/>
  <sheetViews>
    <sheetView zoomScale="90" workbookViewId="0">
      <pane xSplit="1" ySplit="6" topLeftCell="B7" activePane="bottomRight" state="frozen"/>
      <selection pane="topRight"/>
      <selection pane="bottomLeft"/>
      <selection pane="bottomRight" activeCell="A1" sqref="A1"/>
    </sheetView>
  </sheetViews>
  <sheetFormatPr baseColWidth="8" defaultRowHeight="15"/>
  <cols>
    <col width="44" customWidth="1" min="1" max="1"/>
    <col width="44" customWidth="1" min="2" max="2"/>
    <col width="11" customWidth="1" min="3" max="3"/>
    <col width="11" customWidth="1" min="4" max="4"/>
    <col width="11" customWidth="1" min="5" max="5"/>
    <col width="11" customWidth="1" min="6" max="6"/>
    <col width="11" customWidth="1" min="7" max="7"/>
    <col width="14"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6" customWidth="1" min="50" max="50"/>
    <col width="60" customWidth="1" min="51" max="51"/>
  </cols>
  <sheetData>
    <row r="1">
      <c r="A1" s="1" t="inlineStr">
        <is>
          <t>Plan check: the plan's figures reproduced by the model</t>
        </is>
      </c>
    </row>
    <row r="2">
      <c r="A2" s="2" t="inlineStr">
        <is>
          <t>Each case runs through the same engine as the drops. Plan figures are typed from plan.md for comparison only.</t>
        </is>
      </c>
    </row>
    <row r="3">
      <c r="A3" s="7" t="inlineStr">
        <is>
          <t>Reproduction holds while inputs equal the plan defaults (Inputs 'Changed' column). If you change an input, a 'differs' here is expected and is not an error.</t>
        </is>
      </c>
    </row>
    <row r="5">
      <c r="A5" s="76" t="inlineStr">
        <is>
          <t>Case</t>
        </is>
      </c>
      <c r="E5" s="76" t="inlineStr">
        <is>
          <t>Inputs to the engine</t>
        </is>
      </c>
      <c r="N5" s="76" t="inlineStr">
        <is>
          <t>Revenue</t>
        </is>
      </c>
      <c r="T5" s="76" t="inlineStr">
        <is>
          <t>Hard costs</t>
        </is>
      </c>
      <c r="AB5" s="76" t="inlineStr">
        <is>
          <t>Founder hours by activity</t>
        </is>
      </c>
      <c r="AJ5" s="76" t="inlineStr">
        <is>
          <t>Result</t>
        </is>
      </c>
      <c r="AL5" s="76" t="inlineStr">
        <is>
          <t>Split</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c r="AO6" s="10" t="inlineStr">
        <is>
          <t>Plan revenue</t>
        </is>
      </c>
      <c r="AP6" s="10" t="inlineStr">
        <is>
          <t>Plan hard costs</t>
        </is>
      </c>
      <c r="AQ6" s="10" t="inlineStr">
        <is>
          <t>Plan founder hours</t>
        </is>
      </c>
      <c r="AR6" s="10" t="inlineStr">
        <is>
          <t>Plan contribution</t>
        </is>
      </c>
      <c r="AS6" s="10" t="inlineStr">
        <is>
          <t>Plan per founder hour</t>
        </is>
      </c>
      <c r="AT6" s="10" t="inlineStr">
        <is>
          <t>Money tolerance</t>
        </is>
      </c>
      <c r="AU6" s="10" t="inlineStr">
        <is>
          <t>Hours tolerance</t>
        </is>
      </c>
      <c r="AV6" s="10" t="inlineStr">
        <is>
          <t>Per-hour tolerance</t>
        </is>
      </c>
      <c r="AW6" s="10" t="inlineStr">
        <is>
          <t>Kind</t>
        </is>
      </c>
      <c r="AX6" s="10" t="inlineStr">
        <is>
          <t>Status</t>
        </is>
      </c>
      <c r="AY6" s="10" t="inlineStr">
        <is>
          <t>Plan reading</t>
        </is>
      </c>
    </row>
    <row r="7" ht="30" customHeight="1">
      <c r="A7" s="58" t="inlineStr">
        <is>
          <t>1. Campaign zero: 2 founding brands, 5 offices, you deliver</t>
        </is>
      </c>
      <c r="B7" s="57" t="n"/>
      <c r="C7" s="58" t="inlineStr">
        <is>
          <t>founder</t>
        </is>
      </c>
      <c r="D7" s="58" t="inlineStr">
        <is>
          <t>founding</t>
        </is>
      </c>
      <c r="E7" s="62" t="n">
        <v>5</v>
      </c>
      <c r="F7" s="62" t="n">
        <v>5</v>
      </c>
      <c r="G7" s="58" t="n">
        <v>2</v>
      </c>
      <c r="H7" s="58" t="n">
        <v>0</v>
      </c>
      <c r="I7" s="58" t="n">
        <v>0</v>
      </c>
      <c r="J7" s="53" t="n">
        <v>150</v>
      </c>
      <c r="K7" s="53" t="n">
        <v>120</v>
      </c>
      <c r="L7" s="62" t="n">
        <v>0</v>
      </c>
      <c r="M7" s="62" t="n">
        <v>1</v>
      </c>
      <c r="N7" s="18">
        <f>IF(G7&gt;0,1,0)</f>
        <v/>
      </c>
      <c r="O7">
        <f>IF(D7="founding",G7-H7,0)</f>
        <v/>
      </c>
      <c r="P7">
        <f>IF(D7="standard",G7-H7,0)</f>
        <v/>
      </c>
      <c r="Q7" s="31">
        <f>O7*(K7*MIN(E7,Inputs!$C$37)+Inputs!$C$39*MAX(E7-Inputs!$C$37,0))+I7*K7*E7</f>
        <v/>
      </c>
      <c r="R7" s="31">
        <f>(P7+H7-I7)*(J7*MIN(E7,Inputs!$C$34)+Inputs!$C$39*MAX(E7-Inputs!$C$34,0))</f>
        <v/>
      </c>
      <c r="S7" s="33">
        <f>Q7+R7</f>
        <v/>
      </c>
      <c r="T7" s="31">
        <f>N7*E7*(Inputs!$C$58+Inputs!$C$59*MAX(G7-1,0))</f>
        <v/>
      </c>
      <c r="U7" s="31">
        <f>IF(N7=0,0,INDEX(Inputs!$C$95:$C$97,MATCH(C7,Inputs!$B$95:$B$97,0))+INDEX(Inputs!$D$95:$D$97,MATCH(C7,Inputs!$B$95:$B$97,0))*E7)</f>
        <v/>
      </c>
      <c r="V7" s="31">
        <f>IF(N7=0,0,INDEX(Inputs!$E$95:$E$97,MATCH(C7,Inputs!$B$95:$B$97,0))*E7)</f>
        <v/>
      </c>
      <c r="W7" s="31">
        <f>S7*Inputs!$C$48*M7</f>
        <v/>
      </c>
      <c r="X7" s="31">
        <f>N7*L7*Inputs!$C$66/Inputs!$C$75</f>
        <v/>
      </c>
      <c r="Y7" s="31">
        <f>N7*Inputs!$C$69/Inputs!$C$75</f>
        <v/>
      </c>
      <c r="Z7" s="31">
        <f>N7*Inputs!$C$71/Inputs!$C$75</f>
        <v/>
      </c>
      <c r="AA7" s="33">
        <f>SUM(T7:Z7)</f>
        <v/>
      </c>
      <c r="AB7" s="32">
        <f>O7*Inputs!$C$79+P7*Inputs!$C$83+H7*Inputs!$C$84</f>
        <v/>
      </c>
      <c r="AC7" s="32">
        <f>N7*(F7*Inputs!$C$85+(E7-F7)*Inputs!$C$86)</f>
        <v/>
      </c>
      <c r="AD7" s="32">
        <f>IF(N7=0,0,INDEX(Inputs!$F$95:$F$97,MATCH(C7,Inputs!$B$95:$B$97,0))+Inputs!$C$87*G7)</f>
        <v/>
      </c>
      <c r="AE7" s="32">
        <f>IF(N7=0,0,INDEX(Inputs!$G$95:$G$97,MATCH(C7,Inputs!$B$95:$B$97,0))*E7)</f>
        <v/>
      </c>
      <c r="AF7" s="32">
        <f>IF(N7=0,0,INDEX(Inputs!$H$95:$H$97,MATCH(C7,Inputs!$B$95:$B$97,0))*E7)</f>
        <v/>
      </c>
      <c r="AG7" s="32">
        <f>Inputs!$C$88*G7</f>
        <v/>
      </c>
      <c r="AH7" s="32">
        <f>N7*Inputs!$C$89</f>
        <v/>
      </c>
      <c r="AI7" s="34">
        <f>SUM(AB7:AH7)</f>
        <v/>
      </c>
      <c r="AJ7" s="33">
        <f>S7-AA7</f>
        <v/>
      </c>
      <c r="AK7" s="27">
        <f>IF(AI7&gt;0,AJ7/AI7,"n/a")</f>
        <v/>
      </c>
      <c r="AL7" s="31">
        <f>T7+U7+V7+W7</f>
        <v/>
      </c>
      <c r="AM7" s="31">
        <f>X7+Y7+Z7</f>
        <v/>
      </c>
      <c r="AO7" s="31" t="n">
        <v>1200</v>
      </c>
      <c r="AP7" s="31" t="n">
        <v>280</v>
      </c>
      <c r="AQ7" s="32" t="n">
        <v>57</v>
      </c>
      <c r="AR7" s="31" t="n">
        <v>920</v>
      </c>
      <c r="AS7" s="26" t="n">
        <v>16</v>
      </c>
      <c r="AT7" s="89" t="n">
        <v>10</v>
      </c>
      <c r="AU7" s="90" t="n">
        <v>0.01</v>
      </c>
      <c r="AV7" s="90" t="n">
        <v>0.5</v>
      </c>
      <c r="AW7" t="inlineStr">
        <is>
          <t>reproduce</t>
        </is>
      </c>
      <c r="AX7" s="8">
        <f>IF(AW7="contrast",IF(AND(IF(AO7="",TRUE,ABS(S7-AO7)&lt;=AT7),IF(AP7="",TRUE,ABS(AA7-AP7)&lt;=AT7),IF(AR7="",TRUE,ABS(AJ7-AR7)&lt;=AT7),IF(AQ7="",TRUE,ABS(AI7-AQ7)&lt;=AU7),IF(AS7="",TRUE,IF(ISNUMBER(AK7),ABS(AK7-AS7)&lt;=AV7,FALSE))),"matches","differs, as expected"),IF(AND(IF(AO7="",TRUE,ABS(S7-AO7)&lt;=AT7),IF(AP7="",TRUE,ABS(AA7-AP7)&lt;=AT7),IF(AR7="",TRUE,ABS(AJ7-AR7)&lt;=AT7),IF(AQ7="",TRUE,ABS(AI7-AQ7)&lt;=AU7),IF(AS7="",TRUE,IF(ISNUMBER(AK7),ABS(AK7-AS7)&lt;=AV7,FALSE))),"reproduces","differs"))</f>
        <v/>
      </c>
      <c r="AY7" s="5" t="inlineStr">
        <is>
          <t>(b) storage $0 at home, transport $120, processing 3%: $276, which the plan rounds to $280.</t>
        </is>
      </c>
    </row>
    <row r="8" ht="30" customHeight="1">
      <c r="A8" s="58" t="inlineStr">
        <is>
          <t>2. Standard drop, 1 brand, 10 offices, courier</t>
        </is>
      </c>
      <c r="B8" s="57" t="n"/>
      <c r="C8" s="58" t="inlineStr">
        <is>
          <t>courier</t>
        </is>
      </c>
      <c r="D8" s="58" t="inlineStr">
        <is>
          <t>standard</t>
        </is>
      </c>
      <c r="E8" s="62" t="n">
        <v>10</v>
      </c>
      <c r="F8" s="62" t="n">
        <v>0</v>
      </c>
      <c r="G8" s="58" t="n">
        <v>1</v>
      </c>
      <c r="H8" s="58" t="n">
        <v>0</v>
      </c>
      <c r="I8" s="58" t="n">
        <v>0</v>
      </c>
      <c r="J8" s="53" t="n">
        <v>150</v>
      </c>
      <c r="K8" s="53" t="n">
        <v>120</v>
      </c>
      <c r="L8" s="62" t="n">
        <v>1</v>
      </c>
      <c r="M8" s="62" t="n">
        <v>1</v>
      </c>
      <c r="N8" s="18">
        <f>IF(G8&gt;0,1,0)</f>
        <v/>
      </c>
      <c r="O8">
        <f>IF(D8="founding",G8-H8,0)</f>
        <v/>
      </c>
      <c r="P8">
        <f>IF(D8="standard",G8-H8,0)</f>
        <v/>
      </c>
      <c r="Q8" s="31">
        <f>O8*(K8*MIN(E8,Inputs!$C$37)+Inputs!$C$39*MAX(E8-Inputs!$C$37,0))+I8*K8*E8</f>
        <v/>
      </c>
      <c r="R8" s="31">
        <f>(P8+H8-I8)*(J8*MIN(E8,Inputs!$C$34)+Inputs!$C$39*MAX(E8-Inputs!$C$34,0))</f>
        <v/>
      </c>
      <c r="S8" s="33">
        <f>Q8+R8</f>
        <v/>
      </c>
      <c r="T8" s="31">
        <f>N8*E8*(Inputs!$C$58+Inputs!$C$59*MAX(G8-1,0))</f>
        <v/>
      </c>
      <c r="U8" s="31">
        <f>IF(N8=0,0,INDEX(Inputs!$C$95:$C$97,MATCH(C8,Inputs!$B$95:$B$97,0))+INDEX(Inputs!$D$95:$D$97,MATCH(C8,Inputs!$B$95:$B$97,0))*E8)</f>
        <v/>
      </c>
      <c r="V8" s="31">
        <f>IF(N8=0,0,INDEX(Inputs!$E$95:$E$97,MATCH(C8,Inputs!$B$95:$B$97,0))*E8)</f>
        <v/>
      </c>
      <c r="W8" s="31">
        <f>S8*Inputs!$C$48*M8</f>
        <v/>
      </c>
      <c r="X8" s="31">
        <f>N8*L8*Inputs!$C$66/Inputs!$C$75</f>
        <v/>
      </c>
      <c r="Y8" s="31">
        <f>N8*Inputs!$C$69/Inputs!$C$75</f>
        <v/>
      </c>
      <c r="Z8" s="31">
        <f>N8*Inputs!$C$71/Inputs!$C$75</f>
        <v/>
      </c>
      <c r="AA8" s="33">
        <f>SUM(T8:Z8)</f>
        <v/>
      </c>
      <c r="AB8" s="32">
        <f>O8*Inputs!$C$79+P8*Inputs!$C$83+H8*Inputs!$C$84</f>
        <v/>
      </c>
      <c r="AC8" s="32">
        <f>N8*(F8*Inputs!$C$85+(E8-F8)*Inputs!$C$86)</f>
        <v/>
      </c>
      <c r="AD8" s="32">
        <f>IF(N8=0,0,INDEX(Inputs!$F$95:$F$97,MATCH(C8,Inputs!$B$95:$B$97,0))+Inputs!$C$87*G8)</f>
        <v/>
      </c>
      <c r="AE8" s="32">
        <f>IF(N8=0,0,INDEX(Inputs!$G$95:$G$97,MATCH(C8,Inputs!$B$95:$B$97,0))*E8)</f>
        <v/>
      </c>
      <c r="AF8" s="32">
        <f>IF(N8=0,0,INDEX(Inputs!$H$95:$H$97,MATCH(C8,Inputs!$B$95:$B$97,0))*E8)</f>
        <v/>
      </c>
      <c r="AG8" s="32">
        <f>Inputs!$C$88*G8</f>
        <v/>
      </c>
      <c r="AH8" s="32">
        <f>N8*Inputs!$C$89</f>
        <v/>
      </c>
      <c r="AI8" s="34">
        <f>SUM(AB8:AH8)</f>
        <v/>
      </c>
      <c r="AJ8" s="33">
        <f>S8-AA8</f>
        <v/>
      </c>
      <c r="AK8" s="27">
        <f>IF(AI8&gt;0,AJ8/AI8,"n/a")</f>
        <v/>
      </c>
      <c r="AL8" s="31">
        <f>T8+U8+V8+W8</f>
        <v/>
      </c>
      <c r="AM8" s="31">
        <f>X8+Y8+Z8</f>
        <v/>
      </c>
      <c r="AO8" s="31" t="n">
        <v>1500</v>
      </c>
      <c r="AP8" s="31" t="n">
        <v>580</v>
      </c>
      <c r="AQ8" s="32" t="n">
        <v>35</v>
      </c>
      <c r="AR8" s="31" t="n">
        <v>920</v>
      </c>
      <c r="AS8" s="26" t="n">
        <v>26</v>
      </c>
      <c r="AT8" s="89" t="n">
        <v>5</v>
      </c>
      <c r="AU8" s="90" t="n">
        <v>0.01</v>
      </c>
      <c r="AV8" s="90" t="n">
        <v>0.5</v>
      </c>
      <c r="AW8" t="inlineStr">
        <is>
          <t>reproduce</t>
        </is>
      </c>
      <c r="AX8" s="8">
        <f>IF(AW8="contrast",IF(AND(IF(AO8="",TRUE,ABS(S8-AO8)&lt;=AT8),IF(AP8="",TRUE,ABS(AA8-AP8)&lt;=AT8),IF(AR8="",TRUE,ABS(AJ8-AR8)&lt;=AT8),IF(AQ8="",TRUE,ABS(AI8-AQ8)&lt;=AU8),IF(AS8="",TRUE,IF(ISNUMBER(AK8),ABS(AK8-AS8)&lt;=AV8,FALSE))),"matches","differs, as expected"),IF(AND(IF(AO8="",TRUE,ABS(S8-AO8)&lt;=AT8),IF(AP8="",TRUE,ABS(AA8-AP8)&lt;=AT8),IF(AR8="",TRUE,ABS(AJ8-AR8)&lt;=AT8),IF(AQ8="",TRUE,ABS(AI8-AQ8)&lt;=AU8),IF(AS8="",TRUE,IF(ISNUMBER(AK8),ABS(AK8-AS8)&lt;=AV8,FALSE))),"reproduces","differs"))</f>
        <v/>
      </c>
      <c r="AY8" s="5" t="inlineStr"/>
    </row>
    <row r="9" ht="30" customHeight="1">
      <c r="A9" s="58" t="inlineStr">
        <is>
          <t>3. Standard drop, 3 brands, 10 offices, courier</t>
        </is>
      </c>
      <c r="B9" s="57" t="n"/>
      <c r="C9" s="58" t="inlineStr">
        <is>
          <t>courier</t>
        </is>
      </c>
      <c r="D9" s="58" t="inlineStr">
        <is>
          <t>standard</t>
        </is>
      </c>
      <c r="E9" s="62" t="n">
        <v>10</v>
      </c>
      <c r="F9" s="62" t="n">
        <v>0</v>
      </c>
      <c r="G9" s="58" t="n">
        <v>3</v>
      </c>
      <c r="H9" s="58" t="n">
        <v>0</v>
      </c>
      <c r="I9" s="58" t="n">
        <v>0</v>
      </c>
      <c r="J9" s="53" t="n">
        <v>150</v>
      </c>
      <c r="K9" s="53" t="n">
        <v>120</v>
      </c>
      <c r="L9" s="62" t="n">
        <v>1</v>
      </c>
      <c r="M9" s="62" t="n">
        <v>1</v>
      </c>
      <c r="N9" s="18">
        <f>IF(G9&gt;0,1,0)</f>
        <v/>
      </c>
      <c r="O9">
        <f>IF(D9="founding",G9-H9,0)</f>
        <v/>
      </c>
      <c r="P9">
        <f>IF(D9="standard",G9-H9,0)</f>
        <v/>
      </c>
      <c r="Q9" s="31">
        <f>O9*(K9*MIN(E9,Inputs!$C$37)+Inputs!$C$39*MAX(E9-Inputs!$C$37,0))+I9*K9*E9</f>
        <v/>
      </c>
      <c r="R9" s="31">
        <f>(P9+H9-I9)*(J9*MIN(E9,Inputs!$C$34)+Inputs!$C$39*MAX(E9-Inputs!$C$34,0))</f>
        <v/>
      </c>
      <c r="S9" s="33">
        <f>Q9+R9</f>
        <v/>
      </c>
      <c r="T9" s="31">
        <f>N9*E9*(Inputs!$C$58+Inputs!$C$59*MAX(G9-1,0))</f>
        <v/>
      </c>
      <c r="U9" s="31">
        <f>IF(N9=0,0,INDEX(Inputs!$C$95:$C$97,MATCH(C9,Inputs!$B$95:$B$97,0))+INDEX(Inputs!$D$95:$D$97,MATCH(C9,Inputs!$B$95:$B$97,0))*E9)</f>
        <v/>
      </c>
      <c r="V9" s="31">
        <f>IF(N9=0,0,INDEX(Inputs!$E$95:$E$97,MATCH(C9,Inputs!$B$95:$B$97,0))*E9)</f>
        <v/>
      </c>
      <c r="W9" s="31">
        <f>S9*Inputs!$C$48*M9</f>
        <v/>
      </c>
      <c r="X9" s="31">
        <f>N9*L9*Inputs!$C$66/Inputs!$C$75</f>
        <v/>
      </c>
      <c r="Y9" s="31">
        <f>N9*Inputs!$C$69/Inputs!$C$75</f>
        <v/>
      </c>
      <c r="Z9" s="31">
        <f>N9*Inputs!$C$71/Inputs!$C$75</f>
        <v/>
      </c>
      <c r="AA9" s="33">
        <f>SUM(T9:Z9)</f>
        <v/>
      </c>
      <c r="AB9" s="32">
        <f>O9*Inputs!$C$79+P9*Inputs!$C$83+H9*Inputs!$C$84</f>
        <v/>
      </c>
      <c r="AC9" s="32">
        <f>N9*(F9*Inputs!$C$85+(E9-F9)*Inputs!$C$86)</f>
        <v/>
      </c>
      <c r="AD9" s="32">
        <f>IF(N9=0,0,INDEX(Inputs!$F$95:$F$97,MATCH(C9,Inputs!$B$95:$B$97,0))+Inputs!$C$87*G9)</f>
        <v/>
      </c>
      <c r="AE9" s="32">
        <f>IF(N9=0,0,INDEX(Inputs!$G$95:$G$97,MATCH(C9,Inputs!$B$95:$B$97,0))*E9)</f>
        <v/>
      </c>
      <c r="AF9" s="32">
        <f>IF(N9=0,0,INDEX(Inputs!$H$95:$H$97,MATCH(C9,Inputs!$B$95:$B$97,0))*E9)</f>
        <v/>
      </c>
      <c r="AG9" s="32">
        <f>Inputs!$C$88*G9</f>
        <v/>
      </c>
      <c r="AH9" s="32">
        <f>N9*Inputs!$C$89</f>
        <v/>
      </c>
      <c r="AI9" s="34">
        <f>SUM(AB9:AH9)</f>
        <v/>
      </c>
      <c r="AJ9" s="33">
        <f>S9-AA9</f>
        <v/>
      </c>
      <c r="AK9" s="27">
        <f>IF(AI9&gt;0,AJ9/AI9,"n/a")</f>
        <v/>
      </c>
      <c r="AL9" s="31">
        <f>T9+U9+V9+W9</f>
        <v/>
      </c>
      <c r="AM9" s="31">
        <f>X9+Y9+Z9</f>
        <v/>
      </c>
      <c r="AO9" s="31" t="n">
        <v>4500</v>
      </c>
      <c r="AP9" s="31" t="n">
        <v>670</v>
      </c>
      <c r="AQ9" s="32" t="n">
        <v>52</v>
      </c>
      <c r="AR9" s="31" t="n">
        <v>3830</v>
      </c>
      <c r="AS9" s="26" t="n">
        <v>74</v>
      </c>
      <c r="AT9" s="89" t="n">
        <v>5</v>
      </c>
      <c r="AU9" s="90" t="n">
        <v>0.01</v>
      </c>
      <c r="AV9" s="90" t="n">
        <v>0.5</v>
      </c>
      <c r="AW9" t="inlineStr">
        <is>
          <t>reproduce</t>
        </is>
      </c>
      <c r="AX9" s="8">
        <f>IF(AW9="contrast",IF(AND(IF(AO9="",TRUE,ABS(S9-AO9)&lt;=AT9),IF(AP9="",TRUE,ABS(AA9-AP9)&lt;=AT9),IF(AR9="",TRUE,ABS(AJ9-AR9)&lt;=AT9),IF(AQ9="",TRUE,ABS(AI9-AQ9)&lt;=AU9),IF(AS9="",TRUE,IF(ISNUMBER(AK9),ABS(AK9-AS9)&lt;=AV9,FALSE))),"matches","differs, as expected"),IF(AND(IF(AO9="",TRUE,ABS(S9-AO9)&lt;=AT9),IF(AP9="",TRUE,ABS(AA9-AP9)&lt;=AT9),IF(AR9="",TRUE,ABS(AJ9-AR9)&lt;=AT9),IF(AQ9="",TRUE,ABS(AI9-AQ9)&lt;=AU9),IF(AS9="",TRUE,IF(ISNUMBER(AK9),ABS(AK9-AS9)&lt;=AV9,FALSE))),"reproduces","differs"))</f>
        <v/>
      </c>
      <c r="AY9" s="5" t="inlineStr">
        <is>
          <t>(a) kit $8 per office per drop. Per brand it would be $830.</t>
        </is>
      </c>
    </row>
    <row r="10" ht="30" customHeight="1">
      <c r="A10" s="58" t="inlineStr">
        <is>
          <t>4. Standard drop, 3 brands, brands ship direct</t>
        </is>
      </c>
      <c r="B10" s="57" t="n"/>
      <c r="C10" s="58" t="inlineStr">
        <is>
          <t>direct-ship</t>
        </is>
      </c>
      <c r="D10" s="58" t="inlineStr">
        <is>
          <t>standard</t>
        </is>
      </c>
      <c r="E10" s="62" t="n">
        <v>10</v>
      </c>
      <c r="F10" s="62" t="n">
        <v>0</v>
      </c>
      <c r="G10" s="58" t="n">
        <v>3</v>
      </c>
      <c r="H10" s="58" t="n">
        <v>0</v>
      </c>
      <c r="I10" s="58" t="n">
        <v>0</v>
      </c>
      <c r="J10" s="53" t="n">
        <v>150</v>
      </c>
      <c r="K10" s="53" t="n">
        <v>120</v>
      </c>
      <c r="L10" s="62" t="n">
        <v>1</v>
      </c>
      <c r="M10" s="62" t="n">
        <v>1</v>
      </c>
      <c r="N10" s="18">
        <f>IF(G10&gt;0,1,0)</f>
        <v/>
      </c>
      <c r="O10">
        <f>IF(D10="founding",G10-H10,0)</f>
        <v/>
      </c>
      <c r="P10">
        <f>IF(D10="standard",G10-H10,0)</f>
        <v/>
      </c>
      <c r="Q10" s="31">
        <f>O10*(K10*MIN(E10,Inputs!$C$37)+Inputs!$C$39*MAX(E10-Inputs!$C$37,0))+I10*K10*E10</f>
        <v/>
      </c>
      <c r="R10" s="31">
        <f>(P10+H10-I10)*(J10*MIN(E10,Inputs!$C$34)+Inputs!$C$39*MAX(E10-Inputs!$C$34,0))</f>
        <v/>
      </c>
      <c r="S10" s="33">
        <f>Q10+R10</f>
        <v/>
      </c>
      <c r="T10" s="31">
        <f>N10*E10*(Inputs!$C$58+Inputs!$C$59*MAX(G10-1,0))</f>
        <v/>
      </c>
      <c r="U10" s="31">
        <f>IF(N10=0,0,INDEX(Inputs!$C$95:$C$97,MATCH(C10,Inputs!$B$95:$B$97,0))+INDEX(Inputs!$D$95:$D$97,MATCH(C10,Inputs!$B$95:$B$97,0))*E10)</f>
        <v/>
      </c>
      <c r="V10" s="31">
        <f>IF(N10=0,0,INDEX(Inputs!$E$95:$E$97,MATCH(C10,Inputs!$B$95:$B$97,0))*E10)</f>
        <v/>
      </c>
      <c r="W10" s="31">
        <f>S10*Inputs!$C$48*M10</f>
        <v/>
      </c>
      <c r="X10" s="31">
        <f>N10*L10*Inputs!$C$66/Inputs!$C$75</f>
        <v/>
      </c>
      <c r="Y10" s="31">
        <f>N10*Inputs!$C$69/Inputs!$C$75</f>
        <v/>
      </c>
      <c r="Z10" s="31">
        <f>N10*Inputs!$C$71/Inputs!$C$75</f>
        <v/>
      </c>
      <c r="AA10" s="33">
        <f>SUM(T10:Z10)</f>
        <v/>
      </c>
      <c r="AB10" s="32">
        <f>O10*Inputs!$C$79+P10*Inputs!$C$83+H10*Inputs!$C$84</f>
        <v/>
      </c>
      <c r="AC10" s="32">
        <f>N10*(F10*Inputs!$C$85+(E10-F10)*Inputs!$C$86)</f>
        <v/>
      </c>
      <c r="AD10" s="32">
        <f>IF(N10=0,0,INDEX(Inputs!$F$95:$F$97,MATCH(C10,Inputs!$B$95:$B$97,0))+Inputs!$C$87*G10)</f>
        <v/>
      </c>
      <c r="AE10" s="32">
        <f>IF(N10=0,0,INDEX(Inputs!$G$95:$G$97,MATCH(C10,Inputs!$B$95:$B$97,0))*E10)</f>
        <v/>
      </c>
      <c r="AF10" s="32">
        <f>IF(N10=0,0,INDEX(Inputs!$H$95:$H$97,MATCH(C10,Inputs!$B$95:$B$97,0))*E10)</f>
        <v/>
      </c>
      <c r="AG10" s="32">
        <f>Inputs!$C$88*G10</f>
        <v/>
      </c>
      <c r="AH10" s="32">
        <f>N10*Inputs!$C$89</f>
        <v/>
      </c>
      <c r="AI10" s="34">
        <f>SUM(AB10:AH10)</f>
        <v/>
      </c>
      <c r="AJ10" s="33">
        <f>S10-AA10</f>
        <v/>
      </c>
      <c r="AK10" s="27">
        <f>IF(AI10&gt;0,AJ10/AI10,"n/a")</f>
        <v/>
      </c>
      <c r="AL10" s="31">
        <f>T10+U10+V10+W10</f>
        <v/>
      </c>
      <c r="AM10" s="31">
        <f>X10+Y10+Z10</f>
        <v/>
      </c>
      <c r="AO10" s="31" t="n">
        <v>4500</v>
      </c>
      <c r="AP10" s="31" t="n">
        <v>370</v>
      </c>
      <c r="AQ10" s="32" t="n">
        <v>45</v>
      </c>
      <c r="AR10" s="31" t="n">
        <v>4130</v>
      </c>
      <c r="AS10" s="26" t="n">
        <v>92</v>
      </c>
      <c r="AT10" s="89" t="n">
        <v>5</v>
      </c>
      <c r="AU10" s="90" t="n">
        <v>0.01</v>
      </c>
      <c r="AV10" s="90" t="n">
        <v>0.5</v>
      </c>
      <c r="AW10" t="inlineStr">
        <is>
          <t>reproduce</t>
        </is>
      </c>
      <c r="AX10" s="8">
        <f>IF(AW10="contrast",IF(AND(IF(AO10="",TRUE,ABS(S10-AO10)&lt;=AT10),IF(AP10="",TRUE,ABS(AA10-AP10)&lt;=AT10),IF(AR10="",TRUE,ABS(AJ10-AR10)&lt;=AT10),IF(AQ10="",TRUE,ABS(AI10-AQ10)&lt;=AU10),IF(AS10="",TRUE,IF(ISNUMBER(AK10),ABS(AK10-AS10)&lt;=AV10,FALSE))),"matches","differs, as expected"),IF(AND(IF(AO10="",TRUE,ABS(S10-AO10)&lt;=AT10),IF(AP10="",TRUE,ABS(AA10-AP10)&lt;=AT10),IF(AR10="",TRUE,ABS(AJ10-AR10)&lt;=AT10),IF(AQ10="",TRUE,ABS(AI10-AQ10)&lt;=AU10),IF(AS10="",TRUE,IF(ISNUMBER(AK10),ABS(AK10-AS10)&lt;=AV10,FALSE))),"reproduces","differs"))</f>
        <v/>
      </c>
      <c r="AY10" s="5" t="inlineStr">
        <is>
          <t>(c) keeps the $75 storage allocation and $0 transport.</t>
        </is>
      </c>
    </row>
    <row r="11" ht="30" customHeight="1">
      <c r="A11" s="58" t="inlineStr">
        <is>
          <t>5. Standard drop, 3 brands at $2,000 each</t>
        </is>
      </c>
      <c r="B11" s="57" t="n"/>
      <c r="C11" s="58" t="inlineStr">
        <is>
          <t>courier</t>
        </is>
      </c>
      <c r="D11" s="58" t="inlineStr">
        <is>
          <t>standard</t>
        </is>
      </c>
      <c r="E11" s="62" t="n">
        <v>10</v>
      </c>
      <c r="F11" s="62" t="n">
        <v>0</v>
      </c>
      <c r="G11" s="58" t="n">
        <v>3</v>
      </c>
      <c r="H11" s="58" t="n">
        <v>0</v>
      </c>
      <c r="I11" s="58" t="n">
        <v>0</v>
      </c>
      <c r="J11" s="53" t="n">
        <v>200</v>
      </c>
      <c r="K11" s="53" t="n">
        <v>120</v>
      </c>
      <c r="L11" s="62" t="n">
        <v>1</v>
      </c>
      <c r="M11" s="62" t="n">
        <v>1</v>
      </c>
      <c r="N11" s="18">
        <f>IF(G11&gt;0,1,0)</f>
        <v/>
      </c>
      <c r="O11">
        <f>IF(D11="founding",G11-H11,0)</f>
        <v/>
      </c>
      <c r="P11">
        <f>IF(D11="standard",G11-H11,0)</f>
        <v/>
      </c>
      <c r="Q11" s="31">
        <f>O11*(K11*MIN(E11,Inputs!$C$37)+Inputs!$C$39*MAX(E11-Inputs!$C$37,0))+I11*K11*E11</f>
        <v/>
      </c>
      <c r="R11" s="31">
        <f>(P11+H11-I11)*(J11*MIN(E11,Inputs!$C$34)+Inputs!$C$39*MAX(E11-Inputs!$C$34,0))</f>
        <v/>
      </c>
      <c r="S11" s="33">
        <f>Q11+R11</f>
        <v/>
      </c>
      <c r="T11" s="31">
        <f>N11*E11*(Inputs!$C$58+Inputs!$C$59*MAX(G11-1,0))</f>
        <v/>
      </c>
      <c r="U11" s="31">
        <f>IF(N11=0,0,INDEX(Inputs!$C$95:$C$97,MATCH(C11,Inputs!$B$95:$B$97,0))+INDEX(Inputs!$D$95:$D$97,MATCH(C11,Inputs!$B$95:$B$97,0))*E11)</f>
        <v/>
      </c>
      <c r="V11" s="31">
        <f>IF(N11=0,0,INDEX(Inputs!$E$95:$E$97,MATCH(C11,Inputs!$B$95:$B$97,0))*E11)</f>
        <v/>
      </c>
      <c r="W11" s="31">
        <f>S11*Inputs!$C$48*M11</f>
        <v/>
      </c>
      <c r="X11" s="31">
        <f>N11*L11*Inputs!$C$66/Inputs!$C$75</f>
        <v/>
      </c>
      <c r="Y11" s="31">
        <f>N11*Inputs!$C$69/Inputs!$C$75</f>
        <v/>
      </c>
      <c r="Z11" s="31">
        <f>N11*Inputs!$C$71/Inputs!$C$75</f>
        <v/>
      </c>
      <c r="AA11" s="33">
        <f>SUM(T11:Z11)</f>
        <v/>
      </c>
      <c r="AB11" s="32">
        <f>O11*Inputs!$C$79+P11*Inputs!$C$83+H11*Inputs!$C$84</f>
        <v/>
      </c>
      <c r="AC11" s="32">
        <f>N11*(F11*Inputs!$C$85+(E11-F11)*Inputs!$C$86)</f>
        <v/>
      </c>
      <c r="AD11" s="32">
        <f>IF(N11=0,0,INDEX(Inputs!$F$95:$F$97,MATCH(C11,Inputs!$B$95:$B$97,0))+Inputs!$C$87*G11)</f>
        <v/>
      </c>
      <c r="AE11" s="32">
        <f>IF(N11=0,0,INDEX(Inputs!$G$95:$G$97,MATCH(C11,Inputs!$B$95:$B$97,0))*E11)</f>
        <v/>
      </c>
      <c r="AF11" s="32">
        <f>IF(N11=0,0,INDEX(Inputs!$H$95:$H$97,MATCH(C11,Inputs!$B$95:$B$97,0))*E11)</f>
        <v/>
      </c>
      <c r="AG11" s="32">
        <f>Inputs!$C$88*G11</f>
        <v/>
      </c>
      <c r="AH11" s="32">
        <f>N11*Inputs!$C$89</f>
        <v/>
      </c>
      <c r="AI11" s="34">
        <f>SUM(AB11:AH11)</f>
        <v/>
      </c>
      <c r="AJ11" s="33">
        <f>S11-AA11</f>
        <v/>
      </c>
      <c r="AK11" s="27">
        <f>IF(AI11&gt;0,AJ11/AI11,"n/a")</f>
        <v/>
      </c>
      <c r="AL11" s="31">
        <f>T11+U11+V11+W11</f>
        <v/>
      </c>
      <c r="AM11" s="31">
        <f>X11+Y11+Z11</f>
        <v/>
      </c>
      <c r="AO11" s="31" t="n">
        <v>6000</v>
      </c>
      <c r="AP11" s="31" t="n">
        <v>715</v>
      </c>
      <c r="AQ11" s="32" t="n">
        <v>52</v>
      </c>
      <c r="AR11" s="31" t="n">
        <v>5285</v>
      </c>
      <c r="AS11" s="26" t="n">
        <v>102</v>
      </c>
      <c r="AT11" s="89" t="n">
        <v>5</v>
      </c>
      <c r="AU11" s="90" t="n">
        <v>0.01</v>
      </c>
      <c r="AV11" s="90" t="n">
        <v>0.5</v>
      </c>
      <c r="AW11" t="inlineStr">
        <is>
          <t>reproduce</t>
        </is>
      </c>
      <c r="AX11" s="8">
        <f>IF(AW11="contrast",IF(AND(IF(AO11="",TRUE,ABS(S11-AO11)&lt;=AT11),IF(AP11="",TRUE,ABS(AA11-AP11)&lt;=AT11),IF(AR11="",TRUE,ABS(AJ11-AR11)&lt;=AT11),IF(AQ11="",TRUE,ABS(AI11-AQ11)&lt;=AU11),IF(AS11="",TRUE,IF(ISNUMBER(AK11),ABS(AK11-AS11)&lt;=AV11,FALSE))),"matches","differs, as expected"),IF(AND(IF(AO11="",TRUE,ABS(S11-AO11)&lt;=AT11),IF(AP11="",TRUE,ABS(AA11-AP11)&lt;=AT11),IF(AR11="",TRUE,ABS(AJ11-AR11)&lt;=AT11),IF(AQ11="",TRUE,ABS(AI11-AQ11)&lt;=AU11),IF(AS11="",TRUE,IF(ISNUMBER(AK11),ABS(AK11-AS11)&lt;=AV11,FALSE))),"reproduces","differs"))</f>
        <v/>
      </c>
      <c r="AY11" s="5" t="inlineStr"/>
    </row>
    <row r="12" ht="30" customHeight="1">
      <c r="A12" s="58" t="inlineStr">
        <is>
          <t>6. Three-brand drop at $1,000 each, no processing</t>
        </is>
      </c>
      <c r="B12" s="57" t="n"/>
      <c r="C12" s="58" t="inlineStr">
        <is>
          <t>courier</t>
        </is>
      </c>
      <c r="D12" s="58" t="inlineStr">
        <is>
          <t>standard</t>
        </is>
      </c>
      <c r="E12" s="62" t="n">
        <v>10</v>
      </c>
      <c r="F12" s="62" t="n">
        <v>0</v>
      </c>
      <c r="G12" s="58" t="n">
        <v>3</v>
      </c>
      <c r="H12" s="58" t="n">
        <v>0</v>
      </c>
      <c r="I12" s="58" t="n">
        <v>0</v>
      </c>
      <c r="J12" s="53" t="n">
        <v>100</v>
      </c>
      <c r="K12" s="53" t="n">
        <v>120</v>
      </c>
      <c r="L12" s="62" t="n">
        <v>1</v>
      </c>
      <c r="M12" s="62" t="n">
        <v>0</v>
      </c>
      <c r="N12" s="18">
        <f>IF(G12&gt;0,1,0)</f>
        <v/>
      </c>
      <c r="O12">
        <f>IF(D12="founding",G12-H12,0)</f>
        <v/>
      </c>
      <c r="P12">
        <f>IF(D12="standard",G12-H12,0)</f>
        <v/>
      </c>
      <c r="Q12" s="31">
        <f>O12*(K12*MIN(E12,Inputs!$C$37)+Inputs!$C$39*MAX(E12-Inputs!$C$37,0))+I12*K12*E12</f>
        <v/>
      </c>
      <c r="R12" s="31">
        <f>(P12+H12-I12)*(J12*MIN(E12,Inputs!$C$34)+Inputs!$C$39*MAX(E12-Inputs!$C$34,0))</f>
        <v/>
      </c>
      <c r="S12" s="33">
        <f>Q12+R12</f>
        <v/>
      </c>
      <c r="T12" s="31">
        <f>N12*E12*(Inputs!$C$58+Inputs!$C$59*MAX(G12-1,0))</f>
        <v/>
      </c>
      <c r="U12" s="31">
        <f>IF(N12=0,0,INDEX(Inputs!$C$95:$C$97,MATCH(C12,Inputs!$B$95:$B$97,0))+INDEX(Inputs!$D$95:$D$97,MATCH(C12,Inputs!$B$95:$B$97,0))*E12)</f>
        <v/>
      </c>
      <c r="V12" s="31">
        <f>IF(N12=0,0,INDEX(Inputs!$E$95:$E$97,MATCH(C12,Inputs!$B$95:$B$97,0))*E12)</f>
        <v/>
      </c>
      <c r="W12" s="31">
        <f>S12*Inputs!$C$48*M12</f>
        <v/>
      </c>
      <c r="X12" s="31">
        <f>N12*L12*Inputs!$C$66/Inputs!$C$75</f>
        <v/>
      </c>
      <c r="Y12" s="31">
        <f>N12*Inputs!$C$69/Inputs!$C$75</f>
        <v/>
      </c>
      <c r="Z12" s="31">
        <f>N12*Inputs!$C$71/Inputs!$C$75</f>
        <v/>
      </c>
      <c r="AA12" s="33">
        <f>SUM(T12:Z12)</f>
        <v/>
      </c>
      <c r="AB12" s="32">
        <f>O12*Inputs!$C$79+P12*Inputs!$C$83+H12*Inputs!$C$84</f>
        <v/>
      </c>
      <c r="AC12" s="32">
        <f>N12*(F12*Inputs!$C$85+(E12-F12)*Inputs!$C$86)</f>
        <v/>
      </c>
      <c r="AD12" s="32">
        <f>IF(N12=0,0,INDEX(Inputs!$F$95:$F$97,MATCH(C12,Inputs!$B$95:$B$97,0))+Inputs!$C$87*G12)</f>
        <v/>
      </c>
      <c r="AE12" s="32">
        <f>IF(N12=0,0,INDEX(Inputs!$G$95:$G$97,MATCH(C12,Inputs!$B$95:$B$97,0))*E12)</f>
        <v/>
      </c>
      <c r="AF12" s="32">
        <f>IF(N12=0,0,INDEX(Inputs!$H$95:$H$97,MATCH(C12,Inputs!$B$95:$B$97,0))*E12)</f>
        <v/>
      </c>
      <c r="AG12" s="32">
        <f>Inputs!$C$88*G12</f>
        <v/>
      </c>
      <c r="AH12" s="32">
        <f>N12*Inputs!$C$89</f>
        <v/>
      </c>
      <c r="AI12" s="34">
        <f>SUM(AB12:AH12)</f>
        <v/>
      </c>
      <c r="AJ12" s="33">
        <f>S12-AA12</f>
        <v/>
      </c>
      <c r="AK12" s="27">
        <f>IF(AI12&gt;0,AJ12/AI12,"n/a")</f>
        <v/>
      </c>
      <c r="AL12" s="31">
        <f>T12+U12+V12+W12</f>
        <v/>
      </c>
      <c r="AM12" s="31">
        <f>X12+Y12+Z12</f>
        <v/>
      </c>
      <c r="AQ12" s="32" t="n">
        <v>52</v>
      </c>
      <c r="AS12" s="26" t="n">
        <v>47</v>
      </c>
      <c r="AT12" s="89" t="n">
        <v>5</v>
      </c>
      <c r="AU12" s="90" t="n">
        <v>0.01</v>
      </c>
      <c r="AV12" s="90" t="n">
        <v>0.5</v>
      </c>
      <c r="AW12" t="inlineStr">
        <is>
          <t>reproduce</t>
        </is>
      </c>
      <c r="AX12" s="8">
        <f>IF(AW12="contrast",IF(AND(IF(AO12="",TRUE,ABS(S12-AO12)&lt;=AT12),IF(AP12="",TRUE,ABS(AA12-AP12)&lt;=AT12),IF(AR12="",TRUE,ABS(AJ12-AR12)&lt;=AT12),IF(AQ12="",TRUE,ABS(AI12-AQ12)&lt;=AU12),IF(AS12="",TRUE,IF(ISNUMBER(AK12),ABS(AK12-AS12)&lt;=AV12,FALSE))),"matches","differs, as expected"),IF(AND(IF(AO12="",TRUE,ABS(S12-AO12)&lt;=AT12),IF(AP12="",TRUE,ABS(AA12-AP12)&lt;=AT12),IF(AR12="",TRUE,ABS(AJ12-AR12)&lt;=AT12),IF(AQ12="",TRUE,ABS(AI12-AQ12)&lt;=AU12),IF(AS12="",TRUE,IF(ISNUMBER(AK12),ABS(AK12-AS12)&lt;=AV12,FALSE))),"reproduces","differs"))</f>
        <v/>
      </c>
      <c r="AY12" s="5" t="inlineStr">
        <is>
          <t>(d) $2,465 / 52 h = $47.4. The plan's 'about $47' assumes no card processing.</t>
        </is>
      </c>
    </row>
    <row r="13" ht="30" customHeight="1">
      <c r="A13" s="58" t="inlineStr">
        <is>
          <t>6b. Same at $1,000 each with 3% processing</t>
        </is>
      </c>
      <c r="B13" s="57" t="n"/>
      <c r="C13" s="58" t="inlineStr">
        <is>
          <t>courier</t>
        </is>
      </c>
      <c r="D13" s="58" t="inlineStr">
        <is>
          <t>standard</t>
        </is>
      </c>
      <c r="E13" s="62" t="n">
        <v>10</v>
      </c>
      <c r="F13" s="62" t="n">
        <v>0</v>
      </c>
      <c r="G13" s="58" t="n">
        <v>3</v>
      </c>
      <c r="H13" s="58" t="n">
        <v>0</v>
      </c>
      <c r="I13" s="58" t="n">
        <v>0</v>
      </c>
      <c r="J13" s="53" t="n">
        <v>100</v>
      </c>
      <c r="K13" s="53" t="n">
        <v>120</v>
      </c>
      <c r="L13" s="62" t="n">
        <v>1</v>
      </c>
      <c r="M13" s="62" t="n">
        <v>1</v>
      </c>
      <c r="N13" s="18">
        <f>IF(G13&gt;0,1,0)</f>
        <v/>
      </c>
      <c r="O13">
        <f>IF(D13="founding",G13-H13,0)</f>
        <v/>
      </c>
      <c r="P13">
        <f>IF(D13="standard",G13-H13,0)</f>
        <v/>
      </c>
      <c r="Q13" s="31">
        <f>O13*(K13*MIN(E13,Inputs!$C$37)+Inputs!$C$39*MAX(E13-Inputs!$C$37,0))+I13*K13*E13</f>
        <v/>
      </c>
      <c r="R13" s="31">
        <f>(P13+H13-I13)*(J13*MIN(E13,Inputs!$C$34)+Inputs!$C$39*MAX(E13-Inputs!$C$34,0))</f>
        <v/>
      </c>
      <c r="S13" s="33">
        <f>Q13+R13</f>
        <v/>
      </c>
      <c r="T13" s="31">
        <f>N13*E13*(Inputs!$C$58+Inputs!$C$59*MAX(G13-1,0))</f>
        <v/>
      </c>
      <c r="U13" s="31">
        <f>IF(N13=0,0,INDEX(Inputs!$C$95:$C$97,MATCH(C13,Inputs!$B$95:$B$97,0))+INDEX(Inputs!$D$95:$D$97,MATCH(C13,Inputs!$B$95:$B$97,0))*E13)</f>
        <v/>
      </c>
      <c r="V13" s="31">
        <f>IF(N13=0,0,INDEX(Inputs!$E$95:$E$97,MATCH(C13,Inputs!$B$95:$B$97,0))*E13)</f>
        <v/>
      </c>
      <c r="W13" s="31">
        <f>S13*Inputs!$C$48*M13</f>
        <v/>
      </c>
      <c r="X13" s="31">
        <f>N13*L13*Inputs!$C$66/Inputs!$C$75</f>
        <v/>
      </c>
      <c r="Y13" s="31">
        <f>N13*Inputs!$C$69/Inputs!$C$75</f>
        <v/>
      </c>
      <c r="Z13" s="31">
        <f>N13*Inputs!$C$71/Inputs!$C$75</f>
        <v/>
      </c>
      <c r="AA13" s="33">
        <f>SUM(T13:Z13)</f>
        <v/>
      </c>
      <c r="AB13" s="32">
        <f>O13*Inputs!$C$79+P13*Inputs!$C$83+H13*Inputs!$C$84</f>
        <v/>
      </c>
      <c r="AC13" s="32">
        <f>N13*(F13*Inputs!$C$85+(E13-F13)*Inputs!$C$86)</f>
        <v/>
      </c>
      <c r="AD13" s="32">
        <f>IF(N13=0,0,INDEX(Inputs!$F$95:$F$97,MATCH(C13,Inputs!$B$95:$B$97,0))+Inputs!$C$87*G13)</f>
        <v/>
      </c>
      <c r="AE13" s="32">
        <f>IF(N13=0,0,INDEX(Inputs!$G$95:$G$97,MATCH(C13,Inputs!$B$95:$B$97,0))*E13)</f>
        <v/>
      </c>
      <c r="AF13" s="32">
        <f>IF(N13=0,0,INDEX(Inputs!$H$95:$H$97,MATCH(C13,Inputs!$B$95:$B$97,0))*E13)</f>
        <v/>
      </c>
      <c r="AG13" s="32">
        <f>Inputs!$C$88*G13</f>
        <v/>
      </c>
      <c r="AH13" s="32">
        <f>N13*Inputs!$C$89</f>
        <v/>
      </c>
      <c r="AI13" s="34">
        <f>SUM(AB13:AH13)</f>
        <v/>
      </c>
      <c r="AJ13" s="33">
        <f>S13-AA13</f>
        <v/>
      </c>
      <c r="AK13" s="27">
        <f>IF(AI13&gt;0,AJ13/AI13,"n/a")</f>
        <v/>
      </c>
      <c r="AL13" s="31">
        <f>T13+U13+V13+W13</f>
        <v/>
      </c>
      <c r="AM13" s="31">
        <f>X13+Y13+Z13</f>
        <v/>
      </c>
      <c r="AQ13" s="32" t="n">
        <v>52</v>
      </c>
      <c r="AS13" s="26" t="n">
        <v>47</v>
      </c>
      <c r="AT13" s="89" t="n">
        <v>5</v>
      </c>
      <c r="AU13" s="90" t="n">
        <v>0.01</v>
      </c>
      <c r="AV13" s="90" t="n">
        <v>0.5</v>
      </c>
      <c r="AW13" t="inlineStr">
        <is>
          <t>contrast</t>
        </is>
      </c>
      <c r="AX13" s="8">
        <f>IF(AW13="contrast",IF(AND(IF(AO13="",TRUE,ABS(S13-AO13)&lt;=AT13),IF(AP13="",TRUE,ABS(AA13-AP13)&lt;=AT13),IF(AR13="",TRUE,ABS(AJ13-AR13)&lt;=AT13),IF(AQ13="",TRUE,ABS(AI13-AQ13)&lt;=AU13),IF(AS13="",TRUE,IF(ISNUMBER(AK13),ABS(AK13-AS13)&lt;=AV13,FALSE))),"matches","differs, as expected"),IF(AND(IF(AO13="",TRUE,ABS(S13-AO13)&lt;=AT13),IF(AP13="",TRUE,ABS(AA13-AP13)&lt;=AT13),IF(AR13="",TRUE,ABS(AJ13-AR13)&lt;=AT13),IF(AQ13="",TRUE,ABS(AI13-AQ13)&lt;=AU13),IF(AS13="",TRUE,IF(ISNUMBER(AK13),ABS(AK13-AS13)&lt;=AV13,FALSE))),"reproduces","differs"))</f>
        <v/>
      </c>
      <c r="AY13" s="5" t="inlineStr">
        <is>
          <t>(d) with processing it is $45.7, so the plan's $47 is the no-processing reading.</t>
        </is>
      </c>
    </row>
    <row r="14" ht="30" customHeight="1">
      <c r="A14" s="58" t="inlineStr">
        <is>
          <t>Edge: zero brands</t>
        </is>
      </c>
      <c r="B14" s="57" t="n"/>
      <c r="C14" s="58" t="inlineStr">
        <is>
          <t>courier</t>
        </is>
      </c>
      <c r="D14" s="58" t="inlineStr">
        <is>
          <t>standard</t>
        </is>
      </c>
      <c r="E14" s="62" t="n">
        <v>10</v>
      </c>
      <c r="F14" s="62" t="n">
        <v>0</v>
      </c>
      <c r="G14" s="58" t="n">
        <v>0</v>
      </c>
      <c r="H14" s="58" t="n">
        <v>0</v>
      </c>
      <c r="I14" s="58" t="n">
        <v>0</v>
      </c>
      <c r="J14" s="53" t="n">
        <v>150</v>
      </c>
      <c r="K14" s="53" t="n">
        <v>120</v>
      </c>
      <c r="L14" s="62" t="n">
        <v>1</v>
      </c>
      <c r="M14" s="62" t="n">
        <v>1</v>
      </c>
      <c r="N14" s="18">
        <f>IF(G14&gt;0,1,0)</f>
        <v/>
      </c>
      <c r="O14">
        <f>IF(D14="founding",G14-H14,0)</f>
        <v/>
      </c>
      <c r="P14">
        <f>IF(D14="standard",G14-H14,0)</f>
        <v/>
      </c>
      <c r="Q14" s="31">
        <f>O14*(K14*MIN(E14,Inputs!$C$37)+Inputs!$C$39*MAX(E14-Inputs!$C$37,0))+I14*K14*E14</f>
        <v/>
      </c>
      <c r="R14" s="31">
        <f>(P14+H14-I14)*(J14*MIN(E14,Inputs!$C$34)+Inputs!$C$39*MAX(E14-Inputs!$C$34,0))</f>
        <v/>
      </c>
      <c r="S14" s="33">
        <f>Q14+R14</f>
        <v/>
      </c>
      <c r="T14" s="31">
        <f>N14*E14*(Inputs!$C$58+Inputs!$C$59*MAX(G14-1,0))</f>
        <v/>
      </c>
      <c r="U14" s="31">
        <f>IF(N14=0,0,INDEX(Inputs!$C$95:$C$97,MATCH(C14,Inputs!$B$95:$B$97,0))+INDEX(Inputs!$D$95:$D$97,MATCH(C14,Inputs!$B$95:$B$97,0))*E14)</f>
        <v/>
      </c>
      <c r="V14" s="31">
        <f>IF(N14=0,0,INDEX(Inputs!$E$95:$E$97,MATCH(C14,Inputs!$B$95:$B$97,0))*E14)</f>
        <v/>
      </c>
      <c r="W14" s="31">
        <f>S14*Inputs!$C$48*M14</f>
        <v/>
      </c>
      <c r="X14" s="31">
        <f>N14*L14*Inputs!$C$66/Inputs!$C$75</f>
        <v/>
      </c>
      <c r="Y14" s="31">
        <f>N14*Inputs!$C$69/Inputs!$C$75</f>
        <v/>
      </c>
      <c r="Z14" s="31">
        <f>N14*Inputs!$C$71/Inputs!$C$75</f>
        <v/>
      </c>
      <c r="AA14" s="33">
        <f>SUM(T14:Z14)</f>
        <v/>
      </c>
      <c r="AB14" s="32">
        <f>O14*Inputs!$C$79+P14*Inputs!$C$83+H14*Inputs!$C$84</f>
        <v/>
      </c>
      <c r="AC14" s="32">
        <f>N14*(F14*Inputs!$C$85+(E14-F14)*Inputs!$C$86)</f>
        <v/>
      </c>
      <c r="AD14" s="32">
        <f>IF(N14=0,0,INDEX(Inputs!$F$95:$F$97,MATCH(C14,Inputs!$B$95:$B$97,0))+Inputs!$C$87*G14)</f>
        <v/>
      </c>
      <c r="AE14" s="32">
        <f>IF(N14=0,0,INDEX(Inputs!$G$95:$G$97,MATCH(C14,Inputs!$B$95:$B$97,0))*E14)</f>
        <v/>
      </c>
      <c r="AF14" s="32">
        <f>IF(N14=0,0,INDEX(Inputs!$H$95:$H$97,MATCH(C14,Inputs!$B$95:$B$97,0))*E14)</f>
        <v/>
      </c>
      <c r="AG14" s="32">
        <f>Inputs!$C$88*G14</f>
        <v/>
      </c>
      <c r="AH14" s="32">
        <f>N14*Inputs!$C$89</f>
        <v/>
      </c>
      <c r="AI14" s="34">
        <f>SUM(AB14:AH14)</f>
        <v/>
      </c>
      <c r="AJ14" s="33">
        <f>S14-AA14</f>
        <v/>
      </c>
      <c r="AK14" s="27">
        <f>IF(AI14&gt;0,AJ14/AI14,"n/a")</f>
        <v/>
      </c>
      <c r="AL14" s="31">
        <f>T14+U14+V14+W14</f>
        <v/>
      </c>
      <c r="AM14" s="31">
        <f>X14+Y14+Z14</f>
        <v/>
      </c>
      <c r="AO14" s="31" t="n">
        <v>0</v>
      </c>
      <c r="AP14" s="31" t="n">
        <v>0</v>
      </c>
      <c r="AQ14" s="32" t="n">
        <v>0</v>
      </c>
      <c r="AR14" s="31" t="n">
        <v>0</v>
      </c>
      <c r="AT14" s="89" t="n">
        <v>0.01</v>
      </c>
      <c r="AU14" s="90" t="n">
        <v>0.01</v>
      </c>
      <c r="AV14" s="90" t="n">
        <v>0.01</v>
      </c>
      <c r="AW14" t="inlineStr">
        <is>
          <t>edge</t>
        </is>
      </c>
      <c r="AX14" s="8">
        <f>IF(AND(IF(AO14="",TRUE,ABS(S14-AO14)&lt;=AT14),IF(AP14="",TRUE,ABS(AA14-AP14)&lt;=AT14),IF(AR14="",TRUE,ABS(AJ14-AR14)&lt;=AT14),IF(AQ14="",TRUE,ABS(AI14-AQ14)&lt;=AU14),IF(AS14="",TRUE,IF(ISNUMBER(AK14),ABS(AK14-AS14)&lt;=AV14,FALSE))),"behaves","check")</f>
        <v/>
      </c>
      <c r="AY14" s="5" t="inlineStr">
        <is>
          <t>A drop with no brand does not run: no cost, no hours, per hour 'n/a'.</t>
        </is>
      </c>
    </row>
    <row r="15" ht="30" customHeight="1">
      <c r="A15" s="58" t="inlineStr">
        <is>
          <t>Edge: one office, one brand, courier</t>
        </is>
      </c>
      <c r="B15" s="57" t="n"/>
      <c r="C15" s="58" t="inlineStr">
        <is>
          <t>courier</t>
        </is>
      </c>
      <c r="D15" s="58" t="inlineStr">
        <is>
          <t>standard</t>
        </is>
      </c>
      <c r="E15" s="62" t="n">
        <v>1</v>
      </c>
      <c r="F15" s="62" t="n">
        <v>0</v>
      </c>
      <c r="G15" s="58" t="n">
        <v>1</v>
      </c>
      <c r="H15" s="58" t="n">
        <v>0</v>
      </c>
      <c r="I15" s="58" t="n">
        <v>0</v>
      </c>
      <c r="J15" s="53" t="n">
        <v>150</v>
      </c>
      <c r="K15" s="53" t="n">
        <v>120</v>
      </c>
      <c r="L15" s="62" t="n">
        <v>1</v>
      </c>
      <c r="M15" s="62" t="n">
        <v>1</v>
      </c>
      <c r="N15" s="18">
        <f>IF(G15&gt;0,1,0)</f>
        <v/>
      </c>
      <c r="O15">
        <f>IF(D15="founding",G15-H15,0)</f>
        <v/>
      </c>
      <c r="P15">
        <f>IF(D15="standard",G15-H15,0)</f>
        <v/>
      </c>
      <c r="Q15" s="31">
        <f>O15*(K15*MIN(E15,Inputs!$C$37)+Inputs!$C$39*MAX(E15-Inputs!$C$37,0))+I15*K15*E15</f>
        <v/>
      </c>
      <c r="R15" s="31">
        <f>(P15+H15-I15)*(J15*MIN(E15,Inputs!$C$34)+Inputs!$C$39*MAX(E15-Inputs!$C$34,0))</f>
        <v/>
      </c>
      <c r="S15" s="33">
        <f>Q15+R15</f>
        <v/>
      </c>
      <c r="T15" s="31">
        <f>N15*E15*(Inputs!$C$58+Inputs!$C$59*MAX(G15-1,0))</f>
        <v/>
      </c>
      <c r="U15" s="31">
        <f>IF(N15=0,0,INDEX(Inputs!$C$95:$C$97,MATCH(C15,Inputs!$B$95:$B$97,0))+INDEX(Inputs!$D$95:$D$97,MATCH(C15,Inputs!$B$95:$B$97,0))*E15)</f>
        <v/>
      </c>
      <c r="V15" s="31">
        <f>IF(N15=0,0,INDEX(Inputs!$E$95:$E$97,MATCH(C15,Inputs!$B$95:$B$97,0))*E15)</f>
        <v/>
      </c>
      <c r="W15" s="31">
        <f>S15*Inputs!$C$48*M15</f>
        <v/>
      </c>
      <c r="X15" s="31">
        <f>N15*L15*Inputs!$C$66/Inputs!$C$75</f>
        <v/>
      </c>
      <c r="Y15" s="31">
        <f>N15*Inputs!$C$69/Inputs!$C$75</f>
        <v/>
      </c>
      <c r="Z15" s="31">
        <f>N15*Inputs!$C$71/Inputs!$C$75</f>
        <v/>
      </c>
      <c r="AA15" s="33">
        <f>SUM(T15:Z15)</f>
        <v/>
      </c>
      <c r="AB15" s="32">
        <f>O15*Inputs!$C$79+P15*Inputs!$C$83+H15*Inputs!$C$84</f>
        <v/>
      </c>
      <c r="AC15" s="32">
        <f>N15*(F15*Inputs!$C$85+(E15-F15)*Inputs!$C$86)</f>
        <v/>
      </c>
      <c r="AD15" s="32">
        <f>IF(N15=0,0,INDEX(Inputs!$F$95:$F$97,MATCH(C15,Inputs!$B$95:$B$97,0))+Inputs!$C$87*G15)</f>
        <v/>
      </c>
      <c r="AE15" s="32">
        <f>IF(N15=0,0,INDEX(Inputs!$G$95:$G$97,MATCH(C15,Inputs!$B$95:$B$97,0))*E15)</f>
        <v/>
      </c>
      <c r="AF15" s="32">
        <f>IF(N15=0,0,INDEX(Inputs!$H$95:$H$97,MATCH(C15,Inputs!$B$95:$B$97,0))*E15)</f>
        <v/>
      </c>
      <c r="AG15" s="32">
        <f>Inputs!$C$88*G15</f>
        <v/>
      </c>
      <c r="AH15" s="32">
        <f>N15*Inputs!$C$89</f>
        <v/>
      </c>
      <c r="AI15" s="34">
        <f>SUM(AB15:AH15)</f>
        <v/>
      </c>
      <c r="AJ15" s="33">
        <f>S15-AA15</f>
        <v/>
      </c>
      <c r="AK15" s="27">
        <f>IF(AI15&gt;0,AJ15/AI15,"n/a")</f>
        <v/>
      </c>
      <c r="AL15" s="31">
        <f>T15+U15+V15+W15</f>
        <v/>
      </c>
      <c r="AM15" s="31">
        <f>X15+Y15+Z15</f>
        <v/>
      </c>
      <c r="AO15" s="31" t="n">
        <v>150</v>
      </c>
      <c r="AP15" s="31" t="n">
        <v>197.5</v>
      </c>
      <c r="AQ15" s="32" t="n">
        <v>15.2</v>
      </c>
      <c r="AR15" s="31" t="n">
        <v>-47.5</v>
      </c>
      <c r="AS15" s="26" t="n">
        <v>-3.125</v>
      </c>
      <c r="AT15" s="89" t="n">
        <v>0.01</v>
      </c>
      <c r="AU15" s="90" t="n">
        <v>0.01</v>
      </c>
      <c r="AV15" s="90" t="n">
        <v>0.01</v>
      </c>
      <c r="AW15" t="inlineStr">
        <is>
          <t>edge</t>
        </is>
      </c>
      <c r="AX15" s="8">
        <f>IF(AND(IF(AO15="",TRUE,ABS(S15-AO15)&lt;=AT15),IF(AP15="",TRUE,ABS(AA15-AP15)&lt;=AT15),IF(AR15="",TRUE,ABS(AJ15-AR15)&lt;=AT15),IF(AQ15="",TRUE,ABS(AI15-AQ15)&lt;=AU15),IF(AS15="",TRUE,IF(ISNUMBER(AK15),ABS(AK15-AS15)&lt;=AV15,FALSE))),"behaves","check")</f>
        <v/>
      </c>
      <c r="AY15" s="5" t="inlineStr">
        <is>
          <t>Expected values worked by hand: $8 kit + $30 courier + $4.50 processing + $155 allocations; 15.2 hours. Finite, negative per hour.</t>
        </is>
      </c>
    </row>
    <row r="16" ht="30" customHeight="1">
      <c r="A16" s="58" t="inlineStr">
        <is>
          <t>Edge: 100% renewal, 3 brands</t>
        </is>
      </c>
      <c r="B16" s="57" t="n"/>
      <c r="C16" s="58" t="inlineStr">
        <is>
          <t>courier</t>
        </is>
      </c>
      <c r="D16" s="58" t="inlineStr">
        <is>
          <t>standard</t>
        </is>
      </c>
      <c r="E16" s="62" t="n">
        <v>10</v>
      </c>
      <c r="F16" s="62" t="n">
        <v>0</v>
      </c>
      <c r="G16" s="58" t="n">
        <v>3</v>
      </c>
      <c r="H16" s="58" t="n">
        <v>3</v>
      </c>
      <c r="I16" s="58" t="n">
        <v>0</v>
      </c>
      <c r="J16" s="53" t="n">
        <v>150</v>
      </c>
      <c r="K16" s="53" t="n">
        <v>120</v>
      </c>
      <c r="L16" s="62" t="n">
        <v>1</v>
      </c>
      <c r="M16" s="62" t="n">
        <v>1</v>
      </c>
      <c r="N16" s="18">
        <f>IF(G16&gt;0,1,0)</f>
        <v/>
      </c>
      <c r="O16">
        <f>IF(D16="founding",G16-H16,0)</f>
        <v/>
      </c>
      <c r="P16">
        <f>IF(D16="standard",G16-H16,0)</f>
        <v/>
      </c>
      <c r="Q16" s="31">
        <f>O16*(K16*MIN(E16,Inputs!$C$37)+Inputs!$C$39*MAX(E16-Inputs!$C$37,0))+I16*K16*E16</f>
        <v/>
      </c>
      <c r="R16" s="31">
        <f>(P16+H16-I16)*(J16*MIN(E16,Inputs!$C$34)+Inputs!$C$39*MAX(E16-Inputs!$C$34,0))</f>
        <v/>
      </c>
      <c r="S16" s="33">
        <f>Q16+R16</f>
        <v/>
      </c>
      <c r="T16" s="31">
        <f>N16*E16*(Inputs!$C$58+Inputs!$C$59*MAX(G16-1,0))</f>
        <v/>
      </c>
      <c r="U16" s="31">
        <f>IF(N16=0,0,INDEX(Inputs!$C$95:$C$97,MATCH(C16,Inputs!$B$95:$B$97,0))+INDEX(Inputs!$D$95:$D$97,MATCH(C16,Inputs!$B$95:$B$97,0))*E16)</f>
        <v/>
      </c>
      <c r="V16" s="31">
        <f>IF(N16=0,0,INDEX(Inputs!$E$95:$E$97,MATCH(C16,Inputs!$B$95:$B$97,0))*E16)</f>
        <v/>
      </c>
      <c r="W16" s="31">
        <f>S16*Inputs!$C$48*M16</f>
        <v/>
      </c>
      <c r="X16" s="31">
        <f>N16*L16*Inputs!$C$66/Inputs!$C$75</f>
        <v/>
      </c>
      <c r="Y16" s="31">
        <f>N16*Inputs!$C$69/Inputs!$C$75</f>
        <v/>
      </c>
      <c r="Z16" s="31">
        <f>N16*Inputs!$C$71/Inputs!$C$75</f>
        <v/>
      </c>
      <c r="AA16" s="33">
        <f>SUM(T16:Z16)</f>
        <v/>
      </c>
      <c r="AB16" s="32">
        <f>O16*Inputs!$C$79+P16*Inputs!$C$83+H16*Inputs!$C$84</f>
        <v/>
      </c>
      <c r="AC16" s="32">
        <f>N16*(F16*Inputs!$C$85+(E16-F16)*Inputs!$C$86)</f>
        <v/>
      </c>
      <c r="AD16" s="32">
        <f>IF(N16=0,0,INDEX(Inputs!$F$95:$F$97,MATCH(C16,Inputs!$B$95:$B$97,0))+Inputs!$C$87*G16)</f>
        <v/>
      </c>
      <c r="AE16" s="32">
        <f>IF(N16=0,0,INDEX(Inputs!$G$95:$G$97,MATCH(C16,Inputs!$B$95:$B$97,0))*E16)</f>
        <v/>
      </c>
      <c r="AF16" s="32">
        <f>IF(N16=0,0,INDEX(Inputs!$H$95:$H$97,MATCH(C16,Inputs!$B$95:$B$97,0))*E16)</f>
        <v/>
      </c>
      <c r="AG16" s="32">
        <f>Inputs!$C$88*G16</f>
        <v/>
      </c>
      <c r="AH16" s="32">
        <f>N16*Inputs!$C$89</f>
        <v/>
      </c>
      <c r="AI16" s="34">
        <f>SUM(AB16:AH16)</f>
        <v/>
      </c>
      <c r="AJ16" s="33">
        <f>S16-AA16</f>
        <v/>
      </c>
      <c r="AK16" s="27">
        <f>IF(AI16&gt;0,AJ16/AI16,"n/a")</f>
        <v/>
      </c>
      <c r="AL16" s="31">
        <f>T16+U16+V16+W16</f>
        <v/>
      </c>
      <c r="AM16" s="31">
        <f>X16+Y16+Z16</f>
        <v/>
      </c>
      <c r="AO16" s="31" t="n">
        <v>4500</v>
      </c>
      <c r="AP16" s="31" t="n">
        <v>670</v>
      </c>
      <c r="AQ16" s="32" t="n">
        <v>40</v>
      </c>
      <c r="AR16" s="31" t="n">
        <v>3830</v>
      </c>
      <c r="AS16" s="26" t="n">
        <v>95.75</v>
      </c>
      <c r="AT16" s="89" t="n">
        <v>0.01</v>
      </c>
      <c r="AU16" s="90" t="n">
        <v>0.01</v>
      </c>
      <c r="AV16" s="90" t="n">
        <v>0.01</v>
      </c>
      <c r="AW16" t="inlineStr">
        <is>
          <t>edge</t>
        </is>
      </c>
      <c r="AX16" s="8">
        <f>IF(AND(IF(AO16="",TRUE,ABS(S16-AO16)&lt;=AT16),IF(AP16="",TRUE,ABS(AA16-AP16)&lt;=AT16),IF(AR16="",TRUE,ABS(AJ16-AR16)&lt;=AT16),IF(AQ16="",TRUE,ABS(AI16-AQ16)&lt;=AU16),IF(AS16="",TRUE,IF(ISNUMBER(AK16),ABS(AK16-AS16)&lt;=AV16,FALSE))),"behaves","check")</f>
        <v/>
      </c>
      <c r="AY16" s="5" t="inlineStr">
        <is>
          <t>Expected by hand: brand sales 3 x 2 h = 6 h instead of 18 h, so 40 hours.</t>
        </is>
      </c>
    </row>
    <row r="17" ht="30" customHeight="1">
      <c r="A17" s="58" t="inlineStr">
        <is>
          <t>Edge: new founding brand on a 10-office drop</t>
        </is>
      </c>
      <c r="B17" s="57" t="n"/>
      <c r="C17" s="58" t="inlineStr">
        <is>
          <t>courier</t>
        </is>
      </c>
      <c r="D17" s="58" t="inlineStr">
        <is>
          <t>founding</t>
        </is>
      </c>
      <c r="E17" s="62" t="n">
        <v>10</v>
      </c>
      <c r="F17" s="62" t="n">
        <v>0</v>
      </c>
      <c r="G17" s="58" t="n">
        <v>1</v>
      </c>
      <c r="H17" s="58" t="n">
        <v>0</v>
      </c>
      <c r="I17" s="58" t="n">
        <v>0</v>
      </c>
      <c r="J17" s="53" t="n">
        <v>150</v>
      </c>
      <c r="K17" s="53" t="n">
        <v>120</v>
      </c>
      <c r="L17" s="62" t="n">
        <v>1</v>
      </c>
      <c r="M17" s="62" t="n">
        <v>1</v>
      </c>
      <c r="N17" s="18">
        <f>IF(G17&gt;0,1,0)</f>
        <v/>
      </c>
      <c r="O17">
        <f>IF(D17="founding",G17-H17,0)</f>
        <v/>
      </c>
      <c r="P17">
        <f>IF(D17="standard",G17-H17,0)</f>
        <v/>
      </c>
      <c r="Q17" s="31">
        <f>O17*(K17*MIN(E17,Inputs!$C$37)+Inputs!$C$39*MAX(E17-Inputs!$C$37,0))+I17*K17*E17</f>
        <v/>
      </c>
      <c r="R17" s="31">
        <f>(P17+H17-I17)*(J17*MIN(E17,Inputs!$C$34)+Inputs!$C$39*MAX(E17-Inputs!$C$34,0))</f>
        <v/>
      </c>
      <c r="S17" s="33">
        <f>Q17+R17</f>
        <v/>
      </c>
      <c r="T17" s="31">
        <f>N17*E17*(Inputs!$C$58+Inputs!$C$59*MAX(G17-1,0))</f>
        <v/>
      </c>
      <c r="U17" s="31">
        <f>IF(N17=0,0,INDEX(Inputs!$C$95:$C$97,MATCH(C17,Inputs!$B$95:$B$97,0))+INDEX(Inputs!$D$95:$D$97,MATCH(C17,Inputs!$B$95:$B$97,0))*E17)</f>
        <v/>
      </c>
      <c r="V17" s="31">
        <f>IF(N17=0,0,INDEX(Inputs!$E$95:$E$97,MATCH(C17,Inputs!$B$95:$B$97,0))*E17)</f>
        <v/>
      </c>
      <c r="W17" s="31">
        <f>S17*Inputs!$C$48*M17</f>
        <v/>
      </c>
      <c r="X17" s="31">
        <f>N17*L17*Inputs!$C$66/Inputs!$C$75</f>
        <v/>
      </c>
      <c r="Y17" s="31">
        <f>N17*Inputs!$C$69/Inputs!$C$75</f>
        <v/>
      </c>
      <c r="Z17" s="31">
        <f>N17*Inputs!$C$71/Inputs!$C$75</f>
        <v/>
      </c>
      <c r="AA17" s="33">
        <f>SUM(T17:Z17)</f>
        <v/>
      </c>
      <c r="AB17" s="32">
        <f>O17*Inputs!$C$79+P17*Inputs!$C$83+H17*Inputs!$C$84</f>
        <v/>
      </c>
      <c r="AC17" s="32">
        <f>N17*(F17*Inputs!$C$85+(E17-F17)*Inputs!$C$86)</f>
        <v/>
      </c>
      <c r="AD17" s="32">
        <f>IF(N17=0,0,INDEX(Inputs!$F$95:$F$97,MATCH(C17,Inputs!$B$95:$B$97,0))+Inputs!$C$87*G17)</f>
        <v/>
      </c>
      <c r="AE17" s="32">
        <f>IF(N17=0,0,INDEX(Inputs!$G$95:$G$97,MATCH(C17,Inputs!$B$95:$B$97,0))*E17)</f>
        <v/>
      </c>
      <c r="AF17" s="32">
        <f>IF(N17=0,0,INDEX(Inputs!$H$95:$H$97,MATCH(C17,Inputs!$B$95:$B$97,0))*E17)</f>
        <v/>
      </c>
      <c r="AG17" s="32">
        <f>Inputs!$C$88*G17</f>
        <v/>
      </c>
      <c r="AH17" s="32">
        <f>N17*Inputs!$C$89</f>
        <v/>
      </c>
      <c r="AI17" s="34">
        <f>SUM(AB17:AH17)</f>
        <v/>
      </c>
      <c r="AJ17" s="33">
        <f>S17-AA17</f>
        <v/>
      </c>
      <c r="AK17" s="27">
        <f>IF(AI17&gt;0,AJ17/AI17,"n/a")</f>
        <v/>
      </c>
      <c r="AL17" s="31">
        <f>T17+U17+V17+W17</f>
        <v/>
      </c>
      <c r="AM17" s="31">
        <f>X17+Y17+Z17</f>
        <v/>
      </c>
      <c r="AO17" s="31" t="n">
        <v>1350</v>
      </c>
      <c r="AT17" s="89" t="n">
        <v>0.01</v>
      </c>
      <c r="AU17" s="90" t="n">
        <v>0.01</v>
      </c>
      <c r="AV17" s="90" t="n">
        <v>0.01</v>
      </c>
      <c r="AW17" t="inlineStr">
        <is>
          <t>edge</t>
        </is>
      </c>
      <c r="AX17" s="8">
        <f>IF(AND(IF(AO17="",TRUE,ABS(S17-AO17)&lt;=AT17),IF(AP17="",TRUE,ABS(AA17-AP17)&lt;=AT17),IF(AR17="",TRUE,ABS(AJ17-AR17)&lt;=AT17),IF(AQ17="",TRUE,ABS(AI17-AQ17)&lt;=AU17),IF(AS17="",TRUE,IF(ISNUMBER(AK17),ABS(AK17-AS17)&lt;=AV17,FALSE))),"behaves","check")</f>
        <v/>
      </c>
      <c r="AY17" s="5" t="inlineStr">
        <is>
          <t>$600 for 5 offices plus 5 extra offices at $150.</t>
        </is>
      </c>
    </row>
    <row r="20">
      <c r="A20" s="3" t="inlineStr">
        <is>
          <t>The plan's founder-hour table, activity by activity</t>
        </is>
      </c>
      <c r="B20" s="4" t="n"/>
      <c r="C20" s="4" t="n"/>
      <c r="D20" s="4" t="n"/>
      <c r="E20" s="4" t="n"/>
      <c r="F20" s="4" t="n"/>
      <c r="G20" s="4" t="n"/>
      <c r="H20" s="4" t="n"/>
      <c r="I20" s="4" t="n"/>
      <c r="J20" s="4" t="n"/>
      <c r="K20" s="4" t="n"/>
      <c r="L20" s="4" t="n"/>
    </row>
    <row r="21" ht="40" customHeight="1">
      <c r="A21" s="10" t="inlineStr">
        <is>
          <t>Activity</t>
        </is>
      </c>
      <c r="B21" s="10" t="inlineStr">
        <is>
          <t>Plan: campaign zero</t>
        </is>
      </c>
      <c r="C21" s="10" t="inlineStr">
        <is>
          <t>Model</t>
        </is>
      </c>
      <c r="D21" s="10" t="inlineStr">
        <is>
          <t>Plan: 1-brand drop</t>
        </is>
      </c>
      <c r="E21" s="10" t="inlineStr">
        <is>
          <t>Model</t>
        </is>
      </c>
      <c r="F21" s="10" t="inlineStr">
        <is>
          <t>Plan: 3-brand drop</t>
        </is>
      </c>
      <c r="G21" s="10" t="inlineStr">
        <is>
          <t>Model</t>
        </is>
      </c>
      <c r="H21" s="10" t="inlineStr">
        <is>
          <t>Plan: 3-brand, direct ship</t>
        </is>
      </c>
      <c r="I21" s="10" t="inlineStr">
        <is>
          <t>Model</t>
        </is>
      </c>
      <c r="J21" s="10" t="inlineStr">
        <is>
          <t>All match?</t>
        </is>
      </c>
      <c r="K21" s="8" t="inlineStr">
        <is>
          <t>Tolerance (h)</t>
        </is>
      </c>
      <c r="L21" s="90" t="n">
        <v>0.01</v>
      </c>
    </row>
    <row r="22">
      <c r="A22" t="inlineStr">
        <is>
          <t>brand_sales</t>
        </is>
      </c>
      <c r="B22" s="32" t="n">
        <v>20</v>
      </c>
      <c r="C22" s="32">
        <f>AB7</f>
        <v/>
      </c>
      <c r="D22" s="32" t="n">
        <v>6</v>
      </c>
      <c r="E22" s="32">
        <f>AB8</f>
        <v/>
      </c>
      <c r="F22" s="32" t="n">
        <v>18</v>
      </c>
      <c r="G22" s="32">
        <f>AB9</f>
        <v/>
      </c>
      <c r="H22" s="32" t="n">
        <v>18</v>
      </c>
      <c r="I22" s="32">
        <f>AB10</f>
        <v/>
      </c>
      <c r="J22" s="8">
        <f>IF(AND(ABS(B22-C22)&lt;=$L$21,ABS(D22-E22)&lt;=$L$21,ABS(F22-G22)&lt;=$L$21,ABS(H22-I22)&lt;=$L$21),"yes","no")</f>
        <v/>
      </c>
    </row>
    <row r="23">
      <c r="A23" t="inlineStr">
        <is>
          <t>office_coordination</t>
        </is>
      </c>
      <c r="B23" s="32" t="n">
        <v>20</v>
      </c>
      <c r="C23" s="32">
        <f>AC7</f>
        <v/>
      </c>
      <c r="D23" s="32" t="n">
        <v>10</v>
      </c>
      <c r="E23" s="32">
        <f>AC8</f>
        <v/>
      </c>
      <c r="F23" s="32" t="n">
        <v>10</v>
      </c>
      <c r="G23" s="32">
        <f>AC9</f>
        <v/>
      </c>
      <c r="H23" s="32" t="n">
        <v>10</v>
      </c>
      <c r="I23" s="32">
        <f>AC10</f>
        <v/>
      </c>
      <c r="J23" s="8">
        <f>IF(AND(ABS(B23-C23)&lt;=$L$21,ABS(D23-E23)&lt;=$L$21,ABS(F23-G23)&lt;=$L$21,ABS(H23-I23)&lt;=$L$21),"yes","no")</f>
        <v/>
      </c>
    </row>
    <row r="24">
      <c r="A24" t="inlineStr">
        <is>
          <t>receiving_kitting</t>
        </is>
      </c>
      <c r="B24" s="32" t="n">
        <v>3</v>
      </c>
      <c r="C24" s="32">
        <f>AD7</f>
        <v/>
      </c>
      <c r="D24" s="32" t="n">
        <v>3</v>
      </c>
      <c r="E24" s="32">
        <f>AD8</f>
        <v/>
      </c>
      <c r="F24" s="32" t="n">
        <v>4</v>
      </c>
      <c r="G24" s="32">
        <f>AD9</f>
        <v/>
      </c>
      <c r="H24" s="32" t="n">
        <v>2</v>
      </c>
      <c r="I24" s="32">
        <f>AD10</f>
        <v/>
      </c>
      <c r="J24" s="8">
        <f>IF(AND(ABS(B24-C24)&lt;=$L$21,ABS(D24-E24)&lt;=$L$21,ABS(F24-G24)&lt;=$L$21,ABS(H24-I24)&lt;=$L$21),"yes","no")</f>
        <v/>
      </c>
    </row>
    <row r="25">
      <c r="A25" t="inlineStr">
        <is>
          <t>drop_day</t>
        </is>
      </c>
      <c r="B25" s="32" t="n">
        <v>5</v>
      </c>
      <c r="C25" s="32">
        <f>AE7</f>
        <v/>
      </c>
      <c r="D25" s="32" t="n">
        <v>8</v>
      </c>
      <c r="E25" s="32">
        <f>AE8</f>
        <v/>
      </c>
      <c r="F25" s="32" t="n">
        <v>8</v>
      </c>
      <c r="G25" s="32">
        <f>AE9</f>
        <v/>
      </c>
      <c r="H25" s="32" t="n">
        <v>3</v>
      </c>
      <c r="I25" s="32">
        <f>AE10</f>
        <v/>
      </c>
      <c r="J25" s="8">
        <f>IF(AND(ABS(B25-C25)&lt;=$L$21,ABS(D25-E25)&lt;=$L$21,ABS(F25-G25)&lt;=$L$21,ABS(H25-I25)&lt;=$L$21),"yes","no")</f>
        <v/>
      </c>
    </row>
    <row r="26">
      <c r="A26" t="inlineStr">
        <is>
          <t>checks_pickup</t>
        </is>
      </c>
      <c r="B26" s="32" t="n">
        <v>3</v>
      </c>
      <c r="C26" s="32">
        <f>AF7</f>
        <v/>
      </c>
      <c r="D26" s="32" t="n">
        <v>4</v>
      </c>
      <c r="E26" s="32">
        <f>AF8</f>
        <v/>
      </c>
      <c r="F26" s="32" t="n">
        <v>4</v>
      </c>
      <c r="G26" s="32">
        <f>AF9</f>
        <v/>
      </c>
      <c r="H26" s="32" t="n">
        <v>4</v>
      </c>
      <c r="I26" s="32">
        <f>AF10</f>
        <v/>
      </c>
      <c r="J26" s="8">
        <f>IF(AND(ABS(B26-C26)&lt;=$L$21,ABS(D26-E26)&lt;=$L$21,ABS(F26-G26)&lt;=$L$21,ABS(H26-I26)&lt;=$L$21),"yes","no")</f>
        <v/>
      </c>
    </row>
    <row r="27">
      <c r="A27" t="inlineStr">
        <is>
          <t>reporting_debriefs</t>
        </is>
      </c>
      <c r="B27" s="32" t="n">
        <v>4</v>
      </c>
      <c r="C27" s="32">
        <f>AG7</f>
        <v/>
      </c>
      <c r="D27" s="32" t="n">
        <v>2</v>
      </c>
      <c r="E27" s="32">
        <f>AG8</f>
        <v/>
      </c>
      <c r="F27" s="32" t="n">
        <v>6</v>
      </c>
      <c r="G27" s="32">
        <f>AG9</f>
        <v/>
      </c>
      <c r="H27" s="32" t="n">
        <v>6</v>
      </c>
      <c r="I27" s="32">
        <f>AG10</f>
        <v/>
      </c>
      <c r="J27" s="8">
        <f>IF(AND(ABS(B27-C27)&lt;=$L$21,ABS(D27-E27)&lt;=$L$21,ABS(F27-G27)&lt;=$L$21,ABS(H27-I27)&lt;=$L$21),"yes","no")</f>
        <v/>
      </c>
    </row>
    <row r="28">
      <c r="A28" t="inlineStr">
        <is>
          <t>admin_invoicing</t>
        </is>
      </c>
      <c r="B28" s="32" t="n">
        <v>2</v>
      </c>
      <c r="C28" s="32">
        <f>AH7</f>
        <v/>
      </c>
      <c r="D28" s="32" t="n">
        <v>2</v>
      </c>
      <c r="E28" s="32">
        <f>AH8</f>
        <v/>
      </c>
      <c r="F28" s="32" t="n">
        <v>2</v>
      </c>
      <c r="G28" s="32">
        <f>AH9</f>
        <v/>
      </c>
      <c r="H28" s="32" t="n">
        <v>2</v>
      </c>
      <c r="I28" s="32">
        <f>AH10</f>
        <v/>
      </c>
      <c r="J28" s="8">
        <f>IF(AND(ABS(B28-C28)&lt;=$L$21,ABS(D28-E28)&lt;=$L$21,ABS(F28-G28)&lt;=$L$21,ABS(H28-I28)&lt;=$L$21),"yes","no")</f>
        <v/>
      </c>
    </row>
    <row r="29">
      <c r="A29" s="8" t="inlineStr">
        <is>
          <t>total</t>
        </is>
      </c>
      <c r="B29" s="32" t="n">
        <v>57</v>
      </c>
      <c r="C29" s="32">
        <f>AI7</f>
        <v/>
      </c>
      <c r="D29" s="32" t="n">
        <v>35</v>
      </c>
      <c r="E29" s="32">
        <f>AI8</f>
        <v/>
      </c>
      <c r="F29" s="32" t="n">
        <v>52</v>
      </c>
      <c r="G29" s="32">
        <f>AI9</f>
        <v/>
      </c>
      <c r="H29" s="32" t="n">
        <v>45</v>
      </c>
      <c r="I29" s="32">
        <f>AI10</f>
        <v/>
      </c>
      <c r="J29" s="8">
        <f>IF(AND(ABS(B29-C29)&lt;=$L$21,ABS(D29-E29)&lt;=$L$21,ABS(F29-G29)&lt;=$L$21,ABS(H29-I29)&lt;=$L$21),"yes","no")</f>
        <v/>
      </c>
    </row>
    <row r="32">
      <c r="A32" s="3" t="inlineStr">
        <is>
          <t>Reconciliation: plan figure, model figure, difference, reason</t>
        </is>
      </c>
      <c r="B32" s="4" t="n"/>
      <c r="C32" s="4" t="n"/>
      <c r="D32" s="4" t="n"/>
      <c r="E32" s="4" t="n"/>
      <c r="F32" s="4" t="n"/>
      <c r="G32" s="4" t="n"/>
      <c r="H32" s="4" t="n"/>
      <c r="I32" s="4" t="n"/>
      <c r="J32" s="4" t="n"/>
      <c r="K32" s="4" t="n"/>
      <c r="L32" s="4" t="n"/>
    </row>
    <row r="33" ht="32" customHeight="1">
      <c r="A33" s="10" t="inlineStr">
        <is>
          <t>#</t>
        </is>
      </c>
      <c r="B33" s="10" t="inlineStr">
        <is>
          <t>Plan statement (plan.md)</t>
        </is>
      </c>
      <c r="C33" s="10" t="inlineStr">
        <is>
          <t>Plan figure</t>
        </is>
      </c>
      <c r="D33" s="10" t="inlineStr">
        <is>
          <t>Model figure</t>
        </is>
      </c>
      <c r="E33" s="10" t="inlineStr">
        <is>
          <t>Difference</t>
        </is>
      </c>
      <c r="F33" s="10" t="inlineStr">
        <is>
          <t>Tolerance</t>
        </is>
      </c>
      <c r="G33" s="10" t="inlineStr">
        <is>
          <t>Status</t>
        </is>
      </c>
      <c r="H33" s="10" t="inlineStr">
        <is>
          <t>Reason (plan reading, not a fudge)</t>
        </is>
      </c>
    </row>
    <row r="34" ht="30" customHeight="1">
      <c r="A34" t="n">
        <v>1</v>
      </c>
      <c r="B34" s="5" t="inlineStr">
        <is>
          <t>Campaign zero hard costs</t>
        </is>
      </c>
      <c r="C34" s="31" t="n">
        <v>280</v>
      </c>
      <c r="D34" s="31">
        <f>AA7</f>
        <v/>
      </c>
      <c r="E34" s="31">
        <f>D34-C34</f>
        <v/>
      </c>
      <c r="F34" s="31" t="n">
        <v>5</v>
      </c>
      <c r="G34" s="8">
        <f>IF(ABS(E34)&lt;=F34,"within tolerance","differs: see reason")</f>
        <v/>
      </c>
      <c r="H34" s="5" t="inlineStr">
        <is>
          <t>(b) $40 kits + $120 transport + $0 storage + $30 software + $50 insurance + $36 processing = $276; the plan rounds to $280.</t>
        </is>
      </c>
    </row>
    <row r="35" ht="30" customHeight="1">
      <c r="A35" t="n">
        <v>2</v>
      </c>
      <c r="B35" s="5" t="inlineStr">
        <is>
          <t>Campaign zero contribution</t>
        </is>
      </c>
      <c r="C35" s="31" t="n">
        <v>920</v>
      </c>
      <c r="D35" s="31">
        <f>AJ7</f>
        <v/>
      </c>
      <c r="E35" s="31">
        <f>D35-C35</f>
        <v/>
      </c>
      <c r="F35" s="31" t="n">
        <v>5</v>
      </c>
      <c r="G35" s="8">
        <f>IF(ABS(E35)&lt;=F35,"within tolerance","differs: see reason")</f>
        <v/>
      </c>
      <c r="H35" s="5" t="inlineStr">
        <is>
          <t>(b) $1,200 - $276 = $924.</t>
        </is>
      </c>
    </row>
    <row r="36" ht="30" customHeight="1">
      <c r="A36" t="n">
        <v>3</v>
      </c>
      <c r="B36" s="5" t="inlineStr">
        <is>
          <t>Campaign zero per founder hour</t>
        </is>
      </c>
      <c r="C36" s="26" t="n">
        <v>16</v>
      </c>
      <c r="D36" s="26">
        <f>AK7</f>
        <v/>
      </c>
      <c r="E36" s="26">
        <f>D36-C36</f>
        <v/>
      </c>
      <c r="F36" s="26" t="n">
        <v>0.5</v>
      </c>
      <c r="G36" s="8">
        <f>IF(ABS(E36)&lt;=F36,"within tolerance","differs: see reason")</f>
        <v/>
      </c>
      <c r="H36" s="5" t="inlineStr">
        <is>
          <t>(b) $924 / 57 h = $16.2.</t>
        </is>
      </c>
    </row>
    <row r="37" ht="30" customHeight="1">
      <c r="A37" t="n">
        <v>4</v>
      </c>
      <c r="B37" s="5" t="inlineStr">
        <is>
          <t>Three-brand courier hard costs</t>
        </is>
      </c>
      <c r="C37" s="31" t="n">
        <v>670</v>
      </c>
      <c r="D37" s="31">
        <f>AA9</f>
        <v/>
      </c>
      <c r="E37" s="31">
        <f>D37-C37</f>
        <v/>
      </c>
      <c r="F37" s="31" t="n">
        <v>5</v>
      </c>
      <c r="G37" s="8">
        <f>IF(ABS(E37)&lt;=F37,"within tolerance","differs: see reason")</f>
        <v/>
      </c>
      <c r="H37" s="5" t="inlineStr">
        <is>
          <t>(a) one $8 kit per office per drop: $80, not $240.</t>
        </is>
      </c>
    </row>
    <row r="38" ht="30" customHeight="1">
      <c r="A38" t="n">
        <v>5</v>
      </c>
      <c r="B38" s="5" t="inlineStr">
        <is>
          <t>Three-brand courier per founder hour ('about $74')</t>
        </is>
      </c>
      <c r="C38" s="26" t="n">
        <v>74</v>
      </c>
      <c r="D38" s="26">
        <f>AK9</f>
        <v/>
      </c>
      <c r="E38" s="26">
        <f>D38-C38</f>
        <v/>
      </c>
      <c r="F38" s="26" t="n">
        <v>0.5</v>
      </c>
      <c r="G38" s="8">
        <f>IF(ABS(E38)&lt;=F38,"within tolerance","differs: see reason")</f>
        <v/>
      </c>
      <c r="H38" s="5" t="inlineStr">
        <is>
          <t>$3,830 / 52 h = $73.7.</t>
        </is>
      </c>
    </row>
    <row r="39" ht="30" customHeight="1">
      <c r="A39" t="n">
        <v>6</v>
      </c>
      <c r="B39" s="5" t="inlineStr">
        <is>
          <t>One-brand drop per founder hour ('about $26')</t>
        </is>
      </c>
      <c r="C39" s="26" t="n">
        <v>26</v>
      </c>
      <c r="D39" s="26">
        <f>AK8</f>
        <v/>
      </c>
      <c r="E39" s="26">
        <f>D39-C39</f>
        <v/>
      </c>
      <c r="F39" s="26" t="n">
        <v>0.5</v>
      </c>
      <c r="G39" s="8">
        <f>IF(ABS(E39)&lt;=F39,"within tolerance","differs: see reason")</f>
        <v/>
      </c>
      <c r="H39" s="5" t="inlineStr">
        <is>
          <t>$920 / 35 h = $26.3.</t>
        </is>
      </c>
    </row>
    <row r="40" ht="30" customHeight="1">
      <c r="A40" t="n">
        <v>7</v>
      </c>
      <c r="B40" s="5" t="inlineStr">
        <is>
          <t>Direct-ship hard costs</t>
        </is>
      </c>
      <c r="C40" s="31" t="n">
        <v>370</v>
      </c>
      <c r="D40" s="31">
        <f>AA10</f>
        <v/>
      </c>
      <c r="E40" s="31">
        <f>D40-C40</f>
        <v/>
      </c>
      <c r="F40" s="31" t="n">
        <v>5</v>
      </c>
      <c r="G40" s="8">
        <f>IF(ABS(E40)&lt;=F40,"within tolerance","differs: see reason")</f>
        <v/>
      </c>
      <c r="H40" s="5" t="inlineStr">
        <is>
          <t>(c) keeps $75 storage, $0 transport.</t>
        </is>
      </c>
    </row>
    <row r="41" ht="30" customHeight="1">
      <c r="A41" t="n">
        <v>8</v>
      </c>
      <c r="B41" s="5" t="inlineStr">
        <is>
          <t>$2,000 each per founder hour</t>
        </is>
      </c>
      <c r="C41" s="26" t="n">
        <v>102</v>
      </c>
      <c r="D41" s="26">
        <f>AK11</f>
        <v/>
      </c>
      <c r="E41" s="26">
        <f>D41-C41</f>
        <v/>
      </c>
      <c r="F41" s="26" t="n">
        <v>0.5</v>
      </c>
      <c r="G41" s="8">
        <f>IF(ABS(E41)&lt;=F41,"within tolerance","differs: see reason")</f>
        <v/>
      </c>
      <c r="H41" s="5" t="inlineStr">
        <is>
          <t>$5,285 / 52 h = $101.6.</t>
        </is>
      </c>
    </row>
    <row r="42" ht="30" customHeight="1">
      <c r="A42" t="n">
        <v>9</v>
      </c>
      <c r="B42" s="5" t="inlineStr">
        <is>
          <t>At $1,000 'about $47 an hour'</t>
        </is>
      </c>
      <c r="C42" s="26" t="n">
        <v>47</v>
      </c>
      <c r="D42" s="26">
        <f>AK12</f>
        <v/>
      </c>
      <c r="E42" s="26">
        <f>D42-C42</f>
        <v/>
      </c>
      <c r="F42" s="26" t="n">
        <v>0.5</v>
      </c>
      <c r="G42" s="8">
        <f>IF(ABS(E42)&lt;=F42,"within tolerance","differs: see reason")</f>
        <v/>
      </c>
      <c r="H42" s="5" t="inlineStr">
        <is>
          <t>(d) no card processing: $2,465 / 52 h = $47.4.</t>
        </is>
      </c>
    </row>
    <row r="43" ht="30" customHeight="1">
      <c r="A43" t="n">
        <v>10</v>
      </c>
      <c r="B43" s="5" t="inlineStr">
        <is>
          <t>At $1,000 with processing</t>
        </is>
      </c>
      <c r="C43" s="26" t="n">
        <v>47</v>
      </c>
      <c r="D43" s="26">
        <f>AK13</f>
        <v/>
      </c>
      <c r="E43" s="26">
        <f>D43-C43</f>
        <v/>
      </c>
      <c r="F43" s="26" t="n">
        <v>0.5</v>
      </c>
      <c r="G43" s="8">
        <f>IF(ABS(E43)&lt;=F43,"within tolerance","differs: see reason")</f>
        <v/>
      </c>
      <c r="H43" s="5" t="inlineStr">
        <is>
          <t>(d) with 3% processing: $2,375 / 52 h = $45.7. Shown as a contrast; differs by design.</t>
        </is>
      </c>
    </row>
    <row r="44" ht="30" customHeight="1">
      <c r="A44" t="n">
        <v>11</v>
      </c>
      <c r="B44" s="5" t="inlineStr">
        <is>
          <t>Monthly revenue at steady state</t>
        </is>
      </c>
      <c r="C44" s="31" t="n">
        <v>9000</v>
      </c>
      <c r="D44" s="31">
        <f>Steady_State!$C$23</f>
        <v/>
      </c>
      <c r="E44" s="31">
        <f>D44-C44</f>
        <v/>
      </c>
      <c r="F44" s="31" t="n">
        <v>25</v>
      </c>
      <c r="G44" s="8">
        <f>IF(ABS(E44)&lt;=F44,"within tolerance","differs: see reason")</f>
        <v/>
      </c>
      <c r="H44" s="5" t="inlineStr">
        <is>
          <t>(e) 2 x the three-brand courier drop.</t>
        </is>
      </c>
    </row>
    <row r="45" ht="30" customHeight="1">
      <c r="A45" t="n">
        <v>12</v>
      </c>
      <c r="B45" s="5" t="inlineStr">
        <is>
          <t>Monthly hard costs ('about $1,350')</t>
        </is>
      </c>
      <c r="C45" s="31" t="n">
        <v>1350</v>
      </c>
      <c r="D45" s="31">
        <f>Steady_State!$C$24</f>
        <v/>
      </c>
      <c r="E45" s="31">
        <f>D45-C45</f>
        <v/>
      </c>
      <c r="F45" s="31" t="n">
        <v>25</v>
      </c>
      <c r="G45" s="8">
        <f>IF(ABS(E45)&lt;=F45,"within tolerance","differs: see reason")</f>
        <v/>
      </c>
      <c r="H45" s="5" t="inlineStr">
        <is>
          <t>(e) 2 x $670 = $1,340; the plan rounds to $1,350.</t>
        </is>
      </c>
    </row>
    <row r="46" ht="30" customHeight="1">
      <c r="A46" t="n">
        <v>13</v>
      </c>
      <c r="B46" s="5" t="inlineStr">
        <is>
          <t>Monthly founder hours ('about 104')</t>
        </is>
      </c>
      <c r="C46" s="32" t="n">
        <v>104</v>
      </c>
      <c r="D46" s="32">
        <f>Steady_State!$C$25</f>
        <v/>
      </c>
      <c r="E46" s="32">
        <f>D46-C46</f>
        <v/>
      </c>
      <c r="F46" s="32" t="n">
        <v>0.01</v>
      </c>
      <c r="G46" s="8">
        <f>IF(ABS(E46)&lt;=F46,"within tolerance","differs: see reason")</f>
        <v/>
      </c>
      <c r="H46" s="5" t="inlineStr">
        <is>
          <t>(e) 2 x 52 h.</t>
        </is>
      </c>
    </row>
    <row r="47" ht="30" customHeight="1">
      <c r="A47" t="n">
        <v>14</v>
      </c>
      <c r="B47" s="5" t="inlineStr">
        <is>
          <t>Monthly contribution ('roughly $7,650')</t>
        </is>
      </c>
      <c r="C47" s="31" t="n">
        <v>7650</v>
      </c>
      <c r="D47" s="31">
        <f>Steady_State!$C$26</f>
        <v/>
      </c>
      <c r="E47" s="31">
        <f>D47-C47</f>
        <v/>
      </c>
      <c r="F47" s="31" t="n">
        <v>25</v>
      </c>
      <c r="G47" s="8">
        <f>IF(ABS(E47)&lt;=F47,"within tolerance","differs: see reason")</f>
        <v/>
      </c>
      <c r="H47" s="5" t="inlineStr">
        <is>
          <t>(e) $9,000 - $1,340 = $7,660; the plan rounds to $7,650.</t>
        </is>
      </c>
    </row>
    <row r="48" ht="30" customHeight="1">
      <c r="A48" t="n">
        <v>15</v>
      </c>
      <c r="B48" s="5" t="inlineStr">
        <is>
          <t>A year at that rate ('about $90,000')</t>
        </is>
      </c>
      <c r="C48" s="31" t="n">
        <v>90000</v>
      </c>
      <c r="D48" s="31">
        <f>Steady_State!$C$28</f>
        <v/>
      </c>
      <c r="E48" s="31">
        <f>D48-C48</f>
        <v/>
      </c>
      <c r="F48" s="31" t="n">
        <v>5000</v>
      </c>
      <c r="G48" s="8">
        <f>IF(ABS(E48)&lt;=F48,"within tolerance","differs: see reason")</f>
        <v/>
      </c>
      <c r="H48" s="5" t="inlineStr">
        <is>
          <t>$7,660 x 12 = $91,920, before overhead and tax.</t>
        </is>
      </c>
    </row>
    <row r="49" ht="30" customHeight="1">
      <c r="A49" t="n">
        <v>16</v>
      </c>
      <c r="B49" s="5" t="inlineStr">
        <is>
          <t>Brand wins a month ('six')</t>
        </is>
      </c>
      <c r="C49" s="84" t="n">
        <v>6</v>
      </c>
      <c r="D49" s="84">
        <f>Steady_State!$C$40</f>
        <v/>
      </c>
      <c r="E49" s="84">
        <f>D49-C49</f>
        <v/>
      </c>
      <c r="F49" s="84" t="n">
        <v>0.01</v>
      </c>
      <c r="G49" s="8">
        <f>IF(ABS(E49)&lt;=F49,"within tolerance","differs: see reason")</f>
        <v/>
      </c>
      <c r="H49" s="5" t="inlineStr">
        <is>
          <t>All brands new in the plan's picture.</t>
        </is>
      </c>
    </row>
    <row r="50" ht="30" customHeight="1">
      <c r="A50" t="n">
        <v>17</v>
      </c>
      <c r="B50" s="5" t="inlineStr">
        <is>
          <t>Qualified conversations a month ('about 30')</t>
        </is>
      </c>
      <c r="C50" s="18" t="n">
        <v>30</v>
      </c>
      <c r="D50" s="18">
        <f>Steady_State!$C$41</f>
        <v/>
      </c>
      <c r="E50" s="18">
        <f>D50-C50</f>
        <v/>
      </c>
      <c r="F50" s="18" t="n">
        <v>0.01</v>
      </c>
      <c r="G50" s="8">
        <f>IF(ABS(E50)&lt;=F50,"within tolerance","differs: see reason")</f>
        <v/>
      </c>
      <c r="H50" s="5" t="inlineStr">
        <is>
          <t>6 wins / 20% close rate.</t>
        </is>
      </c>
    </row>
    <row r="51" ht="30" customHeight="1">
      <c r="A51" t="n">
        <v>18</v>
      </c>
      <c r="B51" s="5" t="inlineStr">
        <is>
          <t>Roster ('about 20 offices')</t>
        </is>
      </c>
      <c r="C51" s="18" t="n">
        <v>20</v>
      </c>
      <c r="D51" s="18">
        <f>Steady_State!$C$42</f>
        <v/>
      </c>
      <c r="E51" s="18">
        <f>D51-C51</f>
        <v/>
      </c>
      <c r="F51" s="18" t="n">
        <v>0.01</v>
      </c>
      <c r="G51" s="8">
        <f>IF(ABS(E51)&lt;=F51,"within tolerance","differs: see reason")</f>
        <v/>
      </c>
      <c r="H51" s="5" t="inlineStr">
        <is>
          <t>2 drops x 10 offices, one drop per office a month.</t>
        </is>
      </c>
    </row>
    <row r="52" ht="30" customHeight="1">
      <c r="A52" t="n">
        <v>19</v>
      </c>
      <c r="B52" s="5" t="inlineStr">
        <is>
          <t>Fixed overhead a month ('$200 to $350'): midpoint, tolerance half the range</t>
        </is>
      </c>
      <c r="C52" s="31" t="n">
        <v>275</v>
      </c>
      <c r="D52" s="31">
        <f>Steady_State!$C$30</f>
        <v/>
      </c>
      <c r="E52" s="31">
        <f>D52-C52</f>
        <v/>
      </c>
      <c r="F52" s="31" t="n">
        <v>75</v>
      </c>
      <c r="G52" s="8">
        <f>IF(ABS(E52)&lt;=F52,"within tolerance","differs: see reason")</f>
        <v/>
      </c>
      <c r="H52" s="5" t="inlineStr">
        <is>
          <t>$60 software + $100 insurance + $150 storage + $0 phone = $310, inside the range. With home storage: $160, below it.</t>
        </is>
      </c>
    </row>
    <row r="53" ht="30" customHeight="1">
      <c r="A53" t="n">
        <v>20</v>
      </c>
      <c r="B53" s="5" t="inlineStr">
        <is>
          <t>Standard campaigns a month to cover overhead ('one')</t>
        </is>
      </c>
      <c r="C53" s="18" t="n">
        <v>1</v>
      </c>
      <c r="D53" s="18">
        <f>Steady_State!$C$54</f>
        <v/>
      </c>
      <c r="E53" s="18">
        <f>D53-C53</f>
        <v/>
      </c>
      <c r="F53" s="18" t="n">
        <v>0.01</v>
      </c>
      <c r="G53" s="8">
        <f>IF(ABS(E53)&lt;=F53,"within tolerance","differs: see reason")</f>
        <v/>
      </c>
      <c r="H53" s="5" t="inlineStr">
        <is>
          <t>$310 / $1,075 contribution before allocations, rounded up.</t>
        </is>
      </c>
    </row>
    <row r="54" ht="30" customHeight="1">
      <c r="A54" t="n">
        <v>21</v>
      </c>
      <c r="B54" s="5" t="inlineStr">
        <is>
          <t>Hours per brand win ('six')</t>
        </is>
      </c>
      <c r="C54" s="32" t="n">
        <v>6</v>
      </c>
      <c r="D54" s="32">
        <f>Inputs!$C$83</f>
        <v/>
      </c>
      <c r="E54" s="32">
        <f>D54-C54</f>
        <v/>
      </c>
      <c r="F54" s="32" t="n">
        <v>0.01</v>
      </c>
      <c r="G54" s="8">
        <f>IF(ABS(E54)&lt;=F54,"within tolerance","differs: see reason")</f>
        <v/>
      </c>
      <c r="H54" s="5" t="inlineStr">
        <is>
          <t>5 conversations x 0.75 h + 2.25 h paperwork at a 20% close rate.</t>
        </is>
      </c>
    </row>
    <row r="55" ht="30" customHeight="1">
      <c r="A55" t="n">
        <v>22</v>
      </c>
      <c r="B55" s="5" t="inlineStr">
        <is>
          <t>Capital, low end</t>
        </is>
      </c>
      <c r="C55" s="31" t="n">
        <v>3360</v>
      </c>
      <c r="D55" s="31">
        <f>Capital!$C$14</f>
        <v/>
      </c>
      <c r="E55" s="31">
        <f>D55-C55</f>
        <v/>
      </c>
      <c r="F55" s="31" t="n">
        <v>0.01</v>
      </c>
      <c r="G55" s="8">
        <f>IF(ABS(E55)&lt;=F55,"within tolerance","differs: see reason")</f>
        <v/>
      </c>
      <c r="H55" s="5" t="inlineStr">
        <is>
          <t>Sum of the plan's low column.</t>
        </is>
      </c>
    </row>
    <row r="56" ht="30" customHeight="1">
      <c r="A56" t="n">
        <v>23</v>
      </c>
      <c r="B56" s="5" t="inlineStr">
        <is>
          <t>Capital, high end</t>
        </is>
      </c>
      <c r="C56" s="31" t="n">
        <v>6510</v>
      </c>
      <c r="D56" s="31">
        <f>Capital!$D$14</f>
        <v/>
      </c>
      <c r="E56" s="31">
        <f>D56-C56</f>
        <v/>
      </c>
      <c r="F56" s="31" t="n">
        <v>0.01</v>
      </c>
      <c r="G56" s="8">
        <f>IF(ABS(E56)&lt;=F56,"within tolerance","differs: see reason")</f>
        <v/>
      </c>
      <c r="H56" s="5" t="inlineStr">
        <is>
          <t>Sum of the plan's high column.</t>
        </is>
      </c>
    </row>
    <row r="57" ht="30" customHeight="1">
      <c r="A57" t="n">
        <v>24</v>
      </c>
      <c r="B57" s="5" t="inlineStr">
        <is>
          <t>Software, six months</t>
        </is>
      </c>
      <c r="C57" s="31" t="n">
        <v>360</v>
      </c>
      <c r="D57" s="31">
        <f>Capital!G10</f>
        <v/>
      </c>
      <c r="E57" s="31">
        <f>D57-C57</f>
        <v/>
      </c>
      <c r="F57" s="31" t="n">
        <v>0.01</v>
      </c>
      <c r="G57" s="8">
        <f>IF(ABS(E57)&lt;=F57,"within tolerance","differs: see reason")</f>
        <v/>
      </c>
      <c r="H57" s="5" t="inlineStr">
        <is>
          <t>Six $60 payments inside the window.</t>
        </is>
      </c>
    </row>
    <row r="58" ht="30" customHeight="1">
      <c r="A58" t="n">
        <v>25</v>
      </c>
      <c r="B58" s="5" t="inlineStr">
        <is>
          <t>Transport, campaigns zero to two</t>
        </is>
      </c>
      <c r="C58" s="31" t="n">
        <v>600</v>
      </c>
      <c r="D58" s="31">
        <f>Capital!G11</f>
        <v/>
      </c>
      <c r="E58" s="31">
        <f>D58-C58</f>
        <v/>
      </c>
      <c r="F58" s="31" t="n">
        <v>0.01</v>
      </c>
      <c r="G58" s="8">
        <f>IF(ABS(E58)&lt;=F58,"within tolerance","differs: see reason")</f>
        <v/>
      </c>
      <c r="H58" s="5" t="inlineStr">
        <is>
          <t>Per-drop rates give $720; the plan's lump does not reconcile to its own rates. The model keeps the rates (more conservative by $120).</t>
        </is>
      </c>
    </row>
  </sheetData>
  <mergeCells count="33">
    <mergeCell ref="H57:N57"/>
    <mergeCell ref="H37:N37"/>
    <mergeCell ref="H47:N47"/>
    <mergeCell ref="N5:S5"/>
    <mergeCell ref="AB5:AI5"/>
    <mergeCell ref="T5:AA5"/>
    <mergeCell ref="H48:N48"/>
    <mergeCell ref="H42:N42"/>
    <mergeCell ref="A5:C5"/>
    <mergeCell ref="A3:AM3"/>
    <mergeCell ref="H53:N53"/>
    <mergeCell ref="H35:N35"/>
    <mergeCell ref="H43:N43"/>
    <mergeCell ref="H38:N38"/>
    <mergeCell ref="H54:N54"/>
    <mergeCell ref="H50:N50"/>
    <mergeCell ref="H41:N41"/>
    <mergeCell ref="H55:N55"/>
    <mergeCell ref="H44:N44"/>
    <mergeCell ref="H58:N58"/>
    <mergeCell ref="H40:N40"/>
    <mergeCell ref="H56:N56"/>
    <mergeCell ref="H39:N39"/>
    <mergeCell ref="H34:N34"/>
    <mergeCell ref="AJ5:AK5"/>
    <mergeCell ref="H46:N46"/>
    <mergeCell ref="AL5:AM5"/>
    <mergeCell ref="H49:N49"/>
    <mergeCell ref="H51:N51"/>
    <mergeCell ref="H36:N36"/>
    <mergeCell ref="H52:N52"/>
    <mergeCell ref="E5:M5"/>
    <mergeCell ref="H45:N45"/>
  </mergeCells>
  <conditionalFormatting sqref="AX7:AX17">
    <cfRule type="cellIs" priority="1" operator="equal" dxfId="0">
      <formula>"reproduces"</formula>
    </cfRule>
    <cfRule type="cellIs" priority="2" operator="equal" dxfId="6">
      <formula>"differs"</formula>
    </cfRule>
    <cfRule type="cellIs" priority="3" operator="equal" dxfId="6">
      <formula>"check"</formula>
    </cfRule>
    <cfRule type="cellIs" priority="4" operator="equal" dxfId="0">
      <formula>"behaves"</formula>
    </cfRule>
  </conditionalFormatting>
  <conditionalFormatting sqref="J22:J29">
    <cfRule type="cellIs" priority="5" operator="equal" dxfId="0">
      <formula>"yes"</formula>
    </cfRule>
    <cfRule type="cellIs" priority="6" operator="equal" dxfId="6">
      <formula>"no"</formula>
    </cfRule>
  </conditionalFormatting>
  <conditionalFormatting sqref="G34:G58">
    <cfRule type="cellIs" priority="7" operator="equal" dxfId="0">
      <formula>"within tolerance"</formula>
    </cfRule>
    <cfRule type="cellIs" priority="8" operator="equal" dxfId="6">
      <formula>"differs: see reason"</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3"/>
  <sheetViews>
    <sheetView zoomScale="90" workbookViewId="0">
      <selection activeCell="A1" sqref="A1"/>
    </sheetView>
  </sheetViews>
  <sheetFormatPr baseColWidth="8" defaultRowHeight="15"/>
  <cols>
    <col width="2" customWidth="1" min="1" max="1"/>
    <col width="40" customWidth="1" min="2" max="2"/>
    <col width="10" customWidth="1" min="3" max="3"/>
    <col width="10" customWidth="1" min="4" max="4"/>
    <col width="14" customWidth="1" min="5" max="5"/>
    <col width="30" customWidth="1" min="6" max="6"/>
    <col width="16" customWidth="1" min="7" max="7"/>
    <col width="14" customWidth="1" min="8" max="8"/>
    <col width="48" customWidth="1" min="9" max="9"/>
    <col width="40" customWidth="1" min="10" max="10"/>
  </cols>
  <sheetData>
    <row r="1">
      <c r="A1" s="1" t="inlineStr">
        <is>
          <t>Capital to the first six months</t>
        </is>
      </c>
    </row>
    <row r="2">
      <c r="A2" s="2" t="inlineStr">
        <is>
          <t>The plan's capital table reproduced line by line, and where the model pays each line. The cash flow never reads this tab, so nothing here is counted twice.</t>
        </is>
      </c>
    </row>
    <row r="4" ht="45" customHeight="1">
      <c r="B4" s="10" t="inlineStr">
        <is>
          <t>Item (plan capital table)</t>
        </is>
      </c>
      <c r="C4" s="10" t="inlineStr">
        <is>
          <t>Plan low</t>
        </is>
      </c>
      <c r="D4" s="10" t="inlineStr">
        <is>
          <t>Plan high</t>
        </is>
      </c>
      <c r="E4" s="10" t="inlineStr">
        <is>
          <t>Model working figure</t>
        </is>
      </c>
      <c r="F4" s="10" t="inlineStr">
        <is>
          <t>Where the model pays it</t>
        </is>
      </c>
      <c r="G4" s="10" t="inlineStr">
        <is>
          <t>Model cash inside the six months</t>
        </is>
      </c>
      <c r="H4" s="10" t="inlineStr">
        <is>
          <t>Model less plan high</t>
        </is>
      </c>
      <c r="I4" s="10" t="inlineStr">
        <is>
          <t>Reading</t>
        </is>
      </c>
      <c r="J4" s="10" t="inlineStr">
        <is>
          <t>Legal pack status</t>
        </is>
      </c>
    </row>
    <row r="5" ht="32" customHeight="1">
      <c r="B5" s="5" t="inlineStr">
        <is>
          <t>LLC filing and certificate of publication</t>
        </is>
      </c>
      <c r="C5" s="31" t="n">
        <v>250</v>
      </c>
      <c r="D5" s="31" t="n">
        <v>250</v>
      </c>
      <c r="E5" s="31">
        <f>Inputs!$C$148+Inputs!$C$149</f>
        <v/>
      </c>
      <c r="F5" s="5" t="inlineStr">
        <is>
          <t>Startup outlays</t>
        </is>
      </c>
      <c r="G5" s="31">
        <f>Inputs!$Q$148+Inputs!$Q$149</f>
        <v/>
      </c>
      <c r="H5" s="31">
        <f>G5-D5</f>
        <v/>
      </c>
      <c r="I5" s="5" t="inlineStr">
        <is>
          <t>Reproduces.</t>
        </is>
      </c>
      <c r="J5" s="5" t="inlineStr">
        <is>
          <t>verified 2026-10-23 ($200 and $50, dos.ny.gov)</t>
        </is>
      </c>
    </row>
    <row r="6" ht="32" customHeight="1">
      <c r="B6" s="5" t="inlineStr">
        <is>
          <t>Newspaper publication</t>
        </is>
      </c>
      <c r="C6" s="31" t="n">
        <v>250</v>
      </c>
      <c r="D6" s="31" t="n">
        <v>2000</v>
      </c>
      <c r="E6" s="31">
        <f>Inputs!$C$150</f>
        <v/>
      </c>
      <c r="F6" s="5" t="inlineStr">
        <is>
          <t>Startup outlays</t>
        </is>
      </c>
      <c r="G6" s="31">
        <f>Inputs!$Q$150</f>
        <v/>
      </c>
      <c r="H6" s="31">
        <f>G6-D6</f>
        <v/>
      </c>
      <c r="I6" s="5" t="inlineStr">
        <is>
          <t>Legal pack working figure for New York County; $345 if Albany County is confirmed.</t>
        </is>
      </c>
      <c r="J6" s="5" t="inlineStr">
        <is>
          <t>needs quote: $200 to $2,000, working $1,745</t>
        </is>
      </c>
    </row>
    <row r="7" ht="32" customHeight="1">
      <c r="B7" s="5" t="inlineStr">
        <is>
          <t>General liability insurance, one year</t>
        </is>
      </c>
      <c r="C7" s="31" t="n">
        <v>500</v>
      </c>
      <c r="D7" s="31" t="n">
        <v>1500</v>
      </c>
      <c r="E7" s="31">
        <f>Inputs!$C$71*Inputs!$C$20</f>
        <v/>
      </c>
      <c r="F7" s="5" t="inlineStr">
        <is>
          <t>Overhead (Cash_Ledger, insurance)</t>
        </is>
      </c>
      <c r="G7" s="31">
        <f>SUMIFS(Cash_Ledger!$D$5:$D$53,Cash_Ledger!$A$5:$A$53,"insurance",Cash_Ledger!$C$5:$C$53,"&gt;="&amp;Inputs!$C$10,Cash_Ledger!$C$5:$C$53,"&lt;="&amp;Cash_Flow!$AB$6)</f>
        <v/>
      </c>
      <c r="H7" s="31">
        <f>G7-D7</f>
        <v/>
      </c>
      <c r="I7" s="5" t="inlineStr">
        <is>
          <t>The plan's own working figure, about $100 a month, sits inside the range.</t>
        </is>
      </c>
      <c r="J7" s="5" t="inlineStr">
        <is>
          <t>needs quote: $500 to $1,500, working $1,200; bind by 2026-12-21</t>
        </is>
      </c>
    </row>
    <row r="8" ht="32" customHeight="1">
      <c r="B8" s="5" t="inlineStr">
        <is>
          <t>Food warehouse license, if required</t>
        </is>
      </c>
      <c r="C8" s="31" t="n">
        <v>0</v>
      </c>
      <c r="D8" s="31" t="n">
        <v>400</v>
      </c>
      <c r="E8" s="31">
        <f>Inputs!$C$151</f>
        <v/>
      </c>
      <c r="F8" s="5" t="inlineStr">
        <is>
          <t>Startup outlays</t>
        </is>
      </c>
      <c r="G8" s="31">
        <f>Inputs!$Q$151</f>
        <v/>
      </c>
      <c r="H8" s="31">
        <f>G8-D8</f>
        <v/>
      </c>
      <c r="I8" s="5" t="inlineStr">
        <is>
          <t>High end until the state answers.</t>
        </is>
      </c>
      <c r="J8" s="5" t="inlineStr">
        <is>
          <t>fee verified 2026-10-23; whether required is unknown</t>
        </is>
      </c>
    </row>
    <row r="9" ht="32" customHeight="1">
      <c r="B9" s="5" t="inlineStr">
        <is>
          <t>Printing and materials</t>
        </is>
      </c>
      <c r="C9" s="31" t="n">
        <v>300</v>
      </c>
      <c r="D9" s="31" t="n">
        <v>300</v>
      </c>
      <c r="E9" s="31">
        <f>Inputs!$C$152</f>
        <v/>
      </c>
      <c r="F9" s="5" t="inlineStr">
        <is>
          <t>Startup outlays</t>
        </is>
      </c>
      <c r="G9" s="31">
        <f>Inputs!$Q$152</f>
        <v/>
      </c>
      <c r="H9" s="31">
        <f>G9-D9</f>
        <v/>
      </c>
      <c r="I9" s="5" t="inlineStr">
        <is>
          <t>Startup supplies; per-drop kits are separate.</t>
        </is>
      </c>
      <c r="J9" s="5" t="inlineStr">
        <is>
          <t>plan estimate</t>
        </is>
      </c>
    </row>
    <row r="10" ht="32" customHeight="1">
      <c r="B10" s="5" t="inlineStr">
        <is>
          <t>Software, six months</t>
        </is>
      </c>
      <c r="C10" s="31" t="n">
        <v>360</v>
      </c>
      <c r="D10" s="31" t="n">
        <v>360</v>
      </c>
      <c r="E10" s="31">
        <f>Inputs!$C$69*COUNTIFS(Cash_Ledger!$A$5:$A$53,"software",Cash_Ledger!$D$5:$D$53,"&gt;0")</f>
        <v/>
      </c>
      <c r="F10" s="5" t="inlineStr">
        <is>
          <t>Overhead (Cash_Ledger, software)</t>
        </is>
      </c>
      <c r="G10" s="31">
        <f>SUMIFS(Cash_Ledger!$D$5:$D$53,Cash_Ledger!$A$5:$A$53,"software",Cash_Ledger!$C$5:$C$53,"&gt;="&amp;Inputs!$C$10,Cash_Ledger!$C$5:$C$53,"&lt;="&amp;Cash_Flow!$AB$6)</f>
        <v/>
      </c>
      <c r="H10" s="31">
        <f>G10-D10</f>
        <v/>
      </c>
      <c r="I10" s="5" t="inlineStr">
        <is>
          <t>Six monthly payments inside the window.</t>
        </is>
      </c>
      <c r="J10" s="5" t="inlineStr">
        <is>
          <t>plan estimate</t>
        </is>
      </c>
    </row>
    <row r="11" ht="32" customHeight="1">
      <c r="B11" s="5" t="inlineStr">
        <is>
          <t>Transport, campaigns zero to two</t>
        </is>
      </c>
      <c r="C11" s="31" t="n">
        <v>600</v>
      </c>
      <c r="D11" s="31" t="n">
        <v>600</v>
      </c>
      <c r="E11" s="31">
        <f>SUM(Drop_PnL!U7:U9)</f>
        <v/>
      </c>
      <c r="F11" s="5" t="inlineStr">
        <is>
          <t>Per drop (Drop_PnL transport, first three drops)</t>
        </is>
      </c>
      <c r="G11" s="31">
        <f>SUM(Drop_PnL!U7:U9)</f>
        <v/>
      </c>
      <c r="H11" s="31">
        <f>G11-D11</f>
        <v/>
      </c>
      <c r="I11" s="5" t="inlineStr">
        <is>
          <t>Per-drop rates give $120 + $300 + $300 = $720; the plan's $600 lump does not reconcile to its own rates.</t>
        </is>
      </c>
      <c r="J11" s="5" t="inlineStr">
        <is>
          <t>plan estimate</t>
        </is>
      </c>
    </row>
    <row r="12" ht="32" customHeight="1">
      <c r="B12" s="5" t="inlineStr">
        <is>
          <t>Domain and email</t>
        </is>
      </c>
      <c r="C12" s="31" t="n">
        <v>100</v>
      </c>
      <c r="D12" s="31" t="n">
        <v>100</v>
      </c>
      <c r="E12" s="31">
        <f>Inputs!$C$153</f>
        <v/>
      </c>
      <c r="F12" s="5" t="inlineStr">
        <is>
          <t>Startup outlays</t>
        </is>
      </c>
      <c r="G12" s="31">
        <f>Inputs!$Q$153</f>
        <v/>
      </c>
      <c r="H12" s="31">
        <f>G12-D12</f>
        <v/>
      </c>
      <c r="I12" s="5" t="inlineStr">
        <is>
          <t>Reproduces.</t>
        </is>
      </c>
      <c r="J12" s="5" t="inlineStr">
        <is>
          <t>plan estimate</t>
        </is>
      </c>
    </row>
    <row r="13" ht="32" customHeight="1">
      <c r="B13" s="5" t="inlineStr">
        <is>
          <t>Reserve</t>
        </is>
      </c>
      <c r="C13" s="31" t="n">
        <v>1000</v>
      </c>
      <c r="D13" s="31" t="n">
        <v>1000</v>
      </c>
      <c r="E13" s="31">
        <f>Inputs!$C$107</f>
        <v/>
      </c>
      <c r="F13" s="5" t="inlineStr">
        <is>
          <t>Not spent; added to capital to commit</t>
        </is>
      </c>
      <c r="G13" s="31" t="n"/>
      <c r="H13" s="31" t="n"/>
      <c r="I13" s="5" t="inlineStr">
        <is>
          <t>Held back, not an outflow.</t>
        </is>
      </c>
      <c r="J13" s="5" t="inlineStr">
        <is>
          <t>plan estimate</t>
        </is>
      </c>
    </row>
    <row r="14">
      <c r="B14" s="8" t="inlineStr">
        <is>
          <t>Total (plan capital table; model cash excludes the reserve)</t>
        </is>
      </c>
      <c r="C14" s="33">
        <f>SUM(C5:C13)</f>
        <v/>
      </c>
      <c r="D14" s="33">
        <f>SUM(D5:D13)</f>
        <v/>
      </c>
      <c r="E14" s="33">
        <f>SUM(E5:E13)</f>
        <v/>
      </c>
      <c r="G14" s="33">
        <f>SUM(G5:G13)</f>
        <v/>
      </c>
    </row>
    <row r="16">
      <c r="A16" s="3" t="inlineStr">
        <is>
          <t>Cash the model spends that the plan's capital table leaves out</t>
        </is>
      </c>
      <c r="B16" s="4" t="n"/>
      <c r="C16" s="4" t="n"/>
      <c r="D16" s="4" t="n"/>
      <c r="E16" s="4" t="n"/>
      <c r="F16" s="4" t="n"/>
      <c r="G16" s="4" t="n"/>
      <c r="H16" s="4" t="n"/>
      <c r="I16" s="4" t="n"/>
      <c r="J16" s="4" t="n"/>
    </row>
    <row r="17">
      <c r="B17" s="5" t="inlineStr">
        <is>
          <t>Attorney hour</t>
        </is>
      </c>
      <c r="C17" s="31" t="n">
        <v>300</v>
      </c>
      <c r="D17" s="31" t="n">
        <v>500</v>
      </c>
      <c r="E17" s="31">
        <f>Inputs!$C$154</f>
        <v/>
      </c>
      <c r="F17" s="5" t="inlineStr">
        <is>
          <t>Startup outlays</t>
        </is>
      </c>
      <c r="G17" s="31">
        <f>Inputs!$Q$154</f>
        <v/>
      </c>
      <c r="I17" s="5" t="inlineStr">
        <is>
          <t>Legal pack plan estimate. The plan asks for both hours (about $700) before the first invoice.</t>
        </is>
      </c>
    </row>
    <row r="18">
      <c r="B18" s="5" t="inlineStr">
        <is>
          <t>Accountant hour</t>
        </is>
      </c>
      <c r="C18" s="31" t="n">
        <v>200</v>
      </c>
      <c r="D18" s="31" t="n">
        <v>400</v>
      </c>
      <c r="E18" s="31">
        <f>Inputs!$C$155</f>
        <v/>
      </c>
      <c r="F18" s="5" t="inlineStr">
        <is>
          <t>Startup outlays</t>
        </is>
      </c>
      <c r="G18" s="31">
        <f>Inputs!$Q$155</f>
        <v/>
      </c>
      <c r="I18" s="5" t="inlineStr">
        <is>
          <t>Legal pack plan estimate.</t>
        </is>
      </c>
    </row>
    <row r="19">
      <c r="B19" s="5" t="inlineStr">
        <is>
          <t>NYS LLC annual filing fee (IT-204-LL)</t>
        </is>
      </c>
      <c r="C19" s="31" t="n">
        <v>25</v>
      </c>
      <c r="D19" s="31" t="n">
        <v>25</v>
      </c>
      <c r="E19" s="31">
        <f>Inputs!$C$156</f>
        <v/>
      </c>
      <c r="F19" s="5" t="inlineStr">
        <is>
          <t>Startup outlays</t>
        </is>
      </c>
      <c r="G19" s="31">
        <f>Inputs!$Q$156</f>
        <v/>
      </c>
      <c r="I19" s="5" t="inlineStr">
        <is>
          <t>Legal pack, verified 2026-10-23; accountant confirms whether 2026 is owed.</t>
        </is>
      </c>
    </row>
    <row r="20">
      <c r="B20" s="5" t="inlineStr">
        <is>
          <t>Hired and non-owned auto add-on (needs quote)</t>
        </is>
      </c>
      <c r="C20" s="31" t="n"/>
      <c r="D20" s="31" t="n"/>
      <c r="E20" s="31">
        <f>Inputs!$C$157</f>
        <v/>
      </c>
      <c r="F20" s="5" t="inlineStr">
        <is>
          <t>Startup outlays</t>
        </is>
      </c>
      <c r="G20" s="31">
        <f>Inputs!$Q$157</f>
        <v/>
      </c>
      <c r="I20" s="5" t="inlineStr">
        <is>
          <t>Legal pack: unknown until quoted. Campaign zero's car rides need it.</t>
        </is>
      </c>
    </row>
    <row r="21">
      <c r="B21" s="5" t="inlineStr">
        <is>
          <t>Additional-insured endorsements (needs quote)</t>
        </is>
      </c>
      <c r="C21" s="31" t="n"/>
      <c r="D21" s="31" t="n"/>
      <c r="E21" s="31">
        <f>Inputs!$C$158</f>
        <v/>
      </c>
      <c r="F21" s="5" t="inlineStr">
        <is>
          <t>Startup outlays</t>
        </is>
      </c>
      <c r="G21" s="31">
        <f>Inputs!$Q$158</f>
        <v/>
      </c>
      <c r="I21" s="5" t="inlineStr">
        <is>
          <t>Legal pack: zero with a blanket endorsement.</t>
        </is>
      </c>
    </row>
    <row r="22">
      <c r="B22" s="5" t="inlineStr">
        <is>
          <t>Trademark application, one class</t>
        </is>
      </c>
      <c r="C22" s="31" t="n">
        <v>350</v>
      </c>
      <c r="D22" s="31" t="n">
        <v>850</v>
      </c>
      <c r="E22" s="31">
        <f>Inputs!$C$159</f>
        <v/>
      </c>
      <c r="F22" s="5" t="inlineStr">
        <is>
          <t>Startup outlays (Include = N)</t>
        </is>
      </c>
      <c r="G22" s="31">
        <f>Inputs!$Q$159</f>
        <v/>
      </c>
      <c r="I22" s="5" t="inlineStr">
        <is>
          <t>Legal pack: after campaign zero passes, not in the first six months.</t>
        </is>
      </c>
    </row>
    <row r="23">
      <c r="B23" s="5" t="inlineStr">
        <is>
          <t>Storage unit, months inside the window</t>
        </is>
      </c>
      <c r="C23" s="31" t="n"/>
      <c r="D23" s="31" t="n"/>
      <c r="E23" s="31" t="n"/>
      <c r="F23" s="5" t="inlineStr">
        <is>
          <t>Overhead (Cash_Ledger, storage)</t>
        </is>
      </c>
      <c r="G23" s="31">
        <f>SUMIFS(Cash_Ledger!$D$5:$D$53,Cash_Ledger!$A$5:$A$53,"storage",Cash_Ledger!$C$5:$C$53,"&gt;="&amp;Inputs!$C$10,Cash_Ledger!$C$5:$C$53,"&lt;="&amp;Cash_Flow!$AB$6)</f>
        <v/>
      </c>
      <c r="I23" s="5" t="inlineStr">
        <is>
          <t>Plan's standard drops carry a $75 storage allocation.</t>
        </is>
      </c>
    </row>
    <row r="24">
      <c r="B24" s="5" t="inlineStr">
        <is>
          <t>Display kits on scheduled drops</t>
        </is>
      </c>
      <c r="C24" s="31" t="n"/>
      <c r="D24" s="31" t="n"/>
      <c r="E24" s="31" t="n"/>
      <c r="F24" s="5" t="inlineStr">
        <is>
          <t>Per drop</t>
        </is>
      </c>
      <c r="G24" s="31">
        <f>-Cash_Flow!$AC$13</f>
        <v/>
      </c>
      <c r="I24" s="5" t="inlineStr">
        <is>
          <t>$8 per office per drop.</t>
        </is>
      </c>
    </row>
    <row r="25">
      <c r="B25" s="5" t="inlineStr">
        <is>
          <t>Transport on drops after the first three</t>
        </is>
      </c>
      <c r="C25" s="31" t="n"/>
      <c r="D25" s="31" t="n"/>
      <c r="E25" s="31" t="n"/>
      <c r="F25" s="5" t="inlineStr">
        <is>
          <t>Per drop</t>
        </is>
      </c>
      <c r="G25" s="31">
        <f>-Cash_Flow!$AC$14-G11</f>
        <v/>
      </c>
      <c r="I25" s="5" t="inlineStr">
        <is>
          <t>Direct-ship drops carry $0.</t>
        </is>
      </c>
    </row>
    <row r="26">
      <c r="B26" s="5" t="inlineStr">
        <is>
          <t>Card processing</t>
        </is>
      </c>
      <c r="C26" s="31" t="n"/>
      <c r="D26" s="31" t="n"/>
      <c r="E26" s="31" t="n"/>
      <c r="F26" s="5" t="inlineStr">
        <is>
          <t>Per receipt</t>
        </is>
      </c>
      <c r="G26" s="31">
        <f>-Cash_Flow!$AC$16</f>
        <v/>
      </c>
      <c r="I26" s="5" t="inlineStr">
        <is>
          <t>3% while the processing toggle is on.</t>
        </is>
      </c>
    </row>
    <row r="27">
      <c r="B27" s="5" t="inlineStr">
        <is>
          <t>Kit mailing (needs quote)</t>
        </is>
      </c>
      <c r="C27" s="31" t="n"/>
      <c r="D27" s="31" t="n"/>
      <c r="E27" s="31" t="n"/>
      <c r="F27" s="5" t="inlineStr">
        <is>
          <t>Per drop</t>
        </is>
      </c>
      <c r="G27" s="31">
        <f>-Cash_Flow!$AC$15</f>
        <v/>
      </c>
      <c r="I27" s="5" t="inlineStr">
        <is>
          <t>Blank until quoted.</t>
        </is>
      </c>
    </row>
    <row r="28">
      <c r="B28" s="5" t="inlineStr">
        <is>
          <t>Phone</t>
        </is>
      </c>
      <c r="C28" s="31" t="n"/>
      <c r="D28" s="31" t="n"/>
      <c r="E28" s="31" t="n"/>
      <c r="F28" s="5" t="inlineStr">
        <is>
          <t>Overhead (Cash_Ledger, phone)</t>
        </is>
      </c>
      <c r="G28" s="31">
        <f>SUMIFS(Cash_Ledger!$D$5:$D$53,Cash_Ledger!$A$5:$A$53,"phone",Cash_Ledger!$C$5:$C$53,"&gt;="&amp;Inputs!$C$10,Cash_Ledger!$C$5:$C$53,"&lt;="&amp;Cash_Flow!$AB$6)</f>
        <v/>
      </c>
      <c r="I28" s="5" t="inlineStr">
        <is>
          <t>$0 in the plan (your own phone).</t>
        </is>
      </c>
    </row>
    <row r="29">
      <c r="B29" s="8" t="inlineStr">
        <is>
          <t>Total model outflows inside the six months (both tables, excluding the reserve)</t>
        </is>
      </c>
      <c r="G29" s="33">
        <f>SUM(G5:G13)+SUM(G17:G28)</f>
        <v/>
      </c>
    </row>
    <row r="30">
      <c r="B30" s="8" t="inlineStr">
        <is>
          <t>Same total read from Cash_Flow (all outflows, plan basis)</t>
        </is>
      </c>
      <c r="G30" s="33">
        <f>-(Cash_Flow!$AC$26-Cash_Flow!$AC$9-Cash_Flow!$AC$10)</f>
        <v/>
      </c>
    </row>
    <row r="31">
      <c r="B31" s="8" t="inlineStr">
        <is>
          <t>Difference (should be 0 while no drop has actuals)</t>
        </is>
      </c>
      <c r="G31" s="83">
        <f>G29-G30</f>
        <v/>
      </c>
    </row>
    <row r="33" ht="45" customHeight="1">
      <c r="B33" s="5" t="inlineStr">
        <is>
          <t>The plan's $3,360 to $6,510 is a budget to commit, not the model's cash need. The model's need is the lowest point of cumulative cash plus the reserve (Cash_Flow and Dashboard), because brand cash arrives before most drop costs.</t>
        </is>
      </c>
    </row>
  </sheetData>
  <mergeCells count="1">
    <mergeCell ref="B33:J33"/>
  </mergeCells>
  <pageMargins left="0.75" right="0.75" top="1" bottom="1" header="0.5" footer="0.5"/>
</worksheet>
</file>

<file path=xl/worksheets/sheet13.xml><?xml version="1.0" encoding="utf-8"?>
<worksheet xmlns="http://schemas.openxmlformats.org/spreadsheetml/2006/main">
  <sheetPr>
    <tabColor rgb="008FB98B"/>
    <outlinePr summaryBelow="1" summaryRight="1"/>
    <pageSetUpPr/>
  </sheetPr>
  <dimension ref="A1:R1004"/>
  <sheetViews>
    <sheetView zoomScale="90" workbookViewId="0">
      <pane ySplit="4" topLeftCell="A5" activePane="bottomLeft" state="frozen"/>
      <selection pane="bottomLeft" activeCell="A1" sqref="A1"/>
    </sheetView>
  </sheetViews>
  <sheetFormatPr baseColWidth="8" defaultRowHeight="15"/>
  <cols>
    <col width="12" customWidth="1" min="1" max="1"/>
    <col width="10" customWidth="1" min="2" max="2"/>
    <col width="11" customWidth="1" min="3" max="3"/>
    <col width="20" customWidth="1" min="4" max="4"/>
    <col width="7" customWidth="1" min="5" max="5"/>
    <col width="30" customWidth="1" min="6" max="6"/>
    <col width="3" customWidth="1" min="7" max="7"/>
    <col width="12" customWidth="1" min="8" max="8"/>
    <col width="12"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s>
  <sheetData>
    <row r="1">
      <c r="A1" s="1" t="inlineStr">
        <is>
          <t>Founder hours log</t>
        </is>
      </c>
    </row>
    <row r="2">
      <c r="A2" s="2" t="inlineStr">
        <is>
          <t>Type one row per entry, or paste campaign-ops/exports/hours_log.csv (header in row 4, columns A to F). Leave drop_id blank for time that is not for a drop.</t>
        </is>
      </c>
    </row>
    <row r="3">
      <c r="A3" s="7" t="inlineStr">
        <is>
          <t>Activity must be one of the seven keys (Lists). Toggl entries add in from the Toggl_Import tab. Totals per drop and per week are on the right.</t>
        </is>
      </c>
      <c r="H3" s="75" t="inlineStr">
        <is>
          <t>Totals per drop (hand log plus Toggl)</t>
        </is>
      </c>
    </row>
    <row r="4" ht="30" customHeight="1">
      <c r="A4" s="10" t="inlineStr">
        <is>
          <t>date</t>
        </is>
      </c>
      <c r="B4" s="10" t="inlineStr">
        <is>
          <t>drop_id</t>
        </is>
      </c>
      <c r="C4" s="10" t="inlineStr">
        <is>
          <t>campaign_id</t>
        </is>
      </c>
      <c r="D4" s="10" t="inlineStr">
        <is>
          <t>activity</t>
        </is>
      </c>
      <c r="E4" s="10" t="inlineStr">
        <is>
          <t>hours</t>
        </is>
      </c>
      <c r="F4" s="10" t="inlineStr">
        <is>
          <t>note</t>
        </is>
      </c>
      <c r="H4" s="10" t="inlineStr">
        <is>
          <t>drop_id</t>
        </is>
      </c>
      <c r="I4" s="10" t="inlineStr">
        <is>
          <t>brand_sales</t>
        </is>
      </c>
      <c r="J4" s="10" t="inlineStr">
        <is>
          <t>office_coordination</t>
        </is>
      </c>
      <c r="K4" s="10" t="inlineStr">
        <is>
          <t>receiving_kitting</t>
        </is>
      </c>
      <c r="L4" s="10" t="inlineStr">
        <is>
          <t>drop_day</t>
        </is>
      </c>
      <c r="M4" s="10" t="inlineStr">
        <is>
          <t>checks_pickup</t>
        </is>
      </c>
      <c r="N4" s="10" t="inlineStr">
        <is>
          <t>reporting_debriefs</t>
        </is>
      </c>
      <c r="O4" s="10" t="inlineStr">
        <is>
          <t>admin_invoicing</t>
        </is>
      </c>
      <c r="P4" s="10" t="inlineStr">
        <is>
          <t>total</t>
        </is>
      </c>
    </row>
    <row r="5">
      <c r="A5" s="91" t="n"/>
      <c r="B5" s="92" t="n"/>
      <c r="C5" s="92" t="n"/>
      <c r="D5" s="92" t="n"/>
      <c r="E5" s="93" t="n"/>
      <c r="F5" s="92" t="n"/>
      <c r="H5">
        <f>Schedule!A7</f>
        <v/>
      </c>
      <c r="I5" s="32">
        <f>SUMIFS(Hours_Log!$E$5:$E$1004,Hours_Log!$B$5:$B$1004,$H5,Hours_Log!$D$5:$D$1004,I$4)+SUMIFS(Toggl_Import!$U$10:$U$509,Toggl_Import!$S$10:$S$509,$H5,Toggl_Import!$T$10:$T$509,I$4)</f>
        <v/>
      </c>
      <c r="J5" s="32">
        <f>SUMIFS(Hours_Log!$E$5:$E$1004,Hours_Log!$B$5:$B$1004,$H5,Hours_Log!$D$5:$D$1004,J$4)+SUMIFS(Toggl_Import!$U$10:$U$509,Toggl_Import!$S$10:$S$509,$H5,Toggl_Import!$T$10:$T$509,J$4)</f>
        <v/>
      </c>
      <c r="K5" s="32">
        <f>SUMIFS(Hours_Log!$E$5:$E$1004,Hours_Log!$B$5:$B$1004,$H5,Hours_Log!$D$5:$D$1004,K$4)+SUMIFS(Toggl_Import!$U$10:$U$509,Toggl_Import!$S$10:$S$509,$H5,Toggl_Import!$T$10:$T$509,K$4)</f>
        <v/>
      </c>
      <c r="L5" s="32">
        <f>SUMIFS(Hours_Log!$E$5:$E$1004,Hours_Log!$B$5:$B$1004,$H5,Hours_Log!$D$5:$D$1004,L$4)+SUMIFS(Toggl_Import!$U$10:$U$509,Toggl_Import!$S$10:$S$509,$H5,Toggl_Import!$T$10:$T$509,L$4)</f>
        <v/>
      </c>
      <c r="M5" s="32">
        <f>SUMIFS(Hours_Log!$E$5:$E$1004,Hours_Log!$B$5:$B$1004,$H5,Hours_Log!$D$5:$D$1004,M$4)+SUMIFS(Toggl_Import!$U$10:$U$509,Toggl_Import!$S$10:$S$509,$H5,Toggl_Import!$T$10:$T$509,M$4)</f>
        <v/>
      </c>
      <c r="N5" s="32">
        <f>SUMIFS(Hours_Log!$E$5:$E$1004,Hours_Log!$B$5:$B$1004,$H5,Hours_Log!$D$5:$D$1004,N$4)+SUMIFS(Toggl_Import!$U$10:$U$509,Toggl_Import!$S$10:$S$509,$H5,Toggl_Import!$T$10:$T$509,N$4)</f>
        <v/>
      </c>
      <c r="O5" s="32">
        <f>SUMIFS(Hours_Log!$E$5:$E$1004,Hours_Log!$B$5:$B$1004,$H5,Hours_Log!$D$5:$D$1004,O$4)+SUMIFS(Toggl_Import!$U$10:$U$509,Toggl_Import!$S$10:$S$509,$H5,Toggl_Import!$T$10:$T$509,O$4)</f>
        <v/>
      </c>
      <c r="P5" s="34">
        <f>SUM(I5:O5)</f>
        <v/>
      </c>
    </row>
    <row r="6">
      <c r="A6" s="91" t="n"/>
      <c r="B6" s="92" t="n"/>
      <c r="C6" s="92" t="n"/>
      <c r="D6" s="92" t="n"/>
      <c r="E6" s="93" t="n"/>
      <c r="F6" s="92" t="n"/>
      <c r="H6">
        <f>Schedule!A8</f>
        <v/>
      </c>
      <c r="I6" s="32">
        <f>SUMIFS(Hours_Log!$E$5:$E$1004,Hours_Log!$B$5:$B$1004,$H6,Hours_Log!$D$5:$D$1004,I$4)+SUMIFS(Toggl_Import!$U$10:$U$509,Toggl_Import!$S$10:$S$509,$H6,Toggl_Import!$T$10:$T$509,I$4)</f>
        <v/>
      </c>
      <c r="J6" s="32">
        <f>SUMIFS(Hours_Log!$E$5:$E$1004,Hours_Log!$B$5:$B$1004,$H6,Hours_Log!$D$5:$D$1004,J$4)+SUMIFS(Toggl_Import!$U$10:$U$509,Toggl_Import!$S$10:$S$509,$H6,Toggl_Import!$T$10:$T$509,J$4)</f>
        <v/>
      </c>
      <c r="K6" s="32">
        <f>SUMIFS(Hours_Log!$E$5:$E$1004,Hours_Log!$B$5:$B$1004,$H6,Hours_Log!$D$5:$D$1004,K$4)+SUMIFS(Toggl_Import!$U$10:$U$509,Toggl_Import!$S$10:$S$509,$H6,Toggl_Import!$T$10:$T$509,K$4)</f>
        <v/>
      </c>
      <c r="L6" s="32">
        <f>SUMIFS(Hours_Log!$E$5:$E$1004,Hours_Log!$B$5:$B$1004,$H6,Hours_Log!$D$5:$D$1004,L$4)+SUMIFS(Toggl_Import!$U$10:$U$509,Toggl_Import!$S$10:$S$509,$H6,Toggl_Import!$T$10:$T$509,L$4)</f>
        <v/>
      </c>
      <c r="M6" s="32">
        <f>SUMIFS(Hours_Log!$E$5:$E$1004,Hours_Log!$B$5:$B$1004,$H6,Hours_Log!$D$5:$D$1004,M$4)+SUMIFS(Toggl_Import!$U$10:$U$509,Toggl_Import!$S$10:$S$509,$H6,Toggl_Import!$T$10:$T$509,M$4)</f>
        <v/>
      </c>
      <c r="N6" s="32">
        <f>SUMIFS(Hours_Log!$E$5:$E$1004,Hours_Log!$B$5:$B$1004,$H6,Hours_Log!$D$5:$D$1004,N$4)+SUMIFS(Toggl_Import!$U$10:$U$509,Toggl_Import!$S$10:$S$509,$H6,Toggl_Import!$T$10:$T$509,N$4)</f>
        <v/>
      </c>
      <c r="O6" s="32">
        <f>SUMIFS(Hours_Log!$E$5:$E$1004,Hours_Log!$B$5:$B$1004,$H6,Hours_Log!$D$5:$D$1004,O$4)+SUMIFS(Toggl_Import!$U$10:$U$509,Toggl_Import!$S$10:$S$509,$H6,Toggl_Import!$T$10:$T$509,O$4)</f>
        <v/>
      </c>
      <c r="P6" s="34">
        <f>SUM(I6:O6)</f>
        <v/>
      </c>
    </row>
    <row r="7">
      <c r="A7" s="91" t="n"/>
      <c r="B7" s="92" t="n"/>
      <c r="C7" s="92" t="n"/>
      <c r="D7" s="92" t="n"/>
      <c r="E7" s="93" t="n"/>
      <c r="F7" s="92" t="n"/>
      <c r="H7">
        <f>Schedule!A9</f>
        <v/>
      </c>
      <c r="I7" s="32">
        <f>SUMIFS(Hours_Log!$E$5:$E$1004,Hours_Log!$B$5:$B$1004,$H7,Hours_Log!$D$5:$D$1004,I$4)+SUMIFS(Toggl_Import!$U$10:$U$509,Toggl_Import!$S$10:$S$509,$H7,Toggl_Import!$T$10:$T$509,I$4)</f>
        <v/>
      </c>
      <c r="J7" s="32">
        <f>SUMIFS(Hours_Log!$E$5:$E$1004,Hours_Log!$B$5:$B$1004,$H7,Hours_Log!$D$5:$D$1004,J$4)+SUMIFS(Toggl_Import!$U$10:$U$509,Toggl_Import!$S$10:$S$509,$H7,Toggl_Import!$T$10:$T$509,J$4)</f>
        <v/>
      </c>
      <c r="K7" s="32">
        <f>SUMIFS(Hours_Log!$E$5:$E$1004,Hours_Log!$B$5:$B$1004,$H7,Hours_Log!$D$5:$D$1004,K$4)+SUMIFS(Toggl_Import!$U$10:$U$509,Toggl_Import!$S$10:$S$509,$H7,Toggl_Import!$T$10:$T$509,K$4)</f>
        <v/>
      </c>
      <c r="L7" s="32">
        <f>SUMIFS(Hours_Log!$E$5:$E$1004,Hours_Log!$B$5:$B$1004,$H7,Hours_Log!$D$5:$D$1004,L$4)+SUMIFS(Toggl_Import!$U$10:$U$509,Toggl_Import!$S$10:$S$509,$H7,Toggl_Import!$T$10:$T$509,L$4)</f>
        <v/>
      </c>
      <c r="M7" s="32">
        <f>SUMIFS(Hours_Log!$E$5:$E$1004,Hours_Log!$B$5:$B$1004,$H7,Hours_Log!$D$5:$D$1004,M$4)+SUMIFS(Toggl_Import!$U$10:$U$509,Toggl_Import!$S$10:$S$509,$H7,Toggl_Import!$T$10:$T$509,M$4)</f>
        <v/>
      </c>
      <c r="N7" s="32">
        <f>SUMIFS(Hours_Log!$E$5:$E$1004,Hours_Log!$B$5:$B$1004,$H7,Hours_Log!$D$5:$D$1004,N$4)+SUMIFS(Toggl_Import!$U$10:$U$509,Toggl_Import!$S$10:$S$509,$H7,Toggl_Import!$T$10:$T$509,N$4)</f>
        <v/>
      </c>
      <c r="O7" s="32">
        <f>SUMIFS(Hours_Log!$E$5:$E$1004,Hours_Log!$B$5:$B$1004,$H7,Hours_Log!$D$5:$D$1004,O$4)+SUMIFS(Toggl_Import!$U$10:$U$509,Toggl_Import!$S$10:$S$509,$H7,Toggl_Import!$T$10:$T$509,O$4)</f>
        <v/>
      </c>
      <c r="P7" s="34">
        <f>SUM(I7:O7)</f>
        <v/>
      </c>
    </row>
    <row r="8">
      <c r="A8" s="91" t="n"/>
      <c r="B8" s="92" t="n"/>
      <c r="C8" s="92" t="n"/>
      <c r="D8" s="92" t="n"/>
      <c r="E8" s="93" t="n"/>
      <c r="F8" s="92" t="n"/>
      <c r="H8">
        <f>Schedule!A10</f>
        <v/>
      </c>
      <c r="I8" s="32">
        <f>SUMIFS(Hours_Log!$E$5:$E$1004,Hours_Log!$B$5:$B$1004,$H8,Hours_Log!$D$5:$D$1004,I$4)+SUMIFS(Toggl_Import!$U$10:$U$509,Toggl_Import!$S$10:$S$509,$H8,Toggl_Import!$T$10:$T$509,I$4)</f>
        <v/>
      </c>
      <c r="J8" s="32">
        <f>SUMIFS(Hours_Log!$E$5:$E$1004,Hours_Log!$B$5:$B$1004,$H8,Hours_Log!$D$5:$D$1004,J$4)+SUMIFS(Toggl_Import!$U$10:$U$509,Toggl_Import!$S$10:$S$509,$H8,Toggl_Import!$T$10:$T$509,J$4)</f>
        <v/>
      </c>
      <c r="K8" s="32">
        <f>SUMIFS(Hours_Log!$E$5:$E$1004,Hours_Log!$B$5:$B$1004,$H8,Hours_Log!$D$5:$D$1004,K$4)+SUMIFS(Toggl_Import!$U$10:$U$509,Toggl_Import!$S$10:$S$509,$H8,Toggl_Import!$T$10:$T$509,K$4)</f>
        <v/>
      </c>
      <c r="L8" s="32">
        <f>SUMIFS(Hours_Log!$E$5:$E$1004,Hours_Log!$B$5:$B$1004,$H8,Hours_Log!$D$5:$D$1004,L$4)+SUMIFS(Toggl_Import!$U$10:$U$509,Toggl_Import!$S$10:$S$509,$H8,Toggl_Import!$T$10:$T$509,L$4)</f>
        <v/>
      </c>
      <c r="M8" s="32">
        <f>SUMIFS(Hours_Log!$E$5:$E$1004,Hours_Log!$B$5:$B$1004,$H8,Hours_Log!$D$5:$D$1004,M$4)+SUMIFS(Toggl_Import!$U$10:$U$509,Toggl_Import!$S$10:$S$509,$H8,Toggl_Import!$T$10:$T$509,M$4)</f>
        <v/>
      </c>
      <c r="N8" s="32">
        <f>SUMIFS(Hours_Log!$E$5:$E$1004,Hours_Log!$B$5:$B$1004,$H8,Hours_Log!$D$5:$D$1004,N$4)+SUMIFS(Toggl_Import!$U$10:$U$509,Toggl_Import!$S$10:$S$509,$H8,Toggl_Import!$T$10:$T$509,N$4)</f>
        <v/>
      </c>
      <c r="O8" s="32">
        <f>SUMIFS(Hours_Log!$E$5:$E$1004,Hours_Log!$B$5:$B$1004,$H8,Hours_Log!$D$5:$D$1004,O$4)+SUMIFS(Toggl_Import!$U$10:$U$509,Toggl_Import!$S$10:$S$509,$H8,Toggl_Import!$T$10:$T$509,O$4)</f>
        <v/>
      </c>
      <c r="P8" s="34">
        <f>SUM(I8:O8)</f>
        <v/>
      </c>
    </row>
    <row r="9">
      <c r="A9" s="91" t="n"/>
      <c r="B9" s="92" t="n"/>
      <c r="C9" s="92" t="n"/>
      <c r="D9" s="92" t="n"/>
      <c r="E9" s="93" t="n"/>
      <c r="F9" s="92" t="n"/>
      <c r="H9">
        <f>Schedule!A11</f>
        <v/>
      </c>
      <c r="I9" s="32">
        <f>SUMIFS(Hours_Log!$E$5:$E$1004,Hours_Log!$B$5:$B$1004,$H9,Hours_Log!$D$5:$D$1004,I$4)+SUMIFS(Toggl_Import!$U$10:$U$509,Toggl_Import!$S$10:$S$509,$H9,Toggl_Import!$T$10:$T$509,I$4)</f>
        <v/>
      </c>
      <c r="J9" s="32">
        <f>SUMIFS(Hours_Log!$E$5:$E$1004,Hours_Log!$B$5:$B$1004,$H9,Hours_Log!$D$5:$D$1004,J$4)+SUMIFS(Toggl_Import!$U$10:$U$509,Toggl_Import!$S$10:$S$509,$H9,Toggl_Import!$T$10:$T$509,J$4)</f>
        <v/>
      </c>
      <c r="K9" s="32">
        <f>SUMIFS(Hours_Log!$E$5:$E$1004,Hours_Log!$B$5:$B$1004,$H9,Hours_Log!$D$5:$D$1004,K$4)+SUMIFS(Toggl_Import!$U$10:$U$509,Toggl_Import!$S$10:$S$509,$H9,Toggl_Import!$T$10:$T$509,K$4)</f>
        <v/>
      </c>
      <c r="L9" s="32">
        <f>SUMIFS(Hours_Log!$E$5:$E$1004,Hours_Log!$B$5:$B$1004,$H9,Hours_Log!$D$5:$D$1004,L$4)+SUMIFS(Toggl_Import!$U$10:$U$509,Toggl_Import!$S$10:$S$509,$H9,Toggl_Import!$T$10:$T$509,L$4)</f>
        <v/>
      </c>
      <c r="M9" s="32">
        <f>SUMIFS(Hours_Log!$E$5:$E$1004,Hours_Log!$B$5:$B$1004,$H9,Hours_Log!$D$5:$D$1004,M$4)+SUMIFS(Toggl_Import!$U$10:$U$509,Toggl_Import!$S$10:$S$509,$H9,Toggl_Import!$T$10:$T$509,M$4)</f>
        <v/>
      </c>
      <c r="N9" s="32">
        <f>SUMIFS(Hours_Log!$E$5:$E$1004,Hours_Log!$B$5:$B$1004,$H9,Hours_Log!$D$5:$D$1004,N$4)+SUMIFS(Toggl_Import!$U$10:$U$509,Toggl_Import!$S$10:$S$509,$H9,Toggl_Import!$T$10:$T$509,N$4)</f>
        <v/>
      </c>
      <c r="O9" s="32">
        <f>SUMIFS(Hours_Log!$E$5:$E$1004,Hours_Log!$B$5:$B$1004,$H9,Hours_Log!$D$5:$D$1004,O$4)+SUMIFS(Toggl_Import!$U$10:$U$509,Toggl_Import!$S$10:$S$509,$H9,Toggl_Import!$T$10:$T$509,O$4)</f>
        <v/>
      </c>
      <c r="P9" s="34">
        <f>SUM(I9:O9)</f>
        <v/>
      </c>
    </row>
    <row r="10">
      <c r="A10" s="91" t="n"/>
      <c r="B10" s="92" t="n"/>
      <c r="C10" s="92" t="n"/>
      <c r="D10" s="92" t="n"/>
      <c r="E10" s="93" t="n"/>
      <c r="F10" s="92" t="n"/>
      <c r="H10">
        <f>Schedule!A12</f>
        <v/>
      </c>
      <c r="I10" s="32">
        <f>SUMIFS(Hours_Log!$E$5:$E$1004,Hours_Log!$B$5:$B$1004,$H10,Hours_Log!$D$5:$D$1004,I$4)+SUMIFS(Toggl_Import!$U$10:$U$509,Toggl_Import!$S$10:$S$509,$H10,Toggl_Import!$T$10:$T$509,I$4)</f>
        <v/>
      </c>
      <c r="J10" s="32">
        <f>SUMIFS(Hours_Log!$E$5:$E$1004,Hours_Log!$B$5:$B$1004,$H10,Hours_Log!$D$5:$D$1004,J$4)+SUMIFS(Toggl_Import!$U$10:$U$509,Toggl_Import!$S$10:$S$509,$H10,Toggl_Import!$T$10:$T$509,J$4)</f>
        <v/>
      </c>
      <c r="K10" s="32">
        <f>SUMIFS(Hours_Log!$E$5:$E$1004,Hours_Log!$B$5:$B$1004,$H10,Hours_Log!$D$5:$D$1004,K$4)+SUMIFS(Toggl_Import!$U$10:$U$509,Toggl_Import!$S$10:$S$509,$H10,Toggl_Import!$T$10:$T$509,K$4)</f>
        <v/>
      </c>
      <c r="L10" s="32">
        <f>SUMIFS(Hours_Log!$E$5:$E$1004,Hours_Log!$B$5:$B$1004,$H10,Hours_Log!$D$5:$D$1004,L$4)+SUMIFS(Toggl_Import!$U$10:$U$509,Toggl_Import!$S$10:$S$509,$H10,Toggl_Import!$T$10:$T$509,L$4)</f>
        <v/>
      </c>
      <c r="M10" s="32">
        <f>SUMIFS(Hours_Log!$E$5:$E$1004,Hours_Log!$B$5:$B$1004,$H10,Hours_Log!$D$5:$D$1004,M$4)+SUMIFS(Toggl_Import!$U$10:$U$509,Toggl_Import!$S$10:$S$509,$H10,Toggl_Import!$T$10:$T$509,M$4)</f>
        <v/>
      </c>
      <c r="N10" s="32">
        <f>SUMIFS(Hours_Log!$E$5:$E$1004,Hours_Log!$B$5:$B$1004,$H10,Hours_Log!$D$5:$D$1004,N$4)+SUMIFS(Toggl_Import!$U$10:$U$509,Toggl_Import!$S$10:$S$509,$H10,Toggl_Import!$T$10:$T$509,N$4)</f>
        <v/>
      </c>
      <c r="O10" s="32">
        <f>SUMIFS(Hours_Log!$E$5:$E$1004,Hours_Log!$B$5:$B$1004,$H10,Hours_Log!$D$5:$D$1004,O$4)+SUMIFS(Toggl_Import!$U$10:$U$509,Toggl_Import!$S$10:$S$509,$H10,Toggl_Import!$T$10:$T$509,O$4)</f>
        <v/>
      </c>
      <c r="P10" s="34">
        <f>SUM(I10:O10)</f>
        <v/>
      </c>
    </row>
    <row r="11">
      <c r="A11" s="91" t="n"/>
      <c r="B11" s="92" t="n"/>
      <c r="C11" s="92" t="n"/>
      <c r="D11" s="92" t="n"/>
      <c r="E11" s="93" t="n"/>
      <c r="F11" s="92" t="n"/>
      <c r="H11">
        <f>Schedule!A13</f>
        <v/>
      </c>
      <c r="I11" s="32">
        <f>SUMIFS(Hours_Log!$E$5:$E$1004,Hours_Log!$B$5:$B$1004,$H11,Hours_Log!$D$5:$D$1004,I$4)+SUMIFS(Toggl_Import!$U$10:$U$509,Toggl_Import!$S$10:$S$509,$H11,Toggl_Import!$T$10:$T$509,I$4)</f>
        <v/>
      </c>
      <c r="J11" s="32">
        <f>SUMIFS(Hours_Log!$E$5:$E$1004,Hours_Log!$B$5:$B$1004,$H11,Hours_Log!$D$5:$D$1004,J$4)+SUMIFS(Toggl_Import!$U$10:$U$509,Toggl_Import!$S$10:$S$509,$H11,Toggl_Import!$T$10:$T$509,J$4)</f>
        <v/>
      </c>
      <c r="K11" s="32">
        <f>SUMIFS(Hours_Log!$E$5:$E$1004,Hours_Log!$B$5:$B$1004,$H11,Hours_Log!$D$5:$D$1004,K$4)+SUMIFS(Toggl_Import!$U$10:$U$509,Toggl_Import!$S$10:$S$509,$H11,Toggl_Import!$T$10:$T$509,K$4)</f>
        <v/>
      </c>
      <c r="L11" s="32">
        <f>SUMIFS(Hours_Log!$E$5:$E$1004,Hours_Log!$B$5:$B$1004,$H11,Hours_Log!$D$5:$D$1004,L$4)+SUMIFS(Toggl_Import!$U$10:$U$509,Toggl_Import!$S$10:$S$509,$H11,Toggl_Import!$T$10:$T$509,L$4)</f>
        <v/>
      </c>
      <c r="M11" s="32">
        <f>SUMIFS(Hours_Log!$E$5:$E$1004,Hours_Log!$B$5:$B$1004,$H11,Hours_Log!$D$5:$D$1004,M$4)+SUMIFS(Toggl_Import!$U$10:$U$509,Toggl_Import!$S$10:$S$509,$H11,Toggl_Import!$T$10:$T$509,M$4)</f>
        <v/>
      </c>
      <c r="N11" s="32">
        <f>SUMIFS(Hours_Log!$E$5:$E$1004,Hours_Log!$B$5:$B$1004,$H11,Hours_Log!$D$5:$D$1004,N$4)+SUMIFS(Toggl_Import!$U$10:$U$509,Toggl_Import!$S$10:$S$509,$H11,Toggl_Import!$T$10:$T$509,N$4)</f>
        <v/>
      </c>
      <c r="O11" s="32">
        <f>SUMIFS(Hours_Log!$E$5:$E$1004,Hours_Log!$B$5:$B$1004,$H11,Hours_Log!$D$5:$D$1004,O$4)+SUMIFS(Toggl_Import!$U$10:$U$509,Toggl_Import!$S$10:$S$509,$H11,Toggl_Import!$T$10:$T$509,O$4)</f>
        <v/>
      </c>
      <c r="P11" s="34">
        <f>SUM(I11:O11)</f>
        <v/>
      </c>
    </row>
    <row r="12">
      <c r="A12" s="91" t="n"/>
      <c r="B12" s="92" t="n"/>
      <c r="C12" s="92" t="n"/>
      <c r="D12" s="92" t="n"/>
      <c r="E12" s="93" t="n"/>
      <c r="F12" s="92" t="n"/>
      <c r="H12">
        <f>Schedule!A14</f>
        <v/>
      </c>
      <c r="I12" s="32">
        <f>SUMIFS(Hours_Log!$E$5:$E$1004,Hours_Log!$B$5:$B$1004,$H12,Hours_Log!$D$5:$D$1004,I$4)+SUMIFS(Toggl_Import!$U$10:$U$509,Toggl_Import!$S$10:$S$509,$H12,Toggl_Import!$T$10:$T$509,I$4)</f>
        <v/>
      </c>
      <c r="J12" s="32">
        <f>SUMIFS(Hours_Log!$E$5:$E$1004,Hours_Log!$B$5:$B$1004,$H12,Hours_Log!$D$5:$D$1004,J$4)+SUMIFS(Toggl_Import!$U$10:$U$509,Toggl_Import!$S$10:$S$509,$H12,Toggl_Import!$T$10:$T$509,J$4)</f>
        <v/>
      </c>
      <c r="K12" s="32">
        <f>SUMIFS(Hours_Log!$E$5:$E$1004,Hours_Log!$B$5:$B$1004,$H12,Hours_Log!$D$5:$D$1004,K$4)+SUMIFS(Toggl_Import!$U$10:$U$509,Toggl_Import!$S$10:$S$509,$H12,Toggl_Import!$T$10:$T$509,K$4)</f>
        <v/>
      </c>
      <c r="L12" s="32">
        <f>SUMIFS(Hours_Log!$E$5:$E$1004,Hours_Log!$B$5:$B$1004,$H12,Hours_Log!$D$5:$D$1004,L$4)+SUMIFS(Toggl_Import!$U$10:$U$509,Toggl_Import!$S$10:$S$509,$H12,Toggl_Import!$T$10:$T$509,L$4)</f>
        <v/>
      </c>
      <c r="M12" s="32">
        <f>SUMIFS(Hours_Log!$E$5:$E$1004,Hours_Log!$B$5:$B$1004,$H12,Hours_Log!$D$5:$D$1004,M$4)+SUMIFS(Toggl_Import!$U$10:$U$509,Toggl_Import!$S$10:$S$509,$H12,Toggl_Import!$T$10:$T$509,M$4)</f>
        <v/>
      </c>
      <c r="N12" s="32">
        <f>SUMIFS(Hours_Log!$E$5:$E$1004,Hours_Log!$B$5:$B$1004,$H12,Hours_Log!$D$5:$D$1004,N$4)+SUMIFS(Toggl_Import!$U$10:$U$509,Toggl_Import!$S$10:$S$509,$H12,Toggl_Import!$T$10:$T$509,N$4)</f>
        <v/>
      </c>
      <c r="O12" s="32">
        <f>SUMIFS(Hours_Log!$E$5:$E$1004,Hours_Log!$B$5:$B$1004,$H12,Hours_Log!$D$5:$D$1004,O$4)+SUMIFS(Toggl_Import!$U$10:$U$509,Toggl_Import!$S$10:$S$509,$H12,Toggl_Import!$T$10:$T$509,O$4)</f>
        <v/>
      </c>
      <c r="P12" s="34">
        <f>SUM(I12:O12)</f>
        <v/>
      </c>
    </row>
    <row r="13">
      <c r="A13" s="91" t="n"/>
      <c r="B13" s="92" t="n"/>
      <c r="C13" s="92" t="n"/>
      <c r="D13" s="92" t="n"/>
      <c r="E13" s="93" t="n"/>
      <c r="F13" s="92" t="n"/>
      <c r="H13">
        <f>Schedule!A15</f>
        <v/>
      </c>
      <c r="I13" s="32">
        <f>SUMIFS(Hours_Log!$E$5:$E$1004,Hours_Log!$B$5:$B$1004,$H13,Hours_Log!$D$5:$D$1004,I$4)+SUMIFS(Toggl_Import!$U$10:$U$509,Toggl_Import!$S$10:$S$509,$H13,Toggl_Import!$T$10:$T$509,I$4)</f>
        <v/>
      </c>
      <c r="J13" s="32">
        <f>SUMIFS(Hours_Log!$E$5:$E$1004,Hours_Log!$B$5:$B$1004,$H13,Hours_Log!$D$5:$D$1004,J$4)+SUMIFS(Toggl_Import!$U$10:$U$509,Toggl_Import!$S$10:$S$509,$H13,Toggl_Import!$T$10:$T$509,J$4)</f>
        <v/>
      </c>
      <c r="K13" s="32">
        <f>SUMIFS(Hours_Log!$E$5:$E$1004,Hours_Log!$B$5:$B$1004,$H13,Hours_Log!$D$5:$D$1004,K$4)+SUMIFS(Toggl_Import!$U$10:$U$509,Toggl_Import!$S$10:$S$509,$H13,Toggl_Import!$T$10:$T$509,K$4)</f>
        <v/>
      </c>
      <c r="L13" s="32">
        <f>SUMIFS(Hours_Log!$E$5:$E$1004,Hours_Log!$B$5:$B$1004,$H13,Hours_Log!$D$5:$D$1004,L$4)+SUMIFS(Toggl_Import!$U$10:$U$509,Toggl_Import!$S$10:$S$509,$H13,Toggl_Import!$T$10:$T$509,L$4)</f>
        <v/>
      </c>
      <c r="M13" s="32">
        <f>SUMIFS(Hours_Log!$E$5:$E$1004,Hours_Log!$B$5:$B$1004,$H13,Hours_Log!$D$5:$D$1004,M$4)+SUMIFS(Toggl_Import!$U$10:$U$509,Toggl_Import!$S$10:$S$509,$H13,Toggl_Import!$T$10:$T$509,M$4)</f>
        <v/>
      </c>
      <c r="N13" s="32">
        <f>SUMIFS(Hours_Log!$E$5:$E$1004,Hours_Log!$B$5:$B$1004,$H13,Hours_Log!$D$5:$D$1004,N$4)+SUMIFS(Toggl_Import!$U$10:$U$509,Toggl_Import!$S$10:$S$509,$H13,Toggl_Import!$T$10:$T$509,N$4)</f>
        <v/>
      </c>
      <c r="O13" s="32">
        <f>SUMIFS(Hours_Log!$E$5:$E$1004,Hours_Log!$B$5:$B$1004,$H13,Hours_Log!$D$5:$D$1004,O$4)+SUMIFS(Toggl_Import!$U$10:$U$509,Toggl_Import!$S$10:$S$509,$H13,Toggl_Import!$T$10:$T$509,O$4)</f>
        <v/>
      </c>
      <c r="P13" s="34">
        <f>SUM(I13:O13)</f>
        <v/>
      </c>
    </row>
    <row r="14">
      <c r="A14" s="91" t="n"/>
      <c r="B14" s="92" t="n"/>
      <c r="C14" s="92" t="n"/>
      <c r="D14" s="92" t="n"/>
      <c r="E14" s="93" t="n"/>
      <c r="F14" s="92" t="n"/>
      <c r="H14">
        <f>Schedule!A16</f>
        <v/>
      </c>
      <c r="I14" s="32">
        <f>SUMIFS(Hours_Log!$E$5:$E$1004,Hours_Log!$B$5:$B$1004,$H14,Hours_Log!$D$5:$D$1004,I$4)+SUMIFS(Toggl_Import!$U$10:$U$509,Toggl_Import!$S$10:$S$509,$H14,Toggl_Import!$T$10:$T$509,I$4)</f>
        <v/>
      </c>
      <c r="J14" s="32">
        <f>SUMIFS(Hours_Log!$E$5:$E$1004,Hours_Log!$B$5:$B$1004,$H14,Hours_Log!$D$5:$D$1004,J$4)+SUMIFS(Toggl_Import!$U$10:$U$509,Toggl_Import!$S$10:$S$509,$H14,Toggl_Import!$T$10:$T$509,J$4)</f>
        <v/>
      </c>
      <c r="K14" s="32">
        <f>SUMIFS(Hours_Log!$E$5:$E$1004,Hours_Log!$B$5:$B$1004,$H14,Hours_Log!$D$5:$D$1004,K$4)+SUMIFS(Toggl_Import!$U$10:$U$509,Toggl_Import!$S$10:$S$509,$H14,Toggl_Import!$T$10:$T$509,K$4)</f>
        <v/>
      </c>
      <c r="L14" s="32">
        <f>SUMIFS(Hours_Log!$E$5:$E$1004,Hours_Log!$B$5:$B$1004,$H14,Hours_Log!$D$5:$D$1004,L$4)+SUMIFS(Toggl_Import!$U$10:$U$509,Toggl_Import!$S$10:$S$509,$H14,Toggl_Import!$T$10:$T$509,L$4)</f>
        <v/>
      </c>
      <c r="M14" s="32">
        <f>SUMIFS(Hours_Log!$E$5:$E$1004,Hours_Log!$B$5:$B$1004,$H14,Hours_Log!$D$5:$D$1004,M$4)+SUMIFS(Toggl_Import!$U$10:$U$509,Toggl_Import!$S$10:$S$509,$H14,Toggl_Import!$T$10:$T$509,M$4)</f>
        <v/>
      </c>
      <c r="N14" s="32">
        <f>SUMIFS(Hours_Log!$E$5:$E$1004,Hours_Log!$B$5:$B$1004,$H14,Hours_Log!$D$5:$D$1004,N$4)+SUMIFS(Toggl_Import!$U$10:$U$509,Toggl_Import!$S$10:$S$509,$H14,Toggl_Import!$T$10:$T$509,N$4)</f>
        <v/>
      </c>
      <c r="O14" s="32">
        <f>SUMIFS(Hours_Log!$E$5:$E$1004,Hours_Log!$B$5:$B$1004,$H14,Hours_Log!$D$5:$D$1004,O$4)+SUMIFS(Toggl_Import!$U$10:$U$509,Toggl_Import!$S$10:$S$509,$H14,Toggl_Import!$T$10:$T$509,O$4)</f>
        <v/>
      </c>
      <c r="P14" s="34">
        <f>SUM(I14:O14)</f>
        <v/>
      </c>
    </row>
    <row r="15">
      <c r="A15" s="91" t="n"/>
      <c r="B15" s="92" t="n"/>
      <c r="C15" s="92" t="n"/>
      <c r="D15" s="92" t="n"/>
      <c r="E15" s="93" t="n"/>
      <c r="F15" s="92" t="n"/>
      <c r="H15">
        <f>Schedule!A17</f>
        <v/>
      </c>
      <c r="I15" s="32">
        <f>SUMIFS(Hours_Log!$E$5:$E$1004,Hours_Log!$B$5:$B$1004,$H15,Hours_Log!$D$5:$D$1004,I$4)+SUMIFS(Toggl_Import!$U$10:$U$509,Toggl_Import!$S$10:$S$509,$H15,Toggl_Import!$T$10:$T$509,I$4)</f>
        <v/>
      </c>
      <c r="J15" s="32">
        <f>SUMIFS(Hours_Log!$E$5:$E$1004,Hours_Log!$B$5:$B$1004,$H15,Hours_Log!$D$5:$D$1004,J$4)+SUMIFS(Toggl_Import!$U$10:$U$509,Toggl_Import!$S$10:$S$509,$H15,Toggl_Import!$T$10:$T$509,J$4)</f>
        <v/>
      </c>
      <c r="K15" s="32">
        <f>SUMIFS(Hours_Log!$E$5:$E$1004,Hours_Log!$B$5:$B$1004,$H15,Hours_Log!$D$5:$D$1004,K$4)+SUMIFS(Toggl_Import!$U$10:$U$509,Toggl_Import!$S$10:$S$509,$H15,Toggl_Import!$T$10:$T$509,K$4)</f>
        <v/>
      </c>
      <c r="L15" s="32">
        <f>SUMIFS(Hours_Log!$E$5:$E$1004,Hours_Log!$B$5:$B$1004,$H15,Hours_Log!$D$5:$D$1004,L$4)+SUMIFS(Toggl_Import!$U$10:$U$509,Toggl_Import!$S$10:$S$509,$H15,Toggl_Import!$T$10:$T$509,L$4)</f>
        <v/>
      </c>
      <c r="M15" s="32">
        <f>SUMIFS(Hours_Log!$E$5:$E$1004,Hours_Log!$B$5:$B$1004,$H15,Hours_Log!$D$5:$D$1004,M$4)+SUMIFS(Toggl_Import!$U$10:$U$509,Toggl_Import!$S$10:$S$509,$H15,Toggl_Import!$T$10:$T$509,M$4)</f>
        <v/>
      </c>
      <c r="N15" s="32">
        <f>SUMIFS(Hours_Log!$E$5:$E$1004,Hours_Log!$B$5:$B$1004,$H15,Hours_Log!$D$5:$D$1004,N$4)+SUMIFS(Toggl_Import!$U$10:$U$509,Toggl_Import!$S$10:$S$509,$H15,Toggl_Import!$T$10:$T$509,N$4)</f>
        <v/>
      </c>
      <c r="O15" s="32">
        <f>SUMIFS(Hours_Log!$E$5:$E$1004,Hours_Log!$B$5:$B$1004,$H15,Hours_Log!$D$5:$D$1004,O$4)+SUMIFS(Toggl_Import!$U$10:$U$509,Toggl_Import!$S$10:$S$509,$H15,Toggl_Import!$T$10:$T$509,O$4)</f>
        <v/>
      </c>
      <c r="P15" s="34">
        <f>SUM(I15:O15)</f>
        <v/>
      </c>
    </row>
    <row r="16">
      <c r="A16" s="91" t="n"/>
      <c r="B16" s="92" t="n"/>
      <c r="C16" s="92" t="n"/>
      <c r="D16" s="92" t="n"/>
      <c r="E16" s="93" t="n"/>
      <c r="F16" s="92" t="n"/>
      <c r="H16">
        <f>Schedule!A18</f>
        <v/>
      </c>
      <c r="I16" s="32">
        <f>SUMIFS(Hours_Log!$E$5:$E$1004,Hours_Log!$B$5:$B$1004,$H16,Hours_Log!$D$5:$D$1004,I$4)+SUMIFS(Toggl_Import!$U$10:$U$509,Toggl_Import!$S$10:$S$509,$H16,Toggl_Import!$T$10:$T$509,I$4)</f>
        <v/>
      </c>
      <c r="J16" s="32">
        <f>SUMIFS(Hours_Log!$E$5:$E$1004,Hours_Log!$B$5:$B$1004,$H16,Hours_Log!$D$5:$D$1004,J$4)+SUMIFS(Toggl_Import!$U$10:$U$509,Toggl_Import!$S$10:$S$509,$H16,Toggl_Import!$T$10:$T$509,J$4)</f>
        <v/>
      </c>
      <c r="K16" s="32">
        <f>SUMIFS(Hours_Log!$E$5:$E$1004,Hours_Log!$B$5:$B$1004,$H16,Hours_Log!$D$5:$D$1004,K$4)+SUMIFS(Toggl_Import!$U$10:$U$509,Toggl_Import!$S$10:$S$509,$H16,Toggl_Import!$T$10:$T$509,K$4)</f>
        <v/>
      </c>
      <c r="L16" s="32">
        <f>SUMIFS(Hours_Log!$E$5:$E$1004,Hours_Log!$B$5:$B$1004,$H16,Hours_Log!$D$5:$D$1004,L$4)+SUMIFS(Toggl_Import!$U$10:$U$509,Toggl_Import!$S$10:$S$509,$H16,Toggl_Import!$T$10:$T$509,L$4)</f>
        <v/>
      </c>
      <c r="M16" s="32">
        <f>SUMIFS(Hours_Log!$E$5:$E$1004,Hours_Log!$B$5:$B$1004,$H16,Hours_Log!$D$5:$D$1004,M$4)+SUMIFS(Toggl_Import!$U$10:$U$509,Toggl_Import!$S$10:$S$509,$H16,Toggl_Import!$T$10:$T$509,M$4)</f>
        <v/>
      </c>
      <c r="N16" s="32">
        <f>SUMIFS(Hours_Log!$E$5:$E$1004,Hours_Log!$B$5:$B$1004,$H16,Hours_Log!$D$5:$D$1004,N$4)+SUMIFS(Toggl_Import!$U$10:$U$509,Toggl_Import!$S$10:$S$509,$H16,Toggl_Import!$T$10:$T$509,N$4)</f>
        <v/>
      </c>
      <c r="O16" s="32">
        <f>SUMIFS(Hours_Log!$E$5:$E$1004,Hours_Log!$B$5:$B$1004,$H16,Hours_Log!$D$5:$D$1004,O$4)+SUMIFS(Toggl_Import!$U$10:$U$509,Toggl_Import!$S$10:$S$509,$H16,Toggl_Import!$T$10:$T$509,O$4)</f>
        <v/>
      </c>
      <c r="P16" s="34">
        <f>SUM(I16:O16)</f>
        <v/>
      </c>
    </row>
    <row r="17">
      <c r="A17" s="91" t="n"/>
      <c r="B17" s="92" t="n"/>
      <c r="C17" s="92" t="n"/>
      <c r="D17" s="92" t="n"/>
      <c r="E17" s="93" t="n"/>
      <c r="F17" s="92" t="n"/>
      <c r="H17" t="inlineStr">
        <is>
          <t>All hours</t>
        </is>
      </c>
      <c r="I17" s="32">
        <f>SUMIFS(Hours_Log!$E$5:$E$1004,Hours_Log!$D$5:$D$1004,I$4)+SUMIFS(Toggl_Import!$U$10:$U$509,Toggl_Import!$T$10:$T$509,I$4)</f>
        <v/>
      </c>
      <c r="J17" s="32">
        <f>SUMIFS(Hours_Log!$E$5:$E$1004,Hours_Log!$D$5:$D$1004,J$4)+SUMIFS(Toggl_Import!$U$10:$U$509,Toggl_Import!$T$10:$T$509,J$4)</f>
        <v/>
      </c>
      <c r="K17" s="32">
        <f>SUMIFS(Hours_Log!$E$5:$E$1004,Hours_Log!$D$5:$D$1004,K$4)+SUMIFS(Toggl_Import!$U$10:$U$509,Toggl_Import!$T$10:$T$509,K$4)</f>
        <v/>
      </c>
      <c r="L17" s="32">
        <f>SUMIFS(Hours_Log!$E$5:$E$1004,Hours_Log!$D$5:$D$1004,L$4)+SUMIFS(Toggl_Import!$U$10:$U$509,Toggl_Import!$T$10:$T$509,L$4)</f>
        <v/>
      </c>
      <c r="M17" s="32">
        <f>SUMIFS(Hours_Log!$E$5:$E$1004,Hours_Log!$D$5:$D$1004,M$4)+SUMIFS(Toggl_Import!$U$10:$U$509,Toggl_Import!$T$10:$T$509,M$4)</f>
        <v/>
      </c>
      <c r="N17" s="32">
        <f>SUMIFS(Hours_Log!$E$5:$E$1004,Hours_Log!$D$5:$D$1004,N$4)+SUMIFS(Toggl_Import!$U$10:$U$509,Toggl_Import!$T$10:$T$509,N$4)</f>
        <v/>
      </c>
      <c r="O17" s="32">
        <f>SUMIFS(Hours_Log!$E$5:$E$1004,Hours_Log!$D$5:$D$1004,O$4)+SUMIFS(Toggl_Import!$U$10:$U$509,Toggl_Import!$T$10:$T$509,O$4)</f>
        <v/>
      </c>
      <c r="P17" s="34">
        <f>SUM(I17:O17)</f>
        <v/>
      </c>
    </row>
    <row r="18">
      <c r="A18" s="91" t="n"/>
      <c r="B18" s="92" t="n"/>
      <c r="C18" s="92" t="n"/>
      <c r="D18" s="92" t="n"/>
      <c r="E18" s="93" t="n"/>
      <c r="F18" s="92" t="n"/>
      <c r="H18" t="inlineStr">
        <is>
          <t>Not linked to a scheduled drop</t>
        </is>
      </c>
      <c r="I18" s="32">
        <f>I17-SUM(I5:I16)</f>
        <v/>
      </c>
      <c r="J18" s="32">
        <f>J17-SUM(J5:J16)</f>
        <v/>
      </c>
      <c r="K18" s="32">
        <f>K17-SUM(K5:K16)</f>
        <v/>
      </c>
      <c r="L18" s="32">
        <f>L17-SUM(L5:L16)</f>
        <v/>
      </c>
      <c r="M18" s="32">
        <f>M17-SUM(M5:M16)</f>
        <v/>
      </c>
      <c r="N18" s="32">
        <f>N17-SUM(N5:N16)</f>
        <v/>
      </c>
      <c r="O18" s="32">
        <f>O17-SUM(O5:O16)</f>
        <v/>
      </c>
      <c r="P18" s="32">
        <f>P17-SUM(P5:P16)</f>
        <v/>
      </c>
    </row>
    <row r="19">
      <c r="A19" s="91" t="n"/>
      <c r="B19" s="92" t="n"/>
      <c r="C19" s="92" t="n"/>
      <c r="D19" s="92" t="n"/>
      <c r="E19" s="93" t="n"/>
      <c r="F19" s="92" t="n"/>
    </row>
    <row r="20">
      <c r="A20" s="91" t="n"/>
      <c r="B20" s="92" t="n"/>
      <c r="C20" s="92" t="n"/>
      <c r="D20" s="92" t="n"/>
      <c r="E20" s="93" t="n"/>
      <c r="F20" s="92" t="n"/>
      <c r="H20" s="75" t="inlineStr">
        <is>
          <t>Totals per week (hand log plus Toggl)</t>
        </is>
      </c>
    </row>
    <row r="21" ht="30" customHeight="1">
      <c r="A21" s="91" t="n"/>
      <c r="B21" s="92" t="n"/>
      <c r="C21" s="92" t="n"/>
      <c r="D21" s="92" t="n"/>
      <c r="E21" s="93" t="n"/>
      <c r="F21" s="92" t="n"/>
      <c r="H21" s="10" t="inlineStr">
        <is>
          <t>week</t>
        </is>
      </c>
      <c r="I21" s="10" t="inlineStr">
        <is>
          <t>week starts</t>
        </is>
      </c>
      <c r="J21" s="10" t="inlineStr">
        <is>
          <t>brand_sales</t>
        </is>
      </c>
      <c r="K21" s="10" t="inlineStr">
        <is>
          <t>office_coordination</t>
        </is>
      </c>
      <c r="L21" s="10" t="inlineStr">
        <is>
          <t>receiving_kitting</t>
        </is>
      </c>
      <c r="M21" s="10" t="inlineStr">
        <is>
          <t>drop_day</t>
        </is>
      </c>
      <c r="N21" s="10" t="inlineStr">
        <is>
          <t>checks_pickup</t>
        </is>
      </c>
      <c r="O21" s="10" t="inlineStr">
        <is>
          <t>reporting_debriefs</t>
        </is>
      </c>
      <c r="P21" s="10" t="inlineStr">
        <is>
          <t>admin_invoicing</t>
        </is>
      </c>
      <c r="Q21" s="10" t="inlineStr">
        <is>
          <t>total</t>
        </is>
      </c>
      <c r="R21" s="10" t="inlineStr">
        <is>
          <t>linked to a drop</t>
        </is>
      </c>
    </row>
    <row r="22">
      <c r="A22" s="91" t="n"/>
      <c r="B22" s="92" t="n"/>
      <c r="C22" s="92" t="n"/>
      <c r="D22" s="92" t="n"/>
      <c r="E22" s="93" t="n"/>
      <c r="F22" s="92" t="n"/>
      <c r="H22" t="n">
        <v>1</v>
      </c>
      <c r="I22" s="17">
        <f>Inputs!$C$10</f>
        <v/>
      </c>
      <c r="J22" s="32">
        <f>SUMIFS(Hours_Log!$E$5:$E$1004,Hours_Log!$A$5:$A$1004,"&gt;="&amp;$I22,Hours_Log!$A$5:$A$1004,"&lt;"&amp;$I22+Inputs!$C$18,Hours_Log!$D$5:$D$1004,J$21)+SUMIFS(Toggl_Import!$U$10:$U$509,Toggl_Import!$R$10:$R$509,"&gt;="&amp;$I22,Toggl_Import!$R$10:$R$509,"&lt;"&amp;$I22+Inputs!$C$18,Toggl_Import!$T$10:$T$509,J$21)</f>
        <v/>
      </c>
      <c r="K22" s="32">
        <f>SUMIFS(Hours_Log!$E$5:$E$1004,Hours_Log!$A$5:$A$1004,"&gt;="&amp;$I22,Hours_Log!$A$5:$A$1004,"&lt;"&amp;$I22+Inputs!$C$18,Hours_Log!$D$5:$D$1004,K$21)+SUMIFS(Toggl_Import!$U$10:$U$509,Toggl_Import!$R$10:$R$509,"&gt;="&amp;$I22,Toggl_Import!$R$10:$R$509,"&lt;"&amp;$I22+Inputs!$C$18,Toggl_Import!$T$10:$T$509,K$21)</f>
        <v/>
      </c>
      <c r="L22" s="32">
        <f>SUMIFS(Hours_Log!$E$5:$E$1004,Hours_Log!$A$5:$A$1004,"&gt;="&amp;$I22,Hours_Log!$A$5:$A$1004,"&lt;"&amp;$I22+Inputs!$C$18,Hours_Log!$D$5:$D$1004,L$21)+SUMIFS(Toggl_Import!$U$10:$U$509,Toggl_Import!$R$10:$R$509,"&gt;="&amp;$I22,Toggl_Import!$R$10:$R$509,"&lt;"&amp;$I22+Inputs!$C$18,Toggl_Import!$T$10:$T$509,L$21)</f>
        <v/>
      </c>
      <c r="M22" s="32">
        <f>SUMIFS(Hours_Log!$E$5:$E$1004,Hours_Log!$A$5:$A$1004,"&gt;="&amp;$I22,Hours_Log!$A$5:$A$1004,"&lt;"&amp;$I22+Inputs!$C$18,Hours_Log!$D$5:$D$1004,M$21)+SUMIFS(Toggl_Import!$U$10:$U$509,Toggl_Import!$R$10:$R$509,"&gt;="&amp;$I22,Toggl_Import!$R$10:$R$509,"&lt;"&amp;$I22+Inputs!$C$18,Toggl_Import!$T$10:$T$509,M$21)</f>
        <v/>
      </c>
      <c r="N22" s="32">
        <f>SUMIFS(Hours_Log!$E$5:$E$1004,Hours_Log!$A$5:$A$1004,"&gt;="&amp;$I22,Hours_Log!$A$5:$A$1004,"&lt;"&amp;$I22+Inputs!$C$18,Hours_Log!$D$5:$D$1004,N$21)+SUMIFS(Toggl_Import!$U$10:$U$509,Toggl_Import!$R$10:$R$509,"&gt;="&amp;$I22,Toggl_Import!$R$10:$R$509,"&lt;"&amp;$I22+Inputs!$C$18,Toggl_Import!$T$10:$T$509,N$21)</f>
        <v/>
      </c>
      <c r="O22" s="32">
        <f>SUMIFS(Hours_Log!$E$5:$E$1004,Hours_Log!$A$5:$A$1004,"&gt;="&amp;$I22,Hours_Log!$A$5:$A$1004,"&lt;"&amp;$I22+Inputs!$C$18,Hours_Log!$D$5:$D$1004,O$21)+SUMIFS(Toggl_Import!$U$10:$U$509,Toggl_Import!$R$10:$R$509,"&gt;="&amp;$I22,Toggl_Import!$R$10:$R$509,"&lt;"&amp;$I22+Inputs!$C$18,Toggl_Import!$T$10:$T$509,O$21)</f>
        <v/>
      </c>
      <c r="P22" s="32">
        <f>SUMIFS(Hours_Log!$E$5:$E$1004,Hours_Log!$A$5:$A$1004,"&gt;="&amp;$I22,Hours_Log!$A$5:$A$1004,"&lt;"&amp;$I22+Inputs!$C$18,Hours_Log!$D$5:$D$1004,P$21)+SUMIFS(Toggl_Import!$U$10:$U$509,Toggl_Import!$R$10:$R$509,"&gt;="&amp;$I22,Toggl_Import!$R$10:$R$509,"&lt;"&amp;$I22+Inputs!$C$18,Toggl_Import!$T$10:$T$509,P$21)</f>
        <v/>
      </c>
      <c r="Q22" s="34">
        <f>SUM(J22:P22)</f>
        <v/>
      </c>
      <c r="R22" s="32">
        <f>SUMIFS(Hours_Log!$E$5:$E$1004,Hours_Log!$A$5:$A$1004,"&gt;="&amp;$I22,Hours_Log!$A$5:$A$1004,"&lt;"&amp;$I22+Inputs!$C$18,Hours_Log!$B$5:$B$1004,Inputs!$C$24&amp;"*")+SUMIFS(Toggl_Import!$U$10:$U$509,Toggl_Import!$R$10:$R$509,"&gt;="&amp;$I22,Toggl_Import!$R$10:$R$509,"&lt;"&amp;$I22+Inputs!$C$18,Toggl_Import!$S$10:$S$509,Inputs!$C$24&amp;"*")</f>
        <v/>
      </c>
    </row>
    <row r="23">
      <c r="A23" s="91" t="n"/>
      <c r="B23" s="92" t="n"/>
      <c r="C23" s="92" t="n"/>
      <c r="D23" s="92" t="n"/>
      <c r="E23" s="93" t="n"/>
      <c r="F23" s="92" t="n"/>
      <c r="H23" t="n">
        <v>2</v>
      </c>
      <c r="I23" s="17">
        <f>I22+Inputs!$C$18</f>
        <v/>
      </c>
      <c r="J23" s="32">
        <f>SUMIFS(Hours_Log!$E$5:$E$1004,Hours_Log!$A$5:$A$1004,"&gt;="&amp;$I23,Hours_Log!$A$5:$A$1004,"&lt;"&amp;$I23+Inputs!$C$18,Hours_Log!$D$5:$D$1004,J$21)+SUMIFS(Toggl_Import!$U$10:$U$509,Toggl_Import!$R$10:$R$509,"&gt;="&amp;$I23,Toggl_Import!$R$10:$R$509,"&lt;"&amp;$I23+Inputs!$C$18,Toggl_Import!$T$10:$T$509,J$21)</f>
        <v/>
      </c>
      <c r="K23" s="32">
        <f>SUMIFS(Hours_Log!$E$5:$E$1004,Hours_Log!$A$5:$A$1004,"&gt;="&amp;$I23,Hours_Log!$A$5:$A$1004,"&lt;"&amp;$I23+Inputs!$C$18,Hours_Log!$D$5:$D$1004,K$21)+SUMIFS(Toggl_Import!$U$10:$U$509,Toggl_Import!$R$10:$R$509,"&gt;="&amp;$I23,Toggl_Import!$R$10:$R$509,"&lt;"&amp;$I23+Inputs!$C$18,Toggl_Import!$T$10:$T$509,K$21)</f>
        <v/>
      </c>
      <c r="L23" s="32">
        <f>SUMIFS(Hours_Log!$E$5:$E$1004,Hours_Log!$A$5:$A$1004,"&gt;="&amp;$I23,Hours_Log!$A$5:$A$1004,"&lt;"&amp;$I23+Inputs!$C$18,Hours_Log!$D$5:$D$1004,L$21)+SUMIFS(Toggl_Import!$U$10:$U$509,Toggl_Import!$R$10:$R$509,"&gt;="&amp;$I23,Toggl_Import!$R$10:$R$509,"&lt;"&amp;$I23+Inputs!$C$18,Toggl_Import!$T$10:$T$509,L$21)</f>
        <v/>
      </c>
      <c r="M23" s="32">
        <f>SUMIFS(Hours_Log!$E$5:$E$1004,Hours_Log!$A$5:$A$1004,"&gt;="&amp;$I23,Hours_Log!$A$5:$A$1004,"&lt;"&amp;$I23+Inputs!$C$18,Hours_Log!$D$5:$D$1004,M$21)+SUMIFS(Toggl_Import!$U$10:$U$509,Toggl_Import!$R$10:$R$509,"&gt;="&amp;$I23,Toggl_Import!$R$10:$R$509,"&lt;"&amp;$I23+Inputs!$C$18,Toggl_Import!$T$10:$T$509,M$21)</f>
        <v/>
      </c>
      <c r="N23" s="32">
        <f>SUMIFS(Hours_Log!$E$5:$E$1004,Hours_Log!$A$5:$A$1004,"&gt;="&amp;$I23,Hours_Log!$A$5:$A$1004,"&lt;"&amp;$I23+Inputs!$C$18,Hours_Log!$D$5:$D$1004,N$21)+SUMIFS(Toggl_Import!$U$10:$U$509,Toggl_Import!$R$10:$R$509,"&gt;="&amp;$I23,Toggl_Import!$R$10:$R$509,"&lt;"&amp;$I23+Inputs!$C$18,Toggl_Import!$T$10:$T$509,N$21)</f>
        <v/>
      </c>
      <c r="O23" s="32">
        <f>SUMIFS(Hours_Log!$E$5:$E$1004,Hours_Log!$A$5:$A$1004,"&gt;="&amp;$I23,Hours_Log!$A$5:$A$1004,"&lt;"&amp;$I23+Inputs!$C$18,Hours_Log!$D$5:$D$1004,O$21)+SUMIFS(Toggl_Import!$U$10:$U$509,Toggl_Import!$R$10:$R$509,"&gt;="&amp;$I23,Toggl_Import!$R$10:$R$509,"&lt;"&amp;$I23+Inputs!$C$18,Toggl_Import!$T$10:$T$509,O$21)</f>
        <v/>
      </c>
      <c r="P23" s="32">
        <f>SUMIFS(Hours_Log!$E$5:$E$1004,Hours_Log!$A$5:$A$1004,"&gt;="&amp;$I23,Hours_Log!$A$5:$A$1004,"&lt;"&amp;$I23+Inputs!$C$18,Hours_Log!$D$5:$D$1004,P$21)+SUMIFS(Toggl_Import!$U$10:$U$509,Toggl_Import!$R$10:$R$509,"&gt;="&amp;$I23,Toggl_Import!$R$10:$R$509,"&lt;"&amp;$I23+Inputs!$C$18,Toggl_Import!$T$10:$T$509,P$21)</f>
        <v/>
      </c>
      <c r="Q23" s="34">
        <f>SUM(J23:P23)</f>
        <v/>
      </c>
      <c r="R23" s="32">
        <f>SUMIFS(Hours_Log!$E$5:$E$1004,Hours_Log!$A$5:$A$1004,"&gt;="&amp;$I23,Hours_Log!$A$5:$A$1004,"&lt;"&amp;$I23+Inputs!$C$18,Hours_Log!$B$5:$B$1004,Inputs!$C$24&amp;"*")+SUMIFS(Toggl_Import!$U$10:$U$509,Toggl_Import!$R$10:$R$509,"&gt;="&amp;$I23,Toggl_Import!$R$10:$R$509,"&lt;"&amp;$I23+Inputs!$C$18,Toggl_Import!$S$10:$S$509,Inputs!$C$24&amp;"*")</f>
        <v/>
      </c>
    </row>
    <row r="24">
      <c r="A24" s="91" t="n"/>
      <c r="B24" s="92" t="n"/>
      <c r="C24" s="92" t="n"/>
      <c r="D24" s="92" t="n"/>
      <c r="E24" s="93" t="n"/>
      <c r="F24" s="92" t="n"/>
      <c r="H24" t="n">
        <v>3</v>
      </c>
      <c r="I24" s="17">
        <f>I23+Inputs!$C$18</f>
        <v/>
      </c>
      <c r="J24" s="32">
        <f>SUMIFS(Hours_Log!$E$5:$E$1004,Hours_Log!$A$5:$A$1004,"&gt;="&amp;$I24,Hours_Log!$A$5:$A$1004,"&lt;"&amp;$I24+Inputs!$C$18,Hours_Log!$D$5:$D$1004,J$21)+SUMIFS(Toggl_Import!$U$10:$U$509,Toggl_Import!$R$10:$R$509,"&gt;="&amp;$I24,Toggl_Import!$R$10:$R$509,"&lt;"&amp;$I24+Inputs!$C$18,Toggl_Import!$T$10:$T$509,J$21)</f>
        <v/>
      </c>
      <c r="K24" s="32">
        <f>SUMIFS(Hours_Log!$E$5:$E$1004,Hours_Log!$A$5:$A$1004,"&gt;="&amp;$I24,Hours_Log!$A$5:$A$1004,"&lt;"&amp;$I24+Inputs!$C$18,Hours_Log!$D$5:$D$1004,K$21)+SUMIFS(Toggl_Import!$U$10:$U$509,Toggl_Import!$R$10:$R$509,"&gt;="&amp;$I24,Toggl_Import!$R$10:$R$509,"&lt;"&amp;$I24+Inputs!$C$18,Toggl_Import!$T$10:$T$509,K$21)</f>
        <v/>
      </c>
      <c r="L24" s="32">
        <f>SUMIFS(Hours_Log!$E$5:$E$1004,Hours_Log!$A$5:$A$1004,"&gt;="&amp;$I24,Hours_Log!$A$5:$A$1004,"&lt;"&amp;$I24+Inputs!$C$18,Hours_Log!$D$5:$D$1004,L$21)+SUMIFS(Toggl_Import!$U$10:$U$509,Toggl_Import!$R$10:$R$509,"&gt;="&amp;$I24,Toggl_Import!$R$10:$R$509,"&lt;"&amp;$I24+Inputs!$C$18,Toggl_Import!$T$10:$T$509,L$21)</f>
        <v/>
      </c>
      <c r="M24" s="32">
        <f>SUMIFS(Hours_Log!$E$5:$E$1004,Hours_Log!$A$5:$A$1004,"&gt;="&amp;$I24,Hours_Log!$A$5:$A$1004,"&lt;"&amp;$I24+Inputs!$C$18,Hours_Log!$D$5:$D$1004,M$21)+SUMIFS(Toggl_Import!$U$10:$U$509,Toggl_Import!$R$10:$R$509,"&gt;="&amp;$I24,Toggl_Import!$R$10:$R$509,"&lt;"&amp;$I24+Inputs!$C$18,Toggl_Import!$T$10:$T$509,M$21)</f>
        <v/>
      </c>
      <c r="N24" s="32">
        <f>SUMIFS(Hours_Log!$E$5:$E$1004,Hours_Log!$A$5:$A$1004,"&gt;="&amp;$I24,Hours_Log!$A$5:$A$1004,"&lt;"&amp;$I24+Inputs!$C$18,Hours_Log!$D$5:$D$1004,N$21)+SUMIFS(Toggl_Import!$U$10:$U$509,Toggl_Import!$R$10:$R$509,"&gt;="&amp;$I24,Toggl_Import!$R$10:$R$509,"&lt;"&amp;$I24+Inputs!$C$18,Toggl_Import!$T$10:$T$509,N$21)</f>
        <v/>
      </c>
      <c r="O24" s="32">
        <f>SUMIFS(Hours_Log!$E$5:$E$1004,Hours_Log!$A$5:$A$1004,"&gt;="&amp;$I24,Hours_Log!$A$5:$A$1004,"&lt;"&amp;$I24+Inputs!$C$18,Hours_Log!$D$5:$D$1004,O$21)+SUMIFS(Toggl_Import!$U$10:$U$509,Toggl_Import!$R$10:$R$509,"&gt;="&amp;$I24,Toggl_Import!$R$10:$R$509,"&lt;"&amp;$I24+Inputs!$C$18,Toggl_Import!$T$10:$T$509,O$21)</f>
        <v/>
      </c>
      <c r="P24" s="32">
        <f>SUMIFS(Hours_Log!$E$5:$E$1004,Hours_Log!$A$5:$A$1004,"&gt;="&amp;$I24,Hours_Log!$A$5:$A$1004,"&lt;"&amp;$I24+Inputs!$C$18,Hours_Log!$D$5:$D$1004,P$21)+SUMIFS(Toggl_Import!$U$10:$U$509,Toggl_Import!$R$10:$R$509,"&gt;="&amp;$I24,Toggl_Import!$R$10:$R$509,"&lt;"&amp;$I24+Inputs!$C$18,Toggl_Import!$T$10:$T$509,P$21)</f>
        <v/>
      </c>
      <c r="Q24" s="34">
        <f>SUM(J24:P24)</f>
        <v/>
      </c>
      <c r="R24" s="32">
        <f>SUMIFS(Hours_Log!$E$5:$E$1004,Hours_Log!$A$5:$A$1004,"&gt;="&amp;$I24,Hours_Log!$A$5:$A$1004,"&lt;"&amp;$I24+Inputs!$C$18,Hours_Log!$B$5:$B$1004,Inputs!$C$24&amp;"*")+SUMIFS(Toggl_Import!$U$10:$U$509,Toggl_Import!$R$10:$R$509,"&gt;="&amp;$I24,Toggl_Import!$R$10:$R$509,"&lt;"&amp;$I24+Inputs!$C$18,Toggl_Import!$S$10:$S$509,Inputs!$C$24&amp;"*")</f>
        <v/>
      </c>
    </row>
    <row r="25">
      <c r="A25" s="91" t="n"/>
      <c r="B25" s="92" t="n"/>
      <c r="C25" s="92" t="n"/>
      <c r="D25" s="92" t="n"/>
      <c r="E25" s="93" t="n"/>
      <c r="F25" s="92" t="n"/>
      <c r="H25" t="n">
        <v>4</v>
      </c>
      <c r="I25" s="17">
        <f>I24+Inputs!$C$18</f>
        <v/>
      </c>
      <c r="J25" s="32">
        <f>SUMIFS(Hours_Log!$E$5:$E$1004,Hours_Log!$A$5:$A$1004,"&gt;="&amp;$I25,Hours_Log!$A$5:$A$1004,"&lt;"&amp;$I25+Inputs!$C$18,Hours_Log!$D$5:$D$1004,J$21)+SUMIFS(Toggl_Import!$U$10:$U$509,Toggl_Import!$R$10:$R$509,"&gt;="&amp;$I25,Toggl_Import!$R$10:$R$509,"&lt;"&amp;$I25+Inputs!$C$18,Toggl_Import!$T$10:$T$509,J$21)</f>
        <v/>
      </c>
      <c r="K25" s="32">
        <f>SUMIFS(Hours_Log!$E$5:$E$1004,Hours_Log!$A$5:$A$1004,"&gt;="&amp;$I25,Hours_Log!$A$5:$A$1004,"&lt;"&amp;$I25+Inputs!$C$18,Hours_Log!$D$5:$D$1004,K$21)+SUMIFS(Toggl_Import!$U$10:$U$509,Toggl_Import!$R$10:$R$509,"&gt;="&amp;$I25,Toggl_Import!$R$10:$R$509,"&lt;"&amp;$I25+Inputs!$C$18,Toggl_Import!$T$10:$T$509,K$21)</f>
        <v/>
      </c>
      <c r="L25" s="32">
        <f>SUMIFS(Hours_Log!$E$5:$E$1004,Hours_Log!$A$5:$A$1004,"&gt;="&amp;$I25,Hours_Log!$A$5:$A$1004,"&lt;"&amp;$I25+Inputs!$C$18,Hours_Log!$D$5:$D$1004,L$21)+SUMIFS(Toggl_Import!$U$10:$U$509,Toggl_Import!$R$10:$R$509,"&gt;="&amp;$I25,Toggl_Import!$R$10:$R$509,"&lt;"&amp;$I25+Inputs!$C$18,Toggl_Import!$T$10:$T$509,L$21)</f>
        <v/>
      </c>
      <c r="M25" s="32">
        <f>SUMIFS(Hours_Log!$E$5:$E$1004,Hours_Log!$A$5:$A$1004,"&gt;="&amp;$I25,Hours_Log!$A$5:$A$1004,"&lt;"&amp;$I25+Inputs!$C$18,Hours_Log!$D$5:$D$1004,M$21)+SUMIFS(Toggl_Import!$U$10:$U$509,Toggl_Import!$R$10:$R$509,"&gt;="&amp;$I25,Toggl_Import!$R$10:$R$509,"&lt;"&amp;$I25+Inputs!$C$18,Toggl_Import!$T$10:$T$509,M$21)</f>
        <v/>
      </c>
      <c r="N25" s="32">
        <f>SUMIFS(Hours_Log!$E$5:$E$1004,Hours_Log!$A$5:$A$1004,"&gt;="&amp;$I25,Hours_Log!$A$5:$A$1004,"&lt;"&amp;$I25+Inputs!$C$18,Hours_Log!$D$5:$D$1004,N$21)+SUMIFS(Toggl_Import!$U$10:$U$509,Toggl_Import!$R$10:$R$509,"&gt;="&amp;$I25,Toggl_Import!$R$10:$R$509,"&lt;"&amp;$I25+Inputs!$C$18,Toggl_Import!$T$10:$T$509,N$21)</f>
        <v/>
      </c>
      <c r="O25" s="32">
        <f>SUMIFS(Hours_Log!$E$5:$E$1004,Hours_Log!$A$5:$A$1004,"&gt;="&amp;$I25,Hours_Log!$A$5:$A$1004,"&lt;"&amp;$I25+Inputs!$C$18,Hours_Log!$D$5:$D$1004,O$21)+SUMIFS(Toggl_Import!$U$10:$U$509,Toggl_Import!$R$10:$R$509,"&gt;="&amp;$I25,Toggl_Import!$R$10:$R$509,"&lt;"&amp;$I25+Inputs!$C$18,Toggl_Import!$T$10:$T$509,O$21)</f>
        <v/>
      </c>
      <c r="P25" s="32">
        <f>SUMIFS(Hours_Log!$E$5:$E$1004,Hours_Log!$A$5:$A$1004,"&gt;="&amp;$I25,Hours_Log!$A$5:$A$1004,"&lt;"&amp;$I25+Inputs!$C$18,Hours_Log!$D$5:$D$1004,P$21)+SUMIFS(Toggl_Import!$U$10:$U$509,Toggl_Import!$R$10:$R$509,"&gt;="&amp;$I25,Toggl_Import!$R$10:$R$509,"&lt;"&amp;$I25+Inputs!$C$18,Toggl_Import!$T$10:$T$509,P$21)</f>
        <v/>
      </c>
      <c r="Q25" s="34">
        <f>SUM(J25:P25)</f>
        <v/>
      </c>
      <c r="R25" s="32">
        <f>SUMIFS(Hours_Log!$E$5:$E$1004,Hours_Log!$A$5:$A$1004,"&gt;="&amp;$I25,Hours_Log!$A$5:$A$1004,"&lt;"&amp;$I25+Inputs!$C$18,Hours_Log!$B$5:$B$1004,Inputs!$C$24&amp;"*")+SUMIFS(Toggl_Import!$U$10:$U$509,Toggl_Import!$R$10:$R$509,"&gt;="&amp;$I25,Toggl_Import!$R$10:$R$509,"&lt;"&amp;$I25+Inputs!$C$18,Toggl_Import!$S$10:$S$509,Inputs!$C$24&amp;"*")</f>
        <v/>
      </c>
    </row>
    <row r="26">
      <c r="A26" s="91" t="n"/>
      <c r="B26" s="92" t="n"/>
      <c r="C26" s="92" t="n"/>
      <c r="D26" s="92" t="n"/>
      <c r="E26" s="93" t="n"/>
      <c r="F26" s="92" t="n"/>
      <c r="H26" t="n">
        <v>5</v>
      </c>
      <c r="I26" s="17">
        <f>I25+Inputs!$C$18</f>
        <v/>
      </c>
      <c r="J26" s="32">
        <f>SUMIFS(Hours_Log!$E$5:$E$1004,Hours_Log!$A$5:$A$1004,"&gt;="&amp;$I26,Hours_Log!$A$5:$A$1004,"&lt;"&amp;$I26+Inputs!$C$18,Hours_Log!$D$5:$D$1004,J$21)+SUMIFS(Toggl_Import!$U$10:$U$509,Toggl_Import!$R$10:$R$509,"&gt;="&amp;$I26,Toggl_Import!$R$10:$R$509,"&lt;"&amp;$I26+Inputs!$C$18,Toggl_Import!$T$10:$T$509,J$21)</f>
        <v/>
      </c>
      <c r="K26" s="32">
        <f>SUMIFS(Hours_Log!$E$5:$E$1004,Hours_Log!$A$5:$A$1004,"&gt;="&amp;$I26,Hours_Log!$A$5:$A$1004,"&lt;"&amp;$I26+Inputs!$C$18,Hours_Log!$D$5:$D$1004,K$21)+SUMIFS(Toggl_Import!$U$10:$U$509,Toggl_Import!$R$10:$R$509,"&gt;="&amp;$I26,Toggl_Import!$R$10:$R$509,"&lt;"&amp;$I26+Inputs!$C$18,Toggl_Import!$T$10:$T$509,K$21)</f>
        <v/>
      </c>
      <c r="L26" s="32">
        <f>SUMIFS(Hours_Log!$E$5:$E$1004,Hours_Log!$A$5:$A$1004,"&gt;="&amp;$I26,Hours_Log!$A$5:$A$1004,"&lt;"&amp;$I26+Inputs!$C$18,Hours_Log!$D$5:$D$1004,L$21)+SUMIFS(Toggl_Import!$U$10:$U$509,Toggl_Import!$R$10:$R$509,"&gt;="&amp;$I26,Toggl_Import!$R$10:$R$509,"&lt;"&amp;$I26+Inputs!$C$18,Toggl_Import!$T$10:$T$509,L$21)</f>
        <v/>
      </c>
      <c r="M26" s="32">
        <f>SUMIFS(Hours_Log!$E$5:$E$1004,Hours_Log!$A$5:$A$1004,"&gt;="&amp;$I26,Hours_Log!$A$5:$A$1004,"&lt;"&amp;$I26+Inputs!$C$18,Hours_Log!$D$5:$D$1004,M$21)+SUMIFS(Toggl_Import!$U$10:$U$509,Toggl_Import!$R$10:$R$509,"&gt;="&amp;$I26,Toggl_Import!$R$10:$R$509,"&lt;"&amp;$I26+Inputs!$C$18,Toggl_Import!$T$10:$T$509,M$21)</f>
        <v/>
      </c>
      <c r="N26" s="32">
        <f>SUMIFS(Hours_Log!$E$5:$E$1004,Hours_Log!$A$5:$A$1004,"&gt;="&amp;$I26,Hours_Log!$A$5:$A$1004,"&lt;"&amp;$I26+Inputs!$C$18,Hours_Log!$D$5:$D$1004,N$21)+SUMIFS(Toggl_Import!$U$10:$U$509,Toggl_Import!$R$10:$R$509,"&gt;="&amp;$I26,Toggl_Import!$R$10:$R$509,"&lt;"&amp;$I26+Inputs!$C$18,Toggl_Import!$T$10:$T$509,N$21)</f>
        <v/>
      </c>
      <c r="O26" s="32">
        <f>SUMIFS(Hours_Log!$E$5:$E$1004,Hours_Log!$A$5:$A$1004,"&gt;="&amp;$I26,Hours_Log!$A$5:$A$1004,"&lt;"&amp;$I26+Inputs!$C$18,Hours_Log!$D$5:$D$1004,O$21)+SUMIFS(Toggl_Import!$U$10:$U$509,Toggl_Import!$R$10:$R$509,"&gt;="&amp;$I26,Toggl_Import!$R$10:$R$509,"&lt;"&amp;$I26+Inputs!$C$18,Toggl_Import!$T$10:$T$509,O$21)</f>
        <v/>
      </c>
      <c r="P26" s="32">
        <f>SUMIFS(Hours_Log!$E$5:$E$1004,Hours_Log!$A$5:$A$1004,"&gt;="&amp;$I26,Hours_Log!$A$5:$A$1004,"&lt;"&amp;$I26+Inputs!$C$18,Hours_Log!$D$5:$D$1004,P$21)+SUMIFS(Toggl_Import!$U$10:$U$509,Toggl_Import!$R$10:$R$509,"&gt;="&amp;$I26,Toggl_Import!$R$10:$R$509,"&lt;"&amp;$I26+Inputs!$C$18,Toggl_Import!$T$10:$T$509,P$21)</f>
        <v/>
      </c>
      <c r="Q26" s="34">
        <f>SUM(J26:P26)</f>
        <v/>
      </c>
      <c r="R26" s="32">
        <f>SUMIFS(Hours_Log!$E$5:$E$1004,Hours_Log!$A$5:$A$1004,"&gt;="&amp;$I26,Hours_Log!$A$5:$A$1004,"&lt;"&amp;$I26+Inputs!$C$18,Hours_Log!$B$5:$B$1004,Inputs!$C$24&amp;"*")+SUMIFS(Toggl_Import!$U$10:$U$509,Toggl_Import!$R$10:$R$509,"&gt;="&amp;$I26,Toggl_Import!$R$10:$R$509,"&lt;"&amp;$I26+Inputs!$C$18,Toggl_Import!$S$10:$S$509,Inputs!$C$24&amp;"*")</f>
        <v/>
      </c>
    </row>
    <row r="27">
      <c r="A27" s="91" t="n"/>
      <c r="B27" s="92" t="n"/>
      <c r="C27" s="92" t="n"/>
      <c r="D27" s="92" t="n"/>
      <c r="E27" s="93" t="n"/>
      <c r="F27" s="92" t="n"/>
      <c r="H27" t="n">
        <v>6</v>
      </c>
      <c r="I27" s="17">
        <f>I26+Inputs!$C$18</f>
        <v/>
      </c>
      <c r="J27" s="32">
        <f>SUMIFS(Hours_Log!$E$5:$E$1004,Hours_Log!$A$5:$A$1004,"&gt;="&amp;$I27,Hours_Log!$A$5:$A$1004,"&lt;"&amp;$I27+Inputs!$C$18,Hours_Log!$D$5:$D$1004,J$21)+SUMIFS(Toggl_Import!$U$10:$U$509,Toggl_Import!$R$10:$R$509,"&gt;="&amp;$I27,Toggl_Import!$R$10:$R$509,"&lt;"&amp;$I27+Inputs!$C$18,Toggl_Import!$T$10:$T$509,J$21)</f>
        <v/>
      </c>
      <c r="K27" s="32">
        <f>SUMIFS(Hours_Log!$E$5:$E$1004,Hours_Log!$A$5:$A$1004,"&gt;="&amp;$I27,Hours_Log!$A$5:$A$1004,"&lt;"&amp;$I27+Inputs!$C$18,Hours_Log!$D$5:$D$1004,K$21)+SUMIFS(Toggl_Import!$U$10:$U$509,Toggl_Import!$R$10:$R$509,"&gt;="&amp;$I27,Toggl_Import!$R$10:$R$509,"&lt;"&amp;$I27+Inputs!$C$18,Toggl_Import!$T$10:$T$509,K$21)</f>
        <v/>
      </c>
      <c r="L27" s="32">
        <f>SUMIFS(Hours_Log!$E$5:$E$1004,Hours_Log!$A$5:$A$1004,"&gt;="&amp;$I27,Hours_Log!$A$5:$A$1004,"&lt;"&amp;$I27+Inputs!$C$18,Hours_Log!$D$5:$D$1004,L$21)+SUMIFS(Toggl_Import!$U$10:$U$509,Toggl_Import!$R$10:$R$509,"&gt;="&amp;$I27,Toggl_Import!$R$10:$R$509,"&lt;"&amp;$I27+Inputs!$C$18,Toggl_Import!$T$10:$T$509,L$21)</f>
        <v/>
      </c>
      <c r="M27" s="32">
        <f>SUMIFS(Hours_Log!$E$5:$E$1004,Hours_Log!$A$5:$A$1004,"&gt;="&amp;$I27,Hours_Log!$A$5:$A$1004,"&lt;"&amp;$I27+Inputs!$C$18,Hours_Log!$D$5:$D$1004,M$21)+SUMIFS(Toggl_Import!$U$10:$U$509,Toggl_Import!$R$10:$R$509,"&gt;="&amp;$I27,Toggl_Import!$R$10:$R$509,"&lt;"&amp;$I27+Inputs!$C$18,Toggl_Import!$T$10:$T$509,M$21)</f>
        <v/>
      </c>
      <c r="N27" s="32">
        <f>SUMIFS(Hours_Log!$E$5:$E$1004,Hours_Log!$A$5:$A$1004,"&gt;="&amp;$I27,Hours_Log!$A$5:$A$1004,"&lt;"&amp;$I27+Inputs!$C$18,Hours_Log!$D$5:$D$1004,N$21)+SUMIFS(Toggl_Import!$U$10:$U$509,Toggl_Import!$R$10:$R$509,"&gt;="&amp;$I27,Toggl_Import!$R$10:$R$509,"&lt;"&amp;$I27+Inputs!$C$18,Toggl_Import!$T$10:$T$509,N$21)</f>
        <v/>
      </c>
      <c r="O27" s="32">
        <f>SUMIFS(Hours_Log!$E$5:$E$1004,Hours_Log!$A$5:$A$1004,"&gt;="&amp;$I27,Hours_Log!$A$5:$A$1004,"&lt;"&amp;$I27+Inputs!$C$18,Hours_Log!$D$5:$D$1004,O$21)+SUMIFS(Toggl_Import!$U$10:$U$509,Toggl_Import!$R$10:$R$509,"&gt;="&amp;$I27,Toggl_Import!$R$10:$R$509,"&lt;"&amp;$I27+Inputs!$C$18,Toggl_Import!$T$10:$T$509,O$21)</f>
        <v/>
      </c>
      <c r="P27" s="32">
        <f>SUMIFS(Hours_Log!$E$5:$E$1004,Hours_Log!$A$5:$A$1004,"&gt;="&amp;$I27,Hours_Log!$A$5:$A$1004,"&lt;"&amp;$I27+Inputs!$C$18,Hours_Log!$D$5:$D$1004,P$21)+SUMIFS(Toggl_Import!$U$10:$U$509,Toggl_Import!$R$10:$R$509,"&gt;="&amp;$I27,Toggl_Import!$R$10:$R$509,"&lt;"&amp;$I27+Inputs!$C$18,Toggl_Import!$T$10:$T$509,P$21)</f>
        <v/>
      </c>
      <c r="Q27" s="34">
        <f>SUM(J27:P27)</f>
        <v/>
      </c>
      <c r="R27" s="32">
        <f>SUMIFS(Hours_Log!$E$5:$E$1004,Hours_Log!$A$5:$A$1004,"&gt;="&amp;$I27,Hours_Log!$A$5:$A$1004,"&lt;"&amp;$I27+Inputs!$C$18,Hours_Log!$B$5:$B$1004,Inputs!$C$24&amp;"*")+SUMIFS(Toggl_Import!$U$10:$U$509,Toggl_Import!$R$10:$R$509,"&gt;="&amp;$I27,Toggl_Import!$R$10:$R$509,"&lt;"&amp;$I27+Inputs!$C$18,Toggl_Import!$S$10:$S$509,Inputs!$C$24&amp;"*")</f>
        <v/>
      </c>
    </row>
    <row r="28">
      <c r="A28" s="91" t="n"/>
      <c r="B28" s="92" t="n"/>
      <c r="C28" s="92" t="n"/>
      <c r="D28" s="92" t="n"/>
      <c r="E28" s="93" t="n"/>
      <c r="F28" s="92" t="n"/>
      <c r="H28" t="n">
        <v>7</v>
      </c>
      <c r="I28" s="17">
        <f>I27+Inputs!$C$18</f>
        <v/>
      </c>
      <c r="J28" s="32">
        <f>SUMIFS(Hours_Log!$E$5:$E$1004,Hours_Log!$A$5:$A$1004,"&gt;="&amp;$I28,Hours_Log!$A$5:$A$1004,"&lt;"&amp;$I28+Inputs!$C$18,Hours_Log!$D$5:$D$1004,J$21)+SUMIFS(Toggl_Import!$U$10:$U$509,Toggl_Import!$R$10:$R$509,"&gt;="&amp;$I28,Toggl_Import!$R$10:$R$509,"&lt;"&amp;$I28+Inputs!$C$18,Toggl_Import!$T$10:$T$509,J$21)</f>
        <v/>
      </c>
      <c r="K28" s="32">
        <f>SUMIFS(Hours_Log!$E$5:$E$1004,Hours_Log!$A$5:$A$1004,"&gt;="&amp;$I28,Hours_Log!$A$5:$A$1004,"&lt;"&amp;$I28+Inputs!$C$18,Hours_Log!$D$5:$D$1004,K$21)+SUMIFS(Toggl_Import!$U$10:$U$509,Toggl_Import!$R$10:$R$509,"&gt;="&amp;$I28,Toggl_Import!$R$10:$R$509,"&lt;"&amp;$I28+Inputs!$C$18,Toggl_Import!$T$10:$T$509,K$21)</f>
        <v/>
      </c>
      <c r="L28" s="32">
        <f>SUMIFS(Hours_Log!$E$5:$E$1004,Hours_Log!$A$5:$A$1004,"&gt;="&amp;$I28,Hours_Log!$A$5:$A$1004,"&lt;"&amp;$I28+Inputs!$C$18,Hours_Log!$D$5:$D$1004,L$21)+SUMIFS(Toggl_Import!$U$10:$U$509,Toggl_Import!$R$10:$R$509,"&gt;="&amp;$I28,Toggl_Import!$R$10:$R$509,"&lt;"&amp;$I28+Inputs!$C$18,Toggl_Import!$T$10:$T$509,L$21)</f>
        <v/>
      </c>
      <c r="M28" s="32">
        <f>SUMIFS(Hours_Log!$E$5:$E$1004,Hours_Log!$A$5:$A$1004,"&gt;="&amp;$I28,Hours_Log!$A$5:$A$1004,"&lt;"&amp;$I28+Inputs!$C$18,Hours_Log!$D$5:$D$1004,M$21)+SUMIFS(Toggl_Import!$U$10:$U$509,Toggl_Import!$R$10:$R$509,"&gt;="&amp;$I28,Toggl_Import!$R$10:$R$509,"&lt;"&amp;$I28+Inputs!$C$18,Toggl_Import!$T$10:$T$509,M$21)</f>
        <v/>
      </c>
      <c r="N28" s="32">
        <f>SUMIFS(Hours_Log!$E$5:$E$1004,Hours_Log!$A$5:$A$1004,"&gt;="&amp;$I28,Hours_Log!$A$5:$A$1004,"&lt;"&amp;$I28+Inputs!$C$18,Hours_Log!$D$5:$D$1004,N$21)+SUMIFS(Toggl_Import!$U$10:$U$509,Toggl_Import!$R$10:$R$509,"&gt;="&amp;$I28,Toggl_Import!$R$10:$R$509,"&lt;"&amp;$I28+Inputs!$C$18,Toggl_Import!$T$10:$T$509,N$21)</f>
        <v/>
      </c>
      <c r="O28" s="32">
        <f>SUMIFS(Hours_Log!$E$5:$E$1004,Hours_Log!$A$5:$A$1004,"&gt;="&amp;$I28,Hours_Log!$A$5:$A$1004,"&lt;"&amp;$I28+Inputs!$C$18,Hours_Log!$D$5:$D$1004,O$21)+SUMIFS(Toggl_Import!$U$10:$U$509,Toggl_Import!$R$10:$R$509,"&gt;="&amp;$I28,Toggl_Import!$R$10:$R$509,"&lt;"&amp;$I28+Inputs!$C$18,Toggl_Import!$T$10:$T$509,O$21)</f>
        <v/>
      </c>
      <c r="P28" s="32">
        <f>SUMIFS(Hours_Log!$E$5:$E$1004,Hours_Log!$A$5:$A$1004,"&gt;="&amp;$I28,Hours_Log!$A$5:$A$1004,"&lt;"&amp;$I28+Inputs!$C$18,Hours_Log!$D$5:$D$1004,P$21)+SUMIFS(Toggl_Import!$U$10:$U$509,Toggl_Import!$R$10:$R$509,"&gt;="&amp;$I28,Toggl_Import!$R$10:$R$509,"&lt;"&amp;$I28+Inputs!$C$18,Toggl_Import!$T$10:$T$509,P$21)</f>
        <v/>
      </c>
      <c r="Q28" s="34">
        <f>SUM(J28:P28)</f>
        <v/>
      </c>
      <c r="R28" s="32">
        <f>SUMIFS(Hours_Log!$E$5:$E$1004,Hours_Log!$A$5:$A$1004,"&gt;="&amp;$I28,Hours_Log!$A$5:$A$1004,"&lt;"&amp;$I28+Inputs!$C$18,Hours_Log!$B$5:$B$1004,Inputs!$C$24&amp;"*")+SUMIFS(Toggl_Import!$U$10:$U$509,Toggl_Import!$R$10:$R$509,"&gt;="&amp;$I28,Toggl_Import!$R$10:$R$509,"&lt;"&amp;$I28+Inputs!$C$18,Toggl_Import!$S$10:$S$509,Inputs!$C$24&amp;"*")</f>
        <v/>
      </c>
    </row>
    <row r="29">
      <c r="A29" s="91" t="n"/>
      <c r="B29" s="92" t="n"/>
      <c r="C29" s="92" t="n"/>
      <c r="D29" s="92" t="n"/>
      <c r="E29" s="93" t="n"/>
      <c r="F29" s="92" t="n"/>
      <c r="H29" t="n">
        <v>8</v>
      </c>
      <c r="I29" s="17">
        <f>I28+Inputs!$C$18</f>
        <v/>
      </c>
      <c r="J29" s="32">
        <f>SUMIFS(Hours_Log!$E$5:$E$1004,Hours_Log!$A$5:$A$1004,"&gt;="&amp;$I29,Hours_Log!$A$5:$A$1004,"&lt;"&amp;$I29+Inputs!$C$18,Hours_Log!$D$5:$D$1004,J$21)+SUMIFS(Toggl_Import!$U$10:$U$509,Toggl_Import!$R$10:$R$509,"&gt;="&amp;$I29,Toggl_Import!$R$10:$R$509,"&lt;"&amp;$I29+Inputs!$C$18,Toggl_Import!$T$10:$T$509,J$21)</f>
        <v/>
      </c>
      <c r="K29" s="32">
        <f>SUMIFS(Hours_Log!$E$5:$E$1004,Hours_Log!$A$5:$A$1004,"&gt;="&amp;$I29,Hours_Log!$A$5:$A$1004,"&lt;"&amp;$I29+Inputs!$C$18,Hours_Log!$D$5:$D$1004,K$21)+SUMIFS(Toggl_Import!$U$10:$U$509,Toggl_Import!$R$10:$R$509,"&gt;="&amp;$I29,Toggl_Import!$R$10:$R$509,"&lt;"&amp;$I29+Inputs!$C$18,Toggl_Import!$T$10:$T$509,K$21)</f>
        <v/>
      </c>
      <c r="L29" s="32">
        <f>SUMIFS(Hours_Log!$E$5:$E$1004,Hours_Log!$A$5:$A$1004,"&gt;="&amp;$I29,Hours_Log!$A$5:$A$1004,"&lt;"&amp;$I29+Inputs!$C$18,Hours_Log!$D$5:$D$1004,L$21)+SUMIFS(Toggl_Import!$U$10:$U$509,Toggl_Import!$R$10:$R$509,"&gt;="&amp;$I29,Toggl_Import!$R$10:$R$509,"&lt;"&amp;$I29+Inputs!$C$18,Toggl_Import!$T$10:$T$509,L$21)</f>
        <v/>
      </c>
      <c r="M29" s="32">
        <f>SUMIFS(Hours_Log!$E$5:$E$1004,Hours_Log!$A$5:$A$1004,"&gt;="&amp;$I29,Hours_Log!$A$5:$A$1004,"&lt;"&amp;$I29+Inputs!$C$18,Hours_Log!$D$5:$D$1004,M$21)+SUMIFS(Toggl_Import!$U$10:$U$509,Toggl_Import!$R$10:$R$509,"&gt;="&amp;$I29,Toggl_Import!$R$10:$R$509,"&lt;"&amp;$I29+Inputs!$C$18,Toggl_Import!$T$10:$T$509,M$21)</f>
        <v/>
      </c>
      <c r="N29" s="32">
        <f>SUMIFS(Hours_Log!$E$5:$E$1004,Hours_Log!$A$5:$A$1004,"&gt;="&amp;$I29,Hours_Log!$A$5:$A$1004,"&lt;"&amp;$I29+Inputs!$C$18,Hours_Log!$D$5:$D$1004,N$21)+SUMIFS(Toggl_Import!$U$10:$U$509,Toggl_Import!$R$10:$R$509,"&gt;="&amp;$I29,Toggl_Import!$R$10:$R$509,"&lt;"&amp;$I29+Inputs!$C$18,Toggl_Import!$T$10:$T$509,N$21)</f>
        <v/>
      </c>
      <c r="O29" s="32">
        <f>SUMIFS(Hours_Log!$E$5:$E$1004,Hours_Log!$A$5:$A$1004,"&gt;="&amp;$I29,Hours_Log!$A$5:$A$1004,"&lt;"&amp;$I29+Inputs!$C$18,Hours_Log!$D$5:$D$1004,O$21)+SUMIFS(Toggl_Import!$U$10:$U$509,Toggl_Import!$R$10:$R$509,"&gt;="&amp;$I29,Toggl_Import!$R$10:$R$509,"&lt;"&amp;$I29+Inputs!$C$18,Toggl_Import!$T$10:$T$509,O$21)</f>
        <v/>
      </c>
      <c r="P29" s="32">
        <f>SUMIFS(Hours_Log!$E$5:$E$1004,Hours_Log!$A$5:$A$1004,"&gt;="&amp;$I29,Hours_Log!$A$5:$A$1004,"&lt;"&amp;$I29+Inputs!$C$18,Hours_Log!$D$5:$D$1004,P$21)+SUMIFS(Toggl_Import!$U$10:$U$509,Toggl_Import!$R$10:$R$509,"&gt;="&amp;$I29,Toggl_Import!$R$10:$R$509,"&lt;"&amp;$I29+Inputs!$C$18,Toggl_Import!$T$10:$T$509,P$21)</f>
        <v/>
      </c>
      <c r="Q29" s="34">
        <f>SUM(J29:P29)</f>
        <v/>
      </c>
      <c r="R29" s="32">
        <f>SUMIFS(Hours_Log!$E$5:$E$1004,Hours_Log!$A$5:$A$1004,"&gt;="&amp;$I29,Hours_Log!$A$5:$A$1004,"&lt;"&amp;$I29+Inputs!$C$18,Hours_Log!$B$5:$B$1004,Inputs!$C$24&amp;"*")+SUMIFS(Toggl_Import!$U$10:$U$509,Toggl_Import!$R$10:$R$509,"&gt;="&amp;$I29,Toggl_Import!$R$10:$R$509,"&lt;"&amp;$I29+Inputs!$C$18,Toggl_Import!$S$10:$S$509,Inputs!$C$24&amp;"*")</f>
        <v/>
      </c>
    </row>
    <row r="30">
      <c r="A30" s="91" t="n"/>
      <c r="B30" s="92" t="n"/>
      <c r="C30" s="92" t="n"/>
      <c r="D30" s="92" t="n"/>
      <c r="E30" s="93" t="n"/>
      <c r="F30" s="92" t="n"/>
      <c r="H30" t="n">
        <v>9</v>
      </c>
      <c r="I30" s="17">
        <f>I29+Inputs!$C$18</f>
        <v/>
      </c>
      <c r="J30" s="32">
        <f>SUMIFS(Hours_Log!$E$5:$E$1004,Hours_Log!$A$5:$A$1004,"&gt;="&amp;$I30,Hours_Log!$A$5:$A$1004,"&lt;"&amp;$I30+Inputs!$C$18,Hours_Log!$D$5:$D$1004,J$21)+SUMIFS(Toggl_Import!$U$10:$U$509,Toggl_Import!$R$10:$R$509,"&gt;="&amp;$I30,Toggl_Import!$R$10:$R$509,"&lt;"&amp;$I30+Inputs!$C$18,Toggl_Import!$T$10:$T$509,J$21)</f>
        <v/>
      </c>
      <c r="K30" s="32">
        <f>SUMIFS(Hours_Log!$E$5:$E$1004,Hours_Log!$A$5:$A$1004,"&gt;="&amp;$I30,Hours_Log!$A$5:$A$1004,"&lt;"&amp;$I30+Inputs!$C$18,Hours_Log!$D$5:$D$1004,K$21)+SUMIFS(Toggl_Import!$U$10:$U$509,Toggl_Import!$R$10:$R$509,"&gt;="&amp;$I30,Toggl_Import!$R$10:$R$509,"&lt;"&amp;$I30+Inputs!$C$18,Toggl_Import!$T$10:$T$509,K$21)</f>
        <v/>
      </c>
      <c r="L30" s="32">
        <f>SUMIFS(Hours_Log!$E$5:$E$1004,Hours_Log!$A$5:$A$1004,"&gt;="&amp;$I30,Hours_Log!$A$5:$A$1004,"&lt;"&amp;$I30+Inputs!$C$18,Hours_Log!$D$5:$D$1004,L$21)+SUMIFS(Toggl_Import!$U$10:$U$509,Toggl_Import!$R$10:$R$509,"&gt;="&amp;$I30,Toggl_Import!$R$10:$R$509,"&lt;"&amp;$I30+Inputs!$C$18,Toggl_Import!$T$10:$T$509,L$21)</f>
        <v/>
      </c>
      <c r="M30" s="32">
        <f>SUMIFS(Hours_Log!$E$5:$E$1004,Hours_Log!$A$5:$A$1004,"&gt;="&amp;$I30,Hours_Log!$A$5:$A$1004,"&lt;"&amp;$I30+Inputs!$C$18,Hours_Log!$D$5:$D$1004,M$21)+SUMIFS(Toggl_Import!$U$10:$U$509,Toggl_Import!$R$10:$R$509,"&gt;="&amp;$I30,Toggl_Import!$R$10:$R$509,"&lt;"&amp;$I30+Inputs!$C$18,Toggl_Import!$T$10:$T$509,M$21)</f>
        <v/>
      </c>
      <c r="N30" s="32">
        <f>SUMIFS(Hours_Log!$E$5:$E$1004,Hours_Log!$A$5:$A$1004,"&gt;="&amp;$I30,Hours_Log!$A$5:$A$1004,"&lt;"&amp;$I30+Inputs!$C$18,Hours_Log!$D$5:$D$1004,N$21)+SUMIFS(Toggl_Import!$U$10:$U$509,Toggl_Import!$R$10:$R$509,"&gt;="&amp;$I30,Toggl_Import!$R$10:$R$509,"&lt;"&amp;$I30+Inputs!$C$18,Toggl_Import!$T$10:$T$509,N$21)</f>
        <v/>
      </c>
      <c r="O30" s="32">
        <f>SUMIFS(Hours_Log!$E$5:$E$1004,Hours_Log!$A$5:$A$1004,"&gt;="&amp;$I30,Hours_Log!$A$5:$A$1004,"&lt;"&amp;$I30+Inputs!$C$18,Hours_Log!$D$5:$D$1004,O$21)+SUMIFS(Toggl_Import!$U$10:$U$509,Toggl_Import!$R$10:$R$509,"&gt;="&amp;$I30,Toggl_Import!$R$10:$R$509,"&lt;"&amp;$I30+Inputs!$C$18,Toggl_Import!$T$10:$T$509,O$21)</f>
        <v/>
      </c>
      <c r="P30" s="32">
        <f>SUMIFS(Hours_Log!$E$5:$E$1004,Hours_Log!$A$5:$A$1004,"&gt;="&amp;$I30,Hours_Log!$A$5:$A$1004,"&lt;"&amp;$I30+Inputs!$C$18,Hours_Log!$D$5:$D$1004,P$21)+SUMIFS(Toggl_Import!$U$10:$U$509,Toggl_Import!$R$10:$R$509,"&gt;="&amp;$I30,Toggl_Import!$R$10:$R$509,"&lt;"&amp;$I30+Inputs!$C$18,Toggl_Import!$T$10:$T$509,P$21)</f>
        <v/>
      </c>
      <c r="Q30" s="34">
        <f>SUM(J30:P30)</f>
        <v/>
      </c>
      <c r="R30" s="32">
        <f>SUMIFS(Hours_Log!$E$5:$E$1004,Hours_Log!$A$5:$A$1004,"&gt;="&amp;$I30,Hours_Log!$A$5:$A$1004,"&lt;"&amp;$I30+Inputs!$C$18,Hours_Log!$B$5:$B$1004,Inputs!$C$24&amp;"*")+SUMIFS(Toggl_Import!$U$10:$U$509,Toggl_Import!$R$10:$R$509,"&gt;="&amp;$I30,Toggl_Import!$R$10:$R$509,"&lt;"&amp;$I30+Inputs!$C$18,Toggl_Import!$S$10:$S$509,Inputs!$C$24&amp;"*")</f>
        <v/>
      </c>
    </row>
    <row r="31">
      <c r="A31" s="91" t="n"/>
      <c r="B31" s="92" t="n"/>
      <c r="C31" s="92" t="n"/>
      <c r="D31" s="92" t="n"/>
      <c r="E31" s="93" t="n"/>
      <c r="F31" s="92" t="n"/>
      <c r="H31" t="n">
        <v>10</v>
      </c>
      <c r="I31" s="17">
        <f>I30+Inputs!$C$18</f>
        <v/>
      </c>
      <c r="J31" s="32">
        <f>SUMIFS(Hours_Log!$E$5:$E$1004,Hours_Log!$A$5:$A$1004,"&gt;="&amp;$I31,Hours_Log!$A$5:$A$1004,"&lt;"&amp;$I31+Inputs!$C$18,Hours_Log!$D$5:$D$1004,J$21)+SUMIFS(Toggl_Import!$U$10:$U$509,Toggl_Import!$R$10:$R$509,"&gt;="&amp;$I31,Toggl_Import!$R$10:$R$509,"&lt;"&amp;$I31+Inputs!$C$18,Toggl_Import!$T$10:$T$509,J$21)</f>
        <v/>
      </c>
      <c r="K31" s="32">
        <f>SUMIFS(Hours_Log!$E$5:$E$1004,Hours_Log!$A$5:$A$1004,"&gt;="&amp;$I31,Hours_Log!$A$5:$A$1004,"&lt;"&amp;$I31+Inputs!$C$18,Hours_Log!$D$5:$D$1004,K$21)+SUMIFS(Toggl_Import!$U$10:$U$509,Toggl_Import!$R$10:$R$509,"&gt;="&amp;$I31,Toggl_Import!$R$10:$R$509,"&lt;"&amp;$I31+Inputs!$C$18,Toggl_Import!$T$10:$T$509,K$21)</f>
        <v/>
      </c>
      <c r="L31" s="32">
        <f>SUMIFS(Hours_Log!$E$5:$E$1004,Hours_Log!$A$5:$A$1004,"&gt;="&amp;$I31,Hours_Log!$A$5:$A$1004,"&lt;"&amp;$I31+Inputs!$C$18,Hours_Log!$D$5:$D$1004,L$21)+SUMIFS(Toggl_Import!$U$10:$U$509,Toggl_Import!$R$10:$R$509,"&gt;="&amp;$I31,Toggl_Import!$R$10:$R$509,"&lt;"&amp;$I31+Inputs!$C$18,Toggl_Import!$T$10:$T$509,L$21)</f>
        <v/>
      </c>
      <c r="M31" s="32">
        <f>SUMIFS(Hours_Log!$E$5:$E$1004,Hours_Log!$A$5:$A$1004,"&gt;="&amp;$I31,Hours_Log!$A$5:$A$1004,"&lt;"&amp;$I31+Inputs!$C$18,Hours_Log!$D$5:$D$1004,M$21)+SUMIFS(Toggl_Import!$U$10:$U$509,Toggl_Import!$R$10:$R$509,"&gt;="&amp;$I31,Toggl_Import!$R$10:$R$509,"&lt;"&amp;$I31+Inputs!$C$18,Toggl_Import!$T$10:$T$509,M$21)</f>
        <v/>
      </c>
      <c r="N31" s="32">
        <f>SUMIFS(Hours_Log!$E$5:$E$1004,Hours_Log!$A$5:$A$1004,"&gt;="&amp;$I31,Hours_Log!$A$5:$A$1004,"&lt;"&amp;$I31+Inputs!$C$18,Hours_Log!$D$5:$D$1004,N$21)+SUMIFS(Toggl_Import!$U$10:$U$509,Toggl_Import!$R$10:$R$509,"&gt;="&amp;$I31,Toggl_Import!$R$10:$R$509,"&lt;"&amp;$I31+Inputs!$C$18,Toggl_Import!$T$10:$T$509,N$21)</f>
        <v/>
      </c>
      <c r="O31" s="32">
        <f>SUMIFS(Hours_Log!$E$5:$E$1004,Hours_Log!$A$5:$A$1004,"&gt;="&amp;$I31,Hours_Log!$A$5:$A$1004,"&lt;"&amp;$I31+Inputs!$C$18,Hours_Log!$D$5:$D$1004,O$21)+SUMIFS(Toggl_Import!$U$10:$U$509,Toggl_Import!$R$10:$R$509,"&gt;="&amp;$I31,Toggl_Import!$R$10:$R$509,"&lt;"&amp;$I31+Inputs!$C$18,Toggl_Import!$T$10:$T$509,O$21)</f>
        <v/>
      </c>
      <c r="P31" s="32">
        <f>SUMIFS(Hours_Log!$E$5:$E$1004,Hours_Log!$A$5:$A$1004,"&gt;="&amp;$I31,Hours_Log!$A$5:$A$1004,"&lt;"&amp;$I31+Inputs!$C$18,Hours_Log!$D$5:$D$1004,P$21)+SUMIFS(Toggl_Import!$U$10:$U$509,Toggl_Import!$R$10:$R$509,"&gt;="&amp;$I31,Toggl_Import!$R$10:$R$509,"&lt;"&amp;$I31+Inputs!$C$18,Toggl_Import!$T$10:$T$509,P$21)</f>
        <v/>
      </c>
      <c r="Q31" s="34">
        <f>SUM(J31:P31)</f>
        <v/>
      </c>
      <c r="R31" s="32">
        <f>SUMIFS(Hours_Log!$E$5:$E$1004,Hours_Log!$A$5:$A$1004,"&gt;="&amp;$I31,Hours_Log!$A$5:$A$1004,"&lt;"&amp;$I31+Inputs!$C$18,Hours_Log!$B$5:$B$1004,Inputs!$C$24&amp;"*")+SUMIFS(Toggl_Import!$U$10:$U$509,Toggl_Import!$R$10:$R$509,"&gt;="&amp;$I31,Toggl_Import!$R$10:$R$509,"&lt;"&amp;$I31+Inputs!$C$18,Toggl_Import!$S$10:$S$509,Inputs!$C$24&amp;"*")</f>
        <v/>
      </c>
    </row>
    <row r="32">
      <c r="A32" s="91" t="n"/>
      <c r="B32" s="92" t="n"/>
      <c r="C32" s="92" t="n"/>
      <c r="D32" s="92" t="n"/>
      <c r="E32" s="93" t="n"/>
      <c r="F32" s="92" t="n"/>
      <c r="H32" t="n">
        <v>11</v>
      </c>
      <c r="I32" s="17">
        <f>I31+Inputs!$C$18</f>
        <v/>
      </c>
      <c r="J32" s="32">
        <f>SUMIFS(Hours_Log!$E$5:$E$1004,Hours_Log!$A$5:$A$1004,"&gt;="&amp;$I32,Hours_Log!$A$5:$A$1004,"&lt;"&amp;$I32+Inputs!$C$18,Hours_Log!$D$5:$D$1004,J$21)+SUMIFS(Toggl_Import!$U$10:$U$509,Toggl_Import!$R$10:$R$509,"&gt;="&amp;$I32,Toggl_Import!$R$10:$R$509,"&lt;"&amp;$I32+Inputs!$C$18,Toggl_Import!$T$10:$T$509,J$21)</f>
        <v/>
      </c>
      <c r="K32" s="32">
        <f>SUMIFS(Hours_Log!$E$5:$E$1004,Hours_Log!$A$5:$A$1004,"&gt;="&amp;$I32,Hours_Log!$A$5:$A$1004,"&lt;"&amp;$I32+Inputs!$C$18,Hours_Log!$D$5:$D$1004,K$21)+SUMIFS(Toggl_Import!$U$10:$U$509,Toggl_Import!$R$10:$R$509,"&gt;="&amp;$I32,Toggl_Import!$R$10:$R$509,"&lt;"&amp;$I32+Inputs!$C$18,Toggl_Import!$T$10:$T$509,K$21)</f>
        <v/>
      </c>
      <c r="L32" s="32">
        <f>SUMIFS(Hours_Log!$E$5:$E$1004,Hours_Log!$A$5:$A$1004,"&gt;="&amp;$I32,Hours_Log!$A$5:$A$1004,"&lt;"&amp;$I32+Inputs!$C$18,Hours_Log!$D$5:$D$1004,L$21)+SUMIFS(Toggl_Import!$U$10:$U$509,Toggl_Import!$R$10:$R$509,"&gt;="&amp;$I32,Toggl_Import!$R$10:$R$509,"&lt;"&amp;$I32+Inputs!$C$18,Toggl_Import!$T$10:$T$509,L$21)</f>
        <v/>
      </c>
      <c r="M32" s="32">
        <f>SUMIFS(Hours_Log!$E$5:$E$1004,Hours_Log!$A$5:$A$1004,"&gt;="&amp;$I32,Hours_Log!$A$5:$A$1004,"&lt;"&amp;$I32+Inputs!$C$18,Hours_Log!$D$5:$D$1004,M$21)+SUMIFS(Toggl_Import!$U$10:$U$509,Toggl_Import!$R$10:$R$509,"&gt;="&amp;$I32,Toggl_Import!$R$10:$R$509,"&lt;"&amp;$I32+Inputs!$C$18,Toggl_Import!$T$10:$T$509,M$21)</f>
        <v/>
      </c>
      <c r="N32" s="32">
        <f>SUMIFS(Hours_Log!$E$5:$E$1004,Hours_Log!$A$5:$A$1004,"&gt;="&amp;$I32,Hours_Log!$A$5:$A$1004,"&lt;"&amp;$I32+Inputs!$C$18,Hours_Log!$D$5:$D$1004,N$21)+SUMIFS(Toggl_Import!$U$10:$U$509,Toggl_Import!$R$10:$R$509,"&gt;="&amp;$I32,Toggl_Import!$R$10:$R$509,"&lt;"&amp;$I32+Inputs!$C$18,Toggl_Import!$T$10:$T$509,N$21)</f>
        <v/>
      </c>
      <c r="O32" s="32">
        <f>SUMIFS(Hours_Log!$E$5:$E$1004,Hours_Log!$A$5:$A$1004,"&gt;="&amp;$I32,Hours_Log!$A$5:$A$1004,"&lt;"&amp;$I32+Inputs!$C$18,Hours_Log!$D$5:$D$1004,O$21)+SUMIFS(Toggl_Import!$U$10:$U$509,Toggl_Import!$R$10:$R$509,"&gt;="&amp;$I32,Toggl_Import!$R$10:$R$509,"&lt;"&amp;$I32+Inputs!$C$18,Toggl_Import!$T$10:$T$509,O$21)</f>
        <v/>
      </c>
      <c r="P32" s="32">
        <f>SUMIFS(Hours_Log!$E$5:$E$1004,Hours_Log!$A$5:$A$1004,"&gt;="&amp;$I32,Hours_Log!$A$5:$A$1004,"&lt;"&amp;$I32+Inputs!$C$18,Hours_Log!$D$5:$D$1004,P$21)+SUMIFS(Toggl_Import!$U$10:$U$509,Toggl_Import!$R$10:$R$509,"&gt;="&amp;$I32,Toggl_Import!$R$10:$R$509,"&lt;"&amp;$I32+Inputs!$C$18,Toggl_Import!$T$10:$T$509,P$21)</f>
        <v/>
      </c>
      <c r="Q32" s="34">
        <f>SUM(J32:P32)</f>
        <v/>
      </c>
      <c r="R32" s="32">
        <f>SUMIFS(Hours_Log!$E$5:$E$1004,Hours_Log!$A$5:$A$1004,"&gt;="&amp;$I32,Hours_Log!$A$5:$A$1004,"&lt;"&amp;$I32+Inputs!$C$18,Hours_Log!$B$5:$B$1004,Inputs!$C$24&amp;"*")+SUMIFS(Toggl_Import!$U$10:$U$509,Toggl_Import!$R$10:$R$509,"&gt;="&amp;$I32,Toggl_Import!$R$10:$R$509,"&lt;"&amp;$I32+Inputs!$C$18,Toggl_Import!$S$10:$S$509,Inputs!$C$24&amp;"*")</f>
        <v/>
      </c>
    </row>
    <row r="33">
      <c r="A33" s="91" t="n"/>
      <c r="B33" s="92" t="n"/>
      <c r="C33" s="92" t="n"/>
      <c r="D33" s="92" t="n"/>
      <c r="E33" s="93" t="n"/>
      <c r="F33" s="92" t="n"/>
      <c r="H33" t="n">
        <v>12</v>
      </c>
      <c r="I33" s="17">
        <f>I32+Inputs!$C$18</f>
        <v/>
      </c>
      <c r="J33" s="32">
        <f>SUMIFS(Hours_Log!$E$5:$E$1004,Hours_Log!$A$5:$A$1004,"&gt;="&amp;$I33,Hours_Log!$A$5:$A$1004,"&lt;"&amp;$I33+Inputs!$C$18,Hours_Log!$D$5:$D$1004,J$21)+SUMIFS(Toggl_Import!$U$10:$U$509,Toggl_Import!$R$10:$R$509,"&gt;="&amp;$I33,Toggl_Import!$R$10:$R$509,"&lt;"&amp;$I33+Inputs!$C$18,Toggl_Import!$T$10:$T$509,J$21)</f>
        <v/>
      </c>
      <c r="K33" s="32">
        <f>SUMIFS(Hours_Log!$E$5:$E$1004,Hours_Log!$A$5:$A$1004,"&gt;="&amp;$I33,Hours_Log!$A$5:$A$1004,"&lt;"&amp;$I33+Inputs!$C$18,Hours_Log!$D$5:$D$1004,K$21)+SUMIFS(Toggl_Import!$U$10:$U$509,Toggl_Import!$R$10:$R$509,"&gt;="&amp;$I33,Toggl_Import!$R$10:$R$509,"&lt;"&amp;$I33+Inputs!$C$18,Toggl_Import!$T$10:$T$509,K$21)</f>
        <v/>
      </c>
      <c r="L33" s="32">
        <f>SUMIFS(Hours_Log!$E$5:$E$1004,Hours_Log!$A$5:$A$1004,"&gt;="&amp;$I33,Hours_Log!$A$5:$A$1004,"&lt;"&amp;$I33+Inputs!$C$18,Hours_Log!$D$5:$D$1004,L$21)+SUMIFS(Toggl_Import!$U$10:$U$509,Toggl_Import!$R$10:$R$509,"&gt;="&amp;$I33,Toggl_Import!$R$10:$R$509,"&lt;"&amp;$I33+Inputs!$C$18,Toggl_Import!$T$10:$T$509,L$21)</f>
        <v/>
      </c>
      <c r="M33" s="32">
        <f>SUMIFS(Hours_Log!$E$5:$E$1004,Hours_Log!$A$5:$A$1004,"&gt;="&amp;$I33,Hours_Log!$A$5:$A$1004,"&lt;"&amp;$I33+Inputs!$C$18,Hours_Log!$D$5:$D$1004,M$21)+SUMIFS(Toggl_Import!$U$10:$U$509,Toggl_Import!$R$10:$R$509,"&gt;="&amp;$I33,Toggl_Import!$R$10:$R$509,"&lt;"&amp;$I33+Inputs!$C$18,Toggl_Import!$T$10:$T$509,M$21)</f>
        <v/>
      </c>
      <c r="N33" s="32">
        <f>SUMIFS(Hours_Log!$E$5:$E$1004,Hours_Log!$A$5:$A$1004,"&gt;="&amp;$I33,Hours_Log!$A$5:$A$1004,"&lt;"&amp;$I33+Inputs!$C$18,Hours_Log!$D$5:$D$1004,N$21)+SUMIFS(Toggl_Import!$U$10:$U$509,Toggl_Import!$R$10:$R$509,"&gt;="&amp;$I33,Toggl_Import!$R$10:$R$509,"&lt;"&amp;$I33+Inputs!$C$18,Toggl_Import!$T$10:$T$509,N$21)</f>
        <v/>
      </c>
      <c r="O33" s="32">
        <f>SUMIFS(Hours_Log!$E$5:$E$1004,Hours_Log!$A$5:$A$1004,"&gt;="&amp;$I33,Hours_Log!$A$5:$A$1004,"&lt;"&amp;$I33+Inputs!$C$18,Hours_Log!$D$5:$D$1004,O$21)+SUMIFS(Toggl_Import!$U$10:$U$509,Toggl_Import!$R$10:$R$509,"&gt;="&amp;$I33,Toggl_Import!$R$10:$R$509,"&lt;"&amp;$I33+Inputs!$C$18,Toggl_Import!$T$10:$T$509,O$21)</f>
        <v/>
      </c>
      <c r="P33" s="32">
        <f>SUMIFS(Hours_Log!$E$5:$E$1004,Hours_Log!$A$5:$A$1004,"&gt;="&amp;$I33,Hours_Log!$A$5:$A$1004,"&lt;"&amp;$I33+Inputs!$C$18,Hours_Log!$D$5:$D$1004,P$21)+SUMIFS(Toggl_Import!$U$10:$U$509,Toggl_Import!$R$10:$R$509,"&gt;="&amp;$I33,Toggl_Import!$R$10:$R$509,"&lt;"&amp;$I33+Inputs!$C$18,Toggl_Import!$T$10:$T$509,P$21)</f>
        <v/>
      </c>
      <c r="Q33" s="34">
        <f>SUM(J33:P33)</f>
        <v/>
      </c>
      <c r="R33" s="32">
        <f>SUMIFS(Hours_Log!$E$5:$E$1004,Hours_Log!$A$5:$A$1004,"&gt;="&amp;$I33,Hours_Log!$A$5:$A$1004,"&lt;"&amp;$I33+Inputs!$C$18,Hours_Log!$B$5:$B$1004,Inputs!$C$24&amp;"*")+SUMIFS(Toggl_Import!$U$10:$U$509,Toggl_Import!$R$10:$R$509,"&gt;="&amp;$I33,Toggl_Import!$R$10:$R$509,"&lt;"&amp;$I33+Inputs!$C$18,Toggl_Import!$S$10:$S$509,Inputs!$C$24&amp;"*")</f>
        <v/>
      </c>
    </row>
    <row r="34">
      <c r="A34" s="91" t="n"/>
      <c r="B34" s="92" t="n"/>
      <c r="C34" s="92" t="n"/>
      <c r="D34" s="92" t="n"/>
      <c r="E34" s="93" t="n"/>
      <c r="F34" s="92" t="n"/>
      <c r="H34" t="n">
        <v>13</v>
      </c>
      <c r="I34" s="17">
        <f>I33+Inputs!$C$18</f>
        <v/>
      </c>
      <c r="J34" s="32">
        <f>SUMIFS(Hours_Log!$E$5:$E$1004,Hours_Log!$A$5:$A$1004,"&gt;="&amp;$I34,Hours_Log!$A$5:$A$1004,"&lt;"&amp;$I34+Inputs!$C$18,Hours_Log!$D$5:$D$1004,J$21)+SUMIFS(Toggl_Import!$U$10:$U$509,Toggl_Import!$R$10:$R$509,"&gt;="&amp;$I34,Toggl_Import!$R$10:$R$509,"&lt;"&amp;$I34+Inputs!$C$18,Toggl_Import!$T$10:$T$509,J$21)</f>
        <v/>
      </c>
      <c r="K34" s="32">
        <f>SUMIFS(Hours_Log!$E$5:$E$1004,Hours_Log!$A$5:$A$1004,"&gt;="&amp;$I34,Hours_Log!$A$5:$A$1004,"&lt;"&amp;$I34+Inputs!$C$18,Hours_Log!$D$5:$D$1004,K$21)+SUMIFS(Toggl_Import!$U$10:$U$509,Toggl_Import!$R$10:$R$509,"&gt;="&amp;$I34,Toggl_Import!$R$10:$R$509,"&lt;"&amp;$I34+Inputs!$C$18,Toggl_Import!$T$10:$T$509,K$21)</f>
        <v/>
      </c>
      <c r="L34" s="32">
        <f>SUMIFS(Hours_Log!$E$5:$E$1004,Hours_Log!$A$5:$A$1004,"&gt;="&amp;$I34,Hours_Log!$A$5:$A$1004,"&lt;"&amp;$I34+Inputs!$C$18,Hours_Log!$D$5:$D$1004,L$21)+SUMIFS(Toggl_Import!$U$10:$U$509,Toggl_Import!$R$10:$R$509,"&gt;="&amp;$I34,Toggl_Import!$R$10:$R$509,"&lt;"&amp;$I34+Inputs!$C$18,Toggl_Import!$T$10:$T$509,L$21)</f>
        <v/>
      </c>
      <c r="M34" s="32">
        <f>SUMIFS(Hours_Log!$E$5:$E$1004,Hours_Log!$A$5:$A$1004,"&gt;="&amp;$I34,Hours_Log!$A$5:$A$1004,"&lt;"&amp;$I34+Inputs!$C$18,Hours_Log!$D$5:$D$1004,M$21)+SUMIFS(Toggl_Import!$U$10:$U$509,Toggl_Import!$R$10:$R$509,"&gt;="&amp;$I34,Toggl_Import!$R$10:$R$509,"&lt;"&amp;$I34+Inputs!$C$18,Toggl_Import!$T$10:$T$509,M$21)</f>
        <v/>
      </c>
      <c r="N34" s="32">
        <f>SUMIFS(Hours_Log!$E$5:$E$1004,Hours_Log!$A$5:$A$1004,"&gt;="&amp;$I34,Hours_Log!$A$5:$A$1004,"&lt;"&amp;$I34+Inputs!$C$18,Hours_Log!$D$5:$D$1004,N$21)+SUMIFS(Toggl_Import!$U$10:$U$509,Toggl_Import!$R$10:$R$509,"&gt;="&amp;$I34,Toggl_Import!$R$10:$R$509,"&lt;"&amp;$I34+Inputs!$C$18,Toggl_Import!$T$10:$T$509,N$21)</f>
        <v/>
      </c>
      <c r="O34" s="32">
        <f>SUMIFS(Hours_Log!$E$5:$E$1004,Hours_Log!$A$5:$A$1004,"&gt;="&amp;$I34,Hours_Log!$A$5:$A$1004,"&lt;"&amp;$I34+Inputs!$C$18,Hours_Log!$D$5:$D$1004,O$21)+SUMIFS(Toggl_Import!$U$10:$U$509,Toggl_Import!$R$10:$R$509,"&gt;="&amp;$I34,Toggl_Import!$R$10:$R$509,"&lt;"&amp;$I34+Inputs!$C$18,Toggl_Import!$T$10:$T$509,O$21)</f>
        <v/>
      </c>
      <c r="P34" s="32">
        <f>SUMIFS(Hours_Log!$E$5:$E$1004,Hours_Log!$A$5:$A$1004,"&gt;="&amp;$I34,Hours_Log!$A$5:$A$1004,"&lt;"&amp;$I34+Inputs!$C$18,Hours_Log!$D$5:$D$1004,P$21)+SUMIFS(Toggl_Import!$U$10:$U$509,Toggl_Import!$R$10:$R$509,"&gt;="&amp;$I34,Toggl_Import!$R$10:$R$509,"&lt;"&amp;$I34+Inputs!$C$18,Toggl_Import!$T$10:$T$509,P$21)</f>
        <v/>
      </c>
      <c r="Q34" s="34">
        <f>SUM(J34:P34)</f>
        <v/>
      </c>
      <c r="R34" s="32">
        <f>SUMIFS(Hours_Log!$E$5:$E$1004,Hours_Log!$A$5:$A$1004,"&gt;="&amp;$I34,Hours_Log!$A$5:$A$1004,"&lt;"&amp;$I34+Inputs!$C$18,Hours_Log!$B$5:$B$1004,Inputs!$C$24&amp;"*")+SUMIFS(Toggl_Import!$U$10:$U$509,Toggl_Import!$R$10:$R$509,"&gt;="&amp;$I34,Toggl_Import!$R$10:$R$509,"&lt;"&amp;$I34+Inputs!$C$18,Toggl_Import!$S$10:$S$509,Inputs!$C$24&amp;"*")</f>
        <v/>
      </c>
    </row>
    <row r="35">
      <c r="A35" s="91" t="n"/>
      <c r="B35" s="92" t="n"/>
      <c r="C35" s="92" t="n"/>
      <c r="D35" s="92" t="n"/>
      <c r="E35" s="93" t="n"/>
      <c r="F35" s="92" t="n"/>
      <c r="H35" t="n">
        <v>14</v>
      </c>
      <c r="I35" s="17">
        <f>I34+Inputs!$C$18</f>
        <v/>
      </c>
      <c r="J35" s="32">
        <f>SUMIFS(Hours_Log!$E$5:$E$1004,Hours_Log!$A$5:$A$1004,"&gt;="&amp;$I35,Hours_Log!$A$5:$A$1004,"&lt;"&amp;$I35+Inputs!$C$18,Hours_Log!$D$5:$D$1004,J$21)+SUMIFS(Toggl_Import!$U$10:$U$509,Toggl_Import!$R$10:$R$509,"&gt;="&amp;$I35,Toggl_Import!$R$10:$R$509,"&lt;"&amp;$I35+Inputs!$C$18,Toggl_Import!$T$10:$T$509,J$21)</f>
        <v/>
      </c>
      <c r="K35" s="32">
        <f>SUMIFS(Hours_Log!$E$5:$E$1004,Hours_Log!$A$5:$A$1004,"&gt;="&amp;$I35,Hours_Log!$A$5:$A$1004,"&lt;"&amp;$I35+Inputs!$C$18,Hours_Log!$D$5:$D$1004,K$21)+SUMIFS(Toggl_Import!$U$10:$U$509,Toggl_Import!$R$10:$R$509,"&gt;="&amp;$I35,Toggl_Import!$R$10:$R$509,"&lt;"&amp;$I35+Inputs!$C$18,Toggl_Import!$T$10:$T$509,K$21)</f>
        <v/>
      </c>
      <c r="L35" s="32">
        <f>SUMIFS(Hours_Log!$E$5:$E$1004,Hours_Log!$A$5:$A$1004,"&gt;="&amp;$I35,Hours_Log!$A$5:$A$1004,"&lt;"&amp;$I35+Inputs!$C$18,Hours_Log!$D$5:$D$1004,L$21)+SUMIFS(Toggl_Import!$U$10:$U$509,Toggl_Import!$R$10:$R$509,"&gt;="&amp;$I35,Toggl_Import!$R$10:$R$509,"&lt;"&amp;$I35+Inputs!$C$18,Toggl_Import!$T$10:$T$509,L$21)</f>
        <v/>
      </c>
      <c r="M35" s="32">
        <f>SUMIFS(Hours_Log!$E$5:$E$1004,Hours_Log!$A$5:$A$1004,"&gt;="&amp;$I35,Hours_Log!$A$5:$A$1004,"&lt;"&amp;$I35+Inputs!$C$18,Hours_Log!$D$5:$D$1004,M$21)+SUMIFS(Toggl_Import!$U$10:$U$509,Toggl_Import!$R$10:$R$509,"&gt;="&amp;$I35,Toggl_Import!$R$10:$R$509,"&lt;"&amp;$I35+Inputs!$C$18,Toggl_Import!$T$10:$T$509,M$21)</f>
        <v/>
      </c>
      <c r="N35" s="32">
        <f>SUMIFS(Hours_Log!$E$5:$E$1004,Hours_Log!$A$5:$A$1004,"&gt;="&amp;$I35,Hours_Log!$A$5:$A$1004,"&lt;"&amp;$I35+Inputs!$C$18,Hours_Log!$D$5:$D$1004,N$21)+SUMIFS(Toggl_Import!$U$10:$U$509,Toggl_Import!$R$10:$R$509,"&gt;="&amp;$I35,Toggl_Import!$R$10:$R$509,"&lt;"&amp;$I35+Inputs!$C$18,Toggl_Import!$T$10:$T$509,N$21)</f>
        <v/>
      </c>
      <c r="O35" s="32">
        <f>SUMIFS(Hours_Log!$E$5:$E$1004,Hours_Log!$A$5:$A$1004,"&gt;="&amp;$I35,Hours_Log!$A$5:$A$1004,"&lt;"&amp;$I35+Inputs!$C$18,Hours_Log!$D$5:$D$1004,O$21)+SUMIFS(Toggl_Import!$U$10:$U$509,Toggl_Import!$R$10:$R$509,"&gt;="&amp;$I35,Toggl_Import!$R$10:$R$509,"&lt;"&amp;$I35+Inputs!$C$18,Toggl_Import!$T$10:$T$509,O$21)</f>
        <v/>
      </c>
      <c r="P35" s="32">
        <f>SUMIFS(Hours_Log!$E$5:$E$1004,Hours_Log!$A$5:$A$1004,"&gt;="&amp;$I35,Hours_Log!$A$5:$A$1004,"&lt;"&amp;$I35+Inputs!$C$18,Hours_Log!$D$5:$D$1004,P$21)+SUMIFS(Toggl_Import!$U$10:$U$509,Toggl_Import!$R$10:$R$509,"&gt;="&amp;$I35,Toggl_Import!$R$10:$R$509,"&lt;"&amp;$I35+Inputs!$C$18,Toggl_Import!$T$10:$T$509,P$21)</f>
        <v/>
      </c>
      <c r="Q35" s="34">
        <f>SUM(J35:P35)</f>
        <v/>
      </c>
      <c r="R35" s="32">
        <f>SUMIFS(Hours_Log!$E$5:$E$1004,Hours_Log!$A$5:$A$1004,"&gt;="&amp;$I35,Hours_Log!$A$5:$A$1004,"&lt;"&amp;$I35+Inputs!$C$18,Hours_Log!$B$5:$B$1004,Inputs!$C$24&amp;"*")+SUMIFS(Toggl_Import!$U$10:$U$509,Toggl_Import!$R$10:$R$509,"&gt;="&amp;$I35,Toggl_Import!$R$10:$R$509,"&lt;"&amp;$I35+Inputs!$C$18,Toggl_Import!$S$10:$S$509,Inputs!$C$24&amp;"*")</f>
        <v/>
      </c>
    </row>
    <row r="36">
      <c r="A36" s="91" t="n"/>
      <c r="B36" s="92" t="n"/>
      <c r="C36" s="92" t="n"/>
      <c r="D36" s="92" t="n"/>
      <c r="E36" s="93" t="n"/>
      <c r="F36" s="92" t="n"/>
      <c r="H36" t="n">
        <v>15</v>
      </c>
      <c r="I36" s="17">
        <f>I35+Inputs!$C$18</f>
        <v/>
      </c>
      <c r="J36" s="32">
        <f>SUMIFS(Hours_Log!$E$5:$E$1004,Hours_Log!$A$5:$A$1004,"&gt;="&amp;$I36,Hours_Log!$A$5:$A$1004,"&lt;"&amp;$I36+Inputs!$C$18,Hours_Log!$D$5:$D$1004,J$21)+SUMIFS(Toggl_Import!$U$10:$U$509,Toggl_Import!$R$10:$R$509,"&gt;="&amp;$I36,Toggl_Import!$R$10:$R$509,"&lt;"&amp;$I36+Inputs!$C$18,Toggl_Import!$T$10:$T$509,J$21)</f>
        <v/>
      </c>
      <c r="K36" s="32">
        <f>SUMIFS(Hours_Log!$E$5:$E$1004,Hours_Log!$A$5:$A$1004,"&gt;="&amp;$I36,Hours_Log!$A$5:$A$1004,"&lt;"&amp;$I36+Inputs!$C$18,Hours_Log!$D$5:$D$1004,K$21)+SUMIFS(Toggl_Import!$U$10:$U$509,Toggl_Import!$R$10:$R$509,"&gt;="&amp;$I36,Toggl_Import!$R$10:$R$509,"&lt;"&amp;$I36+Inputs!$C$18,Toggl_Import!$T$10:$T$509,K$21)</f>
        <v/>
      </c>
      <c r="L36" s="32">
        <f>SUMIFS(Hours_Log!$E$5:$E$1004,Hours_Log!$A$5:$A$1004,"&gt;="&amp;$I36,Hours_Log!$A$5:$A$1004,"&lt;"&amp;$I36+Inputs!$C$18,Hours_Log!$D$5:$D$1004,L$21)+SUMIFS(Toggl_Import!$U$10:$U$509,Toggl_Import!$R$10:$R$509,"&gt;="&amp;$I36,Toggl_Import!$R$10:$R$509,"&lt;"&amp;$I36+Inputs!$C$18,Toggl_Import!$T$10:$T$509,L$21)</f>
        <v/>
      </c>
      <c r="M36" s="32">
        <f>SUMIFS(Hours_Log!$E$5:$E$1004,Hours_Log!$A$5:$A$1004,"&gt;="&amp;$I36,Hours_Log!$A$5:$A$1004,"&lt;"&amp;$I36+Inputs!$C$18,Hours_Log!$D$5:$D$1004,M$21)+SUMIFS(Toggl_Import!$U$10:$U$509,Toggl_Import!$R$10:$R$509,"&gt;="&amp;$I36,Toggl_Import!$R$10:$R$509,"&lt;"&amp;$I36+Inputs!$C$18,Toggl_Import!$T$10:$T$509,M$21)</f>
        <v/>
      </c>
      <c r="N36" s="32">
        <f>SUMIFS(Hours_Log!$E$5:$E$1004,Hours_Log!$A$5:$A$1004,"&gt;="&amp;$I36,Hours_Log!$A$5:$A$1004,"&lt;"&amp;$I36+Inputs!$C$18,Hours_Log!$D$5:$D$1004,N$21)+SUMIFS(Toggl_Import!$U$10:$U$509,Toggl_Import!$R$10:$R$509,"&gt;="&amp;$I36,Toggl_Import!$R$10:$R$509,"&lt;"&amp;$I36+Inputs!$C$18,Toggl_Import!$T$10:$T$509,N$21)</f>
        <v/>
      </c>
      <c r="O36" s="32">
        <f>SUMIFS(Hours_Log!$E$5:$E$1004,Hours_Log!$A$5:$A$1004,"&gt;="&amp;$I36,Hours_Log!$A$5:$A$1004,"&lt;"&amp;$I36+Inputs!$C$18,Hours_Log!$D$5:$D$1004,O$21)+SUMIFS(Toggl_Import!$U$10:$U$509,Toggl_Import!$R$10:$R$509,"&gt;="&amp;$I36,Toggl_Import!$R$10:$R$509,"&lt;"&amp;$I36+Inputs!$C$18,Toggl_Import!$T$10:$T$509,O$21)</f>
        <v/>
      </c>
      <c r="P36" s="32">
        <f>SUMIFS(Hours_Log!$E$5:$E$1004,Hours_Log!$A$5:$A$1004,"&gt;="&amp;$I36,Hours_Log!$A$5:$A$1004,"&lt;"&amp;$I36+Inputs!$C$18,Hours_Log!$D$5:$D$1004,P$21)+SUMIFS(Toggl_Import!$U$10:$U$509,Toggl_Import!$R$10:$R$509,"&gt;="&amp;$I36,Toggl_Import!$R$10:$R$509,"&lt;"&amp;$I36+Inputs!$C$18,Toggl_Import!$T$10:$T$509,P$21)</f>
        <v/>
      </c>
      <c r="Q36" s="34">
        <f>SUM(J36:P36)</f>
        <v/>
      </c>
      <c r="R36" s="32">
        <f>SUMIFS(Hours_Log!$E$5:$E$1004,Hours_Log!$A$5:$A$1004,"&gt;="&amp;$I36,Hours_Log!$A$5:$A$1004,"&lt;"&amp;$I36+Inputs!$C$18,Hours_Log!$B$5:$B$1004,Inputs!$C$24&amp;"*")+SUMIFS(Toggl_Import!$U$10:$U$509,Toggl_Import!$R$10:$R$509,"&gt;="&amp;$I36,Toggl_Import!$R$10:$R$509,"&lt;"&amp;$I36+Inputs!$C$18,Toggl_Import!$S$10:$S$509,Inputs!$C$24&amp;"*")</f>
        <v/>
      </c>
    </row>
    <row r="37">
      <c r="A37" s="91" t="n"/>
      <c r="B37" s="92" t="n"/>
      <c r="C37" s="92" t="n"/>
      <c r="D37" s="92" t="n"/>
      <c r="E37" s="93" t="n"/>
      <c r="F37" s="92" t="n"/>
      <c r="H37" t="n">
        <v>16</v>
      </c>
      <c r="I37" s="17">
        <f>I36+Inputs!$C$18</f>
        <v/>
      </c>
      <c r="J37" s="32">
        <f>SUMIFS(Hours_Log!$E$5:$E$1004,Hours_Log!$A$5:$A$1004,"&gt;="&amp;$I37,Hours_Log!$A$5:$A$1004,"&lt;"&amp;$I37+Inputs!$C$18,Hours_Log!$D$5:$D$1004,J$21)+SUMIFS(Toggl_Import!$U$10:$U$509,Toggl_Import!$R$10:$R$509,"&gt;="&amp;$I37,Toggl_Import!$R$10:$R$509,"&lt;"&amp;$I37+Inputs!$C$18,Toggl_Import!$T$10:$T$509,J$21)</f>
        <v/>
      </c>
      <c r="K37" s="32">
        <f>SUMIFS(Hours_Log!$E$5:$E$1004,Hours_Log!$A$5:$A$1004,"&gt;="&amp;$I37,Hours_Log!$A$5:$A$1004,"&lt;"&amp;$I37+Inputs!$C$18,Hours_Log!$D$5:$D$1004,K$21)+SUMIFS(Toggl_Import!$U$10:$U$509,Toggl_Import!$R$10:$R$509,"&gt;="&amp;$I37,Toggl_Import!$R$10:$R$509,"&lt;"&amp;$I37+Inputs!$C$18,Toggl_Import!$T$10:$T$509,K$21)</f>
        <v/>
      </c>
      <c r="L37" s="32">
        <f>SUMIFS(Hours_Log!$E$5:$E$1004,Hours_Log!$A$5:$A$1004,"&gt;="&amp;$I37,Hours_Log!$A$5:$A$1004,"&lt;"&amp;$I37+Inputs!$C$18,Hours_Log!$D$5:$D$1004,L$21)+SUMIFS(Toggl_Import!$U$10:$U$509,Toggl_Import!$R$10:$R$509,"&gt;="&amp;$I37,Toggl_Import!$R$10:$R$509,"&lt;"&amp;$I37+Inputs!$C$18,Toggl_Import!$T$10:$T$509,L$21)</f>
        <v/>
      </c>
      <c r="M37" s="32">
        <f>SUMIFS(Hours_Log!$E$5:$E$1004,Hours_Log!$A$5:$A$1004,"&gt;="&amp;$I37,Hours_Log!$A$5:$A$1004,"&lt;"&amp;$I37+Inputs!$C$18,Hours_Log!$D$5:$D$1004,M$21)+SUMIFS(Toggl_Import!$U$10:$U$509,Toggl_Import!$R$10:$R$509,"&gt;="&amp;$I37,Toggl_Import!$R$10:$R$509,"&lt;"&amp;$I37+Inputs!$C$18,Toggl_Import!$T$10:$T$509,M$21)</f>
        <v/>
      </c>
      <c r="N37" s="32">
        <f>SUMIFS(Hours_Log!$E$5:$E$1004,Hours_Log!$A$5:$A$1004,"&gt;="&amp;$I37,Hours_Log!$A$5:$A$1004,"&lt;"&amp;$I37+Inputs!$C$18,Hours_Log!$D$5:$D$1004,N$21)+SUMIFS(Toggl_Import!$U$10:$U$509,Toggl_Import!$R$10:$R$509,"&gt;="&amp;$I37,Toggl_Import!$R$10:$R$509,"&lt;"&amp;$I37+Inputs!$C$18,Toggl_Import!$T$10:$T$509,N$21)</f>
        <v/>
      </c>
      <c r="O37" s="32">
        <f>SUMIFS(Hours_Log!$E$5:$E$1004,Hours_Log!$A$5:$A$1004,"&gt;="&amp;$I37,Hours_Log!$A$5:$A$1004,"&lt;"&amp;$I37+Inputs!$C$18,Hours_Log!$D$5:$D$1004,O$21)+SUMIFS(Toggl_Import!$U$10:$U$509,Toggl_Import!$R$10:$R$509,"&gt;="&amp;$I37,Toggl_Import!$R$10:$R$509,"&lt;"&amp;$I37+Inputs!$C$18,Toggl_Import!$T$10:$T$509,O$21)</f>
        <v/>
      </c>
      <c r="P37" s="32">
        <f>SUMIFS(Hours_Log!$E$5:$E$1004,Hours_Log!$A$5:$A$1004,"&gt;="&amp;$I37,Hours_Log!$A$5:$A$1004,"&lt;"&amp;$I37+Inputs!$C$18,Hours_Log!$D$5:$D$1004,P$21)+SUMIFS(Toggl_Import!$U$10:$U$509,Toggl_Import!$R$10:$R$509,"&gt;="&amp;$I37,Toggl_Import!$R$10:$R$509,"&lt;"&amp;$I37+Inputs!$C$18,Toggl_Import!$T$10:$T$509,P$21)</f>
        <v/>
      </c>
      <c r="Q37" s="34">
        <f>SUM(J37:P37)</f>
        <v/>
      </c>
      <c r="R37" s="32">
        <f>SUMIFS(Hours_Log!$E$5:$E$1004,Hours_Log!$A$5:$A$1004,"&gt;="&amp;$I37,Hours_Log!$A$5:$A$1004,"&lt;"&amp;$I37+Inputs!$C$18,Hours_Log!$B$5:$B$1004,Inputs!$C$24&amp;"*")+SUMIFS(Toggl_Import!$U$10:$U$509,Toggl_Import!$R$10:$R$509,"&gt;="&amp;$I37,Toggl_Import!$R$10:$R$509,"&lt;"&amp;$I37+Inputs!$C$18,Toggl_Import!$S$10:$S$509,Inputs!$C$24&amp;"*")</f>
        <v/>
      </c>
    </row>
    <row r="38">
      <c r="A38" s="91" t="n"/>
      <c r="B38" s="92" t="n"/>
      <c r="C38" s="92" t="n"/>
      <c r="D38" s="92" t="n"/>
      <c r="E38" s="93" t="n"/>
      <c r="F38" s="92" t="n"/>
      <c r="H38" t="n">
        <v>17</v>
      </c>
      <c r="I38" s="17">
        <f>I37+Inputs!$C$18</f>
        <v/>
      </c>
      <c r="J38" s="32">
        <f>SUMIFS(Hours_Log!$E$5:$E$1004,Hours_Log!$A$5:$A$1004,"&gt;="&amp;$I38,Hours_Log!$A$5:$A$1004,"&lt;"&amp;$I38+Inputs!$C$18,Hours_Log!$D$5:$D$1004,J$21)+SUMIFS(Toggl_Import!$U$10:$U$509,Toggl_Import!$R$10:$R$509,"&gt;="&amp;$I38,Toggl_Import!$R$10:$R$509,"&lt;"&amp;$I38+Inputs!$C$18,Toggl_Import!$T$10:$T$509,J$21)</f>
        <v/>
      </c>
      <c r="K38" s="32">
        <f>SUMIFS(Hours_Log!$E$5:$E$1004,Hours_Log!$A$5:$A$1004,"&gt;="&amp;$I38,Hours_Log!$A$5:$A$1004,"&lt;"&amp;$I38+Inputs!$C$18,Hours_Log!$D$5:$D$1004,K$21)+SUMIFS(Toggl_Import!$U$10:$U$509,Toggl_Import!$R$10:$R$509,"&gt;="&amp;$I38,Toggl_Import!$R$10:$R$509,"&lt;"&amp;$I38+Inputs!$C$18,Toggl_Import!$T$10:$T$509,K$21)</f>
        <v/>
      </c>
      <c r="L38" s="32">
        <f>SUMIFS(Hours_Log!$E$5:$E$1004,Hours_Log!$A$5:$A$1004,"&gt;="&amp;$I38,Hours_Log!$A$5:$A$1004,"&lt;"&amp;$I38+Inputs!$C$18,Hours_Log!$D$5:$D$1004,L$21)+SUMIFS(Toggl_Import!$U$10:$U$509,Toggl_Import!$R$10:$R$509,"&gt;="&amp;$I38,Toggl_Import!$R$10:$R$509,"&lt;"&amp;$I38+Inputs!$C$18,Toggl_Import!$T$10:$T$509,L$21)</f>
        <v/>
      </c>
      <c r="M38" s="32">
        <f>SUMIFS(Hours_Log!$E$5:$E$1004,Hours_Log!$A$5:$A$1004,"&gt;="&amp;$I38,Hours_Log!$A$5:$A$1004,"&lt;"&amp;$I38+Inputs!$C$18,Hours_Log!$D$5:$D$1004,M$21)+SUMIFS(Toggl_Import!$U$10:$U$509,Toggl_Import!$R$10:$R$509,"&gt;="&amp;$I38,Toggl_Import!$R$10:$R$509,"&lt;"&amp;$I38+Inputs!$C$18,Toggl_Import!$T$10:$T$509,M$21)</f>
        <v/>
      </c>
      <c r="N38" s="32">
        <f>SUMIFS(Hours_Log!$E$5:$E$1004,Hours_Log!$A$5:$A$1004,"&gt;="&amp;$I38,Hours_Log!$A$5:$A$1004,"&lt;"&amp;$I38+Inputs!$C$18,Hours_Log!$D$5:$D$1004,N$21)+SUMIFS(Toggl_Import!$U$10:$U$509,Toggl_Import!$R$10:$R$509,"&gt;="&amp;$I38,Toggl_Import!$R$10:$R$509,"&lt;"&amp;$I38+Inputs!$C$18,Toggl_Import!$T$10:$T$509,N$21)</f>
        <v/>
      </c>
      <c r="O38" s="32">
        <f>SUMIFS(Hours_Log!$E$5:$E$1004,Hours_Log!$A$5:$A$1004,"&gt;="&amp;$I38,Hours_Log!$A$5:$A$1004,"&lt;"&amp;$I38+Inputs!$C$18,Hours_Log!$D$5:$D$1004,O$21)+SUMIFS(Toggl_Import!$U$10:$U$509,Toggl_Import!$R$10:$R$509,"&gt;="&amp;$I38,Toggl_Import!$R$10:$R$509,"&lt;"&amp;$I38+Inputs!$C$18,Toggl_Import!$T$10:$T$509,O$21)</f>
        <v/>
      </c>
      <c r="P38" s="32">
        <f>SUMIFS(Hours_Log!$E$5:$E$1004,Hours_Log!$A$5:$A$1004,"&gt;="&amp;$I38,Hours_Log!$A$5:$A$1004,"&lt;"&amp;$I38+Inputs!$C$18,Hours_Log!$D$5:$D$1004,P$21)+SUMIFS(Toggl_Import!$U$10:$U$509,Toggl_Import!$R$10:$R$509,"&gt;="&amp;$I38,Toggl_Import!$R$10:$R$509,"&lt;"&amp;$I38+Inputs!$C$18,Toggl_Import!$T$10:$T$509,P$21)</f>
        <v/>
      </c>
      <c r="Q38" s="34">
        <f>SUM(J38:P38)</f>
        <v/>
      </c>
      <c r="R38" s="32">
        <f>SUMIFS(Hours_Log!$E$5:$E$1004,Hours_Log!$A$5:$A$1004,"&gt;="&amp;$I38,Hours_Log!$A$5:$A$1004,"&lt;"&amp;$I38+Inputs!$C$18,Hours_Log!$B$5:$B$1004,Inputs!$C$24&amp;"*")+SUMIFS(Toggl_Import!$U$10:$U$509,Toggl_Import!$R$10:$R$509,"&gt;="&amp;$I38,Toggl_Import!$R$10:$R$509,"&lt;"&amp;$I38+Inputs!$C$18,Toggl_Import!$S$10:$S$509,Inputs!$C$24&amp;"*")</f>
        <v/>
      </c>
    </row>
    <row r="39">
      <c r="A39" s="91" t="n"/>
      <c r="B39" s="92" t="n"/>
      <c r="C39" s="92" t="n"/>
      <c r="D39" s="92" t="n"/>
      <c r="E39" s="93" t="n"/>
      <c r="F39" s="92" t="n"/>
      <c r="H39" t="n">
        <v>18</v>
      </c>
      <c r="I39" s="17">
        <f>I38+Inputs!$C$18</f>
        <v/>
      </c>
      <c r="J39" s="32">
        <f>SUMIFS(Hours_Log!$E$5:$E$1004,Hours_Log!$A$5:$A$1004,"&gt;="&amp;$I39,Hours_Log!$A$5:$A$1004,"&lt;"&amp;$I39+Inputs!$C$18,Hours_Log!$D$5:$D$1004,J$21)+SUMIFS(Toggl_Import!$U$10:$U$509,Toggl_Import!$R$10:$R$509,"&gt;="&amp;$I39,Toggl_Import!$R$10:$R$509,"&lt;"&amp;$I39+Inputs!$C$18,Toggl_Import!$T$10:$T$509,J$21)</f>
        <v/>
      </c>
      <c r="K39" s="32">
        <f>SUMIFS(Hours_Log!$E$5:$E$1004,Hours_Log!$A$5:$A$1004,"&gt;="&amp;$I39,Hours_Log!$A$5:$A$1004,"&lt;"&amp;$I39+Inputs!$C$18,Hours_Log!$D$5:$D$1004,K$21)+SUMIFS(Toggl_Import!$U$10:$U$509,Toggl_Import!$R$10:$R$509,"&gt;="&amp;$I39,Toggl_Import!$R$10:$R$509,"&lt;"&amp;$I39+Inputs!$C$18,Toggl_Import!$T$10:$T$509,K$21)</f>
        <v/>
      </c>
      <c r="L39" s="32">
        <f>SUMIFS(Hours_Log!$E$5:$E$1004,Hours_Log!$A$5:$A$1004,"&gt;="&amp;$I39,Hours_Log!$A$5:$A$1004,"&lt;"&amp;$I39+Inputs!$C$18,Hours_Log!$D$5:$D$1004,L$21)+SUMIFS(Toggl_Import!$U$10:$U$509,Toggl_Import!$R$10:$R$509,"&gt;="&amp;$I39,Toggl_Import!$R$10:$R$509,"&lt;"&amp;$I39+Inputs!$C$18,Toggl_Import!$T$10:$T$509,L$21)</f>
        <v/>
      </c>
      <c r="M39" s="32">
        <f>SUMIFS(Hours_Log!$E$5:$E$1004,Hours_Log!$A$5:$A$1004,"&gt;="&amp;$I39,Hours_Log!$A$5:$A$1004,"&lt;"&amp;$I39+Inputs!$C$18,Hours_Log!$D$5:$D$1004,M$21)+SUMIFS(Toggl_Import!$U$10:$U$509,Toggl_Import!$R$10:$R$509,"&gt;="&amp;$I39,Toggl_Import!$R$10:$R$509,"&lt;"&amp;$I39+Inputs!$C$18,Toggl_Import!$T$10:$T$509,M$21)</f>
        <v/>
      </c>
      <c r="N39" s="32">
        <f>SUMIFS(Hours_Log!$E$5:$E$1004,Hours_Log!$A$5:$A$1004,"&gt;="&amp;$I39,Hours_Log!$A$5:$A$1004,"&lt;"&amp;$I39+Inputs!$C$18,Hours_Log!$D$5:$D$1004,N$21)+SUMIFS(Toggl_Import!$U$10:$U$509,Toggl_Import!$R$10:$R$509,"&gt;="&amp;$I39,Toggl_Import!$R$10:$R$509,"&lt;"&amp;$I39+Inputs!$C$18,Toggl_Import!$T$10:$T$509,N$21)</f>
        <v/>
      </c>
      <c r="O39" s="32">
        <f>SUMIFS(Hours_Log!$E$5:$E$1004,Hours_Log!$A$5:$A$1004,"&gt;="&amp;$I39,Hours_Log!$A$5:$A$1004,"&lt;"&amp;$I39+Inputs!$C$18,Hours_Log!$D$5:$D$1004,O$21)+SUMIFS(Toggl_Import!$U$10:$U$509,Toggl_Import!$R$10:$R$509,"&gt;="&amp;$I39,Toggl_Import!$R$10:$R$509,"&lt;"&amp;$I39+Inputs!$C$18,Toggl_Import!$T$10:$T$509,O$21)</f>
        <v/>
      </c>
      <c r="P39" s="32">
        <f>SUMIFS(Hours_Log!$E$5:$E$1004,Hours_Log!$A$5:$A$1004,"&gt;="&amp;$I39,Hours_Log!$A$5:$A$1004,"&lt;"&amp;$I39+Inputs!$C$18,Hours_Log!$D$5:$D$1004,P$21)+SUMIFS(Toggl_Import!$U$10:$U$509,Toggl_Import!$R$10:$R$509,"&gt;="&amp;$I39,Toggl_Import!$R$10:$R$509,"&lt;"&amp;$I39+Inputs!$C$18,Toggl_Import!$T$10:$T$509,P$21)</f>
        <v/>
      </c>
      <c r="Q39" s="34">
        <f>SUM(J39:P39)</f>
        <v/>
      </c>
      <c r="R39" s="32">
        <f>SUMIFS(Hours_Log!$E$5:$E$1004,Hours_Log!$A$5:$A$1004,"&gt;="&amp;$I39,Hours_Log!$A$5:$A$1004,"&lt;"&amp;$I39+Inputs!$C$18,Hours_Log!$B$5:$B$1004,Inputs!$C$24&amp;"*")+SUMIFS(Toggl_Import!$U$10:$U$509,Toggl_Import!$R$10:$R$509,"&gt;="&amp;$I39,Toggl_Import!$R$10:$R$509,"&lt;"&amp;$I39+Inputs!$C$18,Toggl_Import!$S$10:$S$509,Inputs!$C$24&amp;"*")</f>
        <v/>
      </c>
    </row>
    <row r="40">
      <c r="A40" s="91" t="n"/>
      <c r="B40" s="92" t="n"/>
      <c r="C40" s="92" t="n"/>
      <c r="D40" s="92" t="n"/>
      <c r="E40" s="93" t="n"/>
      <c r="F40" s="92" t="n"/>
      <c r="H40" t="n">
        <v>19</v>
      </c>
      <c r="I40" s="17">
        <f>I39+Inputs!$C$18</f>
        <v/>
      </c>
      <c r="J40" s="32">
        <f>SUMIFS(Hours_Log!$E$5:$E$1004,Hours_Log!$A$5:$A$1004,"&gt;="&amp;$I40,Hours_Log!$A$5:$A$1004,"&lt;"&amp;$I40+Inputs!$C$18,Hours_Log!$D$5:$D$1004,J$21)+SUMIFS(Toggl_Import!$U$10:$U$509,Toggl_Import!$R$10:$R$509,"&gt;="&amp;$I40,Toggl_Import!$R$10:$R$509,"&lt;"&amp;$I40+Inputs!$C$18,Toggl_Import!$T$10:$T$509,J$21)</f>
        <v/>
      </c>
      <c r="K40" s="32">
        <f>SUMIFS(Hours_Log!$E$5:$E$1004,Hours_Log!$A$5:$A$1004,"&gt;="&amp;$I40,Hours_Log!$A$5:$A$1004,"&lt;"&amp;$I40+Inputs!$C$18,Hours_Log!$D$5:$D$1004,K$21)+SUMIFS(Toggl_Import!$U$10:$U$509,Toggl_Import!$R$10:$R$509,"&gt;="&amp;$I40,Toggl_Import!$R$10:$R$509,"&lt;"&amp;$I40+Inputs!$C$18,Toggl_Import!$T$10:$T$509,K$21)</f>
        <v/>
      </c>
      <c r="L40" s="32">
        <f>SUMIFS(Hours_Log!$E$5:$E$1004,Hours_Log!$A$5:$A$1004,"&gt;="&amp;$I40,Hours_Log!$A$5:$A$1004,"&lt;"&amp;$I40+Inputs!$C$18,Hours_Log!$D$5:$D$1004,L$21)+SUMIFS(Toggl_Import!$U$10:$U$509,Toggl_Import!$R$10:$R$509,"&gt;="&amp;$I40,Toggl_Import!$R$10:$R$509,"&lt;"&amp;$I40+Inputs!$C$18,Toggl_Import!$T$10:$T$509,L$21)</f>
        <v/>
      </c>
      <c r="M40" s="32">
        <f>SUMIFS(Hours_Log!$E$5:$E$1004,Hours_Log!$A$5:$A$1004,"&gt;="&amp;$I40,Hours_Log!$A$5:$A$1004,"&lt;"&amp;$I40+Inputs!$C$18,Hours_Log!$D$5:$D$1004,M$21)+SUMIFS(Toggl_Import!$U$10:$U$509,Toggl_Import!$R$10:$R$509,"&gt;="&amp;$I40,Toggl_Import!$R$10:$R$509,"&lt;"&amp;$I40+Inputs!$C$18,Toggl_Import!$T$10:$T$509,M$21)</f>
        <v/>
      </c>
      <c r="N40" s="32">
        <f>SUMIFS(Hours_Log!$E$5:$E$1004,Hours_Log!$A$5:$A$1004,"&gt;="&amp;$I40,Hours_Log!$A$5:$A$1004,"&lt;"&amp;$I40+Inputs!$C$18,Hours_Log!$D$5:$D$1004,N$21)+SUMIFS(Toggl_Import!$U$10:$U$509,Toggl_Import!$R$10:$R$509,"&gt;="&amp;$I40,Toggl_Import!$R$10:$R$509,"&lt;"&amp;$I40+Inputs!$C$18,Toggl_Import!$T$10:$T$509,N$21)</f>
        <v/>
      </c>
      <c r="O40" s="32">
        <f>SUMIFS(Hours_Log!$E$5:$E$1004,Hours_Log!$A$5:$A$1004,"&gt;="&amp;$I40,Hours_Log!$A$5:$A$1004,"&lt;"&amp;$I40+Inputs!$C$18,Hours_Log!$D$5:$D$1004,O$21)+SUMIFS(Toggl_Import!$U$10:$U$509,Toggl_Import!$R$10:$R$509,"&gt;="&amp;$I40,Toggl_Import!$R$10:$R$509,"&lt;"&amp;$I40+Inputs!$C$18,Toggl_Import!$T$10:$T$509,O$21)</f>
        <v/>
      </c>
      <c r="P40" s="32">
        <f>SUMIFS(Hours_Log!$E$5:$E$1004,Hours_Log!$A$5:$A$1004,"&gt;="&amp;$I40,Hours_Log!$A$5:$A$1004,"&lt;"&amp;$I40+Inputs!$C$18,Hours_Log!$D$5:$D$1004,P$21)+SUMIFS(Toggl_Import!$U$10:$U$509,Toggl_Import!$R$10:$R$509,"&gt;="&amp;$I40,Toggl_Import!$R$10:$R$509,"&lt;"&amp;$I40+Inputs!$C$18,Toggl_Import!$T$10:$T$509,P$21)</f>
        <v/>
      </c>
      <c r="Q40" s="34">
        <f>SUM(J40:P40)</f>
        <v/>
      </c>
      <c r="R40" s="32">
        <f>SUMIFS(Hours_Log!$E$5:$E$1004,Hours_Log!$A$5:$A$1004,"&gt;="&amp;$I40,Hours_Log!$A$5:$A$1004,"&lt;"&amp;$I40+Inputs!$C$18,Hours_Log!$B$5:$B$1004,Inputs!$C$24&amp;"*")+SUMIFS(Toggl_Import!$U$10:$U$509,Toggl_Import!$R$10:$R$509,"&gt;="&amp;$I40,Toggl_Import!$R$10:$R$509,"&lt;"&amp;$I40+Inputs!$C$18,Toggl_Import!$S$10:$S$509,Inputs!$C$24&amp;"*")</f>
        <v/>
      </c>
    </row>
    <row r="41">
      <c r="A41" s="91" t="n"/>
      <c r="B41" s="92" t="n"/>
      <c r="C41" s="92" t="n"/>
      <c r="D41" s="92" t="n"/>
      <c r="E41" s="93" t="n"/>
      <c r="F41" s="92" t="n"/>
      <c r="H41" t="n">
        <v>20</v>
      </c>
      <c r="I41" s="17">
        <f>I40+Inputs!$C$18</f>
        <v/>
      </c>
      <c r="J41" s="32">
        <f>SUMIFS(Hours_Log!$E$5:$E$1004,Hours_Log!$A$5:$A$1004,"&gt;="&amp;$I41,Hours_Log!$A$5:$A$1004,"&lt;"&amp;$I41+Inputs!$C$18,Hours_Log!$D$5:$D$1004,J$21)+SUMIFS(Toggl_Import!$U$10:$U$509,Toggl_Import!$R$10:$R$509,"&gt;="&amp;$I41,Toggl_Import!$R$10:$R$509,"&lt;"&amp;$I41+Inputs!$C$18,Toggl_Import!$T$10:$T$509,J$21)</f>
        <v/>
      </c>
      <c r="K41" s="32">
        <f>SUMIFS(Hours_Log!$E$5:$E$1004,Hours_Log!$A$5:$A$1004,"&gt;="&amp;$I41,Hours_Log!$A$5:$A$1004,"&lt;"&amp;$I41+Inputs!$C$18,Hours_Log!$D$5:$D$1004,K$21)+SUMIFS(Toggl_Import!$U$10:$U$509,Toggl_Import!$R$10:$R$509,"&gt;="&amp;$I41,Toggl_Import!$R$10:$R$509,"&lt;"&amp;$I41+Inputs!$C$18,Toggl_Import!$T$10:$T$509,K$21)</f>
        <v/>
      </c>
      <c r="L41" s="32">
        <f>SUMIFS(Hours_Log!$E$5:$E$1004,Hours_Log!$A$5:$A$1004,"&gt;="&amp;$I41,Hours_Log!$A$5:$A$1004,"&lt;"&amp;$I41+Inputs!$C$18,Hours_Log!$D$5:$D$1004,L$21)+SUMIFS(Toggl_Import!$U$10:$U$509,Toggl_Import!$R$10:$R$509,"&gt;="&amp;$I41,Toggl_Import!$R$10:$R$509,"&lt;"&amp;$I41+Inputs!$C$18,Toggl_Import!$T$10:$T$509,L$21)</f>
        <v/>
      </c>
      <c r="M41" s="32">
        <f>SUMIFS(Hours_Log!$E$5:$E$1004,Hours_Log!$A$5:$A$1004,"&gt;="&amp;$I41,Hours_Log!$A$5:$A$1004,"&lt;"&amp;$I41+Inputs!$C$18,Hours_Log!$D$5:$D$1004,M$21)+SUMIFS(Toggl_Import!$U$10:$U$509,Toggl_Import!$R$10:$R$509,"&gt;="&amp;$I41,Toggl_Import!$R$10:$R$509,"&lt;"&amp;$I41+Inputs!$C$18,Toggl_Import!$T$10:$T$509,M$21)</f>
        <v/>
      </c>
      <c r="N41" s="32">
        <f>SUMIFS(Hours_Log!$E$5:$E$1004,Hours_Log!$A$5:$A$1004,"&gt;="&amp;$I41,Hours_Log!$A$5:$A$1004,"&lt;"&amp;$I41+Inputs!$C$18,Hours_Log!$D$5:$D$1004,N$21)+SUMIFS(Toggl_Import!$U$10:$U$509,Toggl_Import!$R$10:$R$509,"&gt;="&amp;$I41,Toggl_Import!$R$10:$R$509,"&lt;"&amp;$I41+Inputs!$C$18,Toggl_Import!$T$10:$T$509,N$21)</f>
        <v/>
      </c>
      <c r="O41" s="32">
        <f>SUMIFS(Hours_Log!$E$5:$E$1004,Hours_Log!$A$5:$A$1004,"&gt;="&amp;$I41,Hours_Log!$A$5:$A$1004,"&lt;"&amp;$I41+Inputs!$C$18,Hours_Log!$D$5:$D$1004,O$21)+SUMIFS(Toggl_Import!$U$10:$U$509,Toggl_Import!$R$10:$R$509,"&gt;="&amp;$I41,Toggl_Import!$R$10:$R$509,"&lt;"&amp;$I41+Inputs!$C$18,Toggl_Import!$T$10:$T$509,O$21)</f>
        <v/>
      </c>
      <c r="P41" s="32">
        <f>SUMIFS(Hours_Log!$E$5:$E$1004,Hours_Log!$A$5:$A$1004,"&gt;="&amp;$I41,Hours_Log!$A$5:$A$1004,"&lt;"&amp;$I41+Inputs!$C$18,Hours_Log!$D$5:$D$1004,P$21)+SUMIFS(Toggl_Import!$U$10:$U$509,Toggl_Import!$R$10:$R$509,"&gt;="&amp;$I41,Toggl_Import!$R$10:$R$509,"&lt;"&amp;$I41+Inputs!$C$18,Toggl_Import!$T$10:$T$509,P$21)</f>
        <v/>
      </c>
      <c r="Q41" s="34">
        <f>SUM(J41:P41)</f>
        <v/>
      </c>
      <c r="R41" s="32">
        <f>SUMIFS(Hours_Log!$E$5:$E$1004,Hours_Log!$A$5:$A$1004,"&gt;="&amp;$I41,Hours_Log!$A$5:$A$1004,"&lt;"&amp;$I41+Inputs!$C$18,Hours_Log!$B$5:$B$1004,Inputs!$C$24&amp;"*")+SUMIFS(Toggl_Import!$U$10:$U$509,Toggl_Import!$R$10:$R$509,"&gt;="&amp;$I41,Toggl_Import!$R$10:$R$509,"&lt;"&amp;$I41+Inputs!$C$18,Toggl_Import!$S$10:$S$509,Inputs!$C$24&amp;"*")</f>
        <v/>
      </c>
    </row>
    <row r="42">
      <c r="A42" s="91" t="n"/>
      <c r="B42" s="92" t="n"/>
      <c r="C42" s="92" t="n"/>
      <c r="D42" s="92" t="n"/>
      <c r="E42" s="93" t="n"/>
      <c r="F42" s="92" t="n"/>
      <c r="H42" t="n">
        <v>21</v>
      </c>
      <c r="I42" s="17">
        <f>I41+Inputs!$C$18</f>
        <v/>
      </c>
      <c r="J42" s="32">
        <f>SUMIFS(Hours_Log!$E$5:$E$1004,Hours_Log!$A$5:$A$1004,"&gt;="&amp;$I42,Hours_Log!$A$5:$A$1004,"&lt;"&amp;$I42+Inputs!$C$18,Hours_Log!$D$5:$D$1004,J$21)+SUMIFS(Toggl_Import!$U$10:$U$509,Toggl_Import!$R$10:$R$509,"&gt;="&amp;$I42,Toggl_Import!$R$10:$R$509,"&lt;"&amp;$I42+Inputs!$C$18,Toggl_Import!$T$10:$T$509,J$21)</f>
        <v/>
      </c>
      <c r="K42" s="32">
        <f>SUMIFS(Hours_Log!$E$5:$E$1004,Hours_Log!$A$5:$A$1004,"&gt;="&amp;$I42,Hours_Log!$A$5:$A$1004,"&lt;"&amp;$I42+Inputs!$C$18,Hours_Log!$D$5:$D$1004,K$21)+SUMIFS(Toggl_Import!$U$10:$U$509,Toggl_Import!$R$10:$R$509,"&gt;="&amp;$I42,Toggl_Import!$R$10:$R$509,"&lt;"&amp;$I42+Inputs!$C$18,Toggl_Import!$T$10:$T$509,K$21)</f>
        <v/>
      </c>
      <c r="L42" s="32">
        <f>SUMIFS(Hours_Log!$E$5:$E$1004,Hours_Log!$A$5:$A$1004,"&gt;="&amp;$I42,Hours_Log!$A$5:$A$1004,"&lt;"&amp;$I42+Inputs!$C$18,Hours_Log!$D$5:$D$1004,L$21)+SUMIFS(Toggl_Import!$U$10:$U$509,Toggl_Import!$R$10:$R$509,"&gt;="&amp;$I42,Toggl_Import!$R$10:$R$509,"&lt;"&amp;$I42+Inputs!$C$18,Toggl_Import!$T$10:$T$509,L$21)</f>
        <v/>
      </c>
      <c r="M42" s="32">
        <f>SUMIFS(Hours_Log!$E$5:$E$1004,Hours_Log!$A$5:$A$1004,"&gt;="&amp;$I42,Hours_Log!$A$5:$A$1004,"&lt;"&amp;$I42+Inputs!$C$18,Hours_Log!$D$5:$D$1004,M$21)+SUMIFS(Toggl_Import!$U$10:$U$509,Toggl_Import!$R$10:$R$509,"&gt;="&amp;$I42,Toggl_Import!$R$10:$R$509,"&lt;"&amp;$I42+Inputs!$C$18,Toggl_Import!$T$10:$T$509,M$21)</f>
        <v/>
      </c>
      <c r="N42" s="32">
        <f>SUMIFS(Hours_Log!$E$5:$E$1004,Hours_Log!$A$5:$A$1004,"&gt;="&amp;$I42,Hours_Log!$A$5:$A$1004,"&lt;"&amp;$I42+Inputs!$C$18,Hours_Log!$D$5:$D$1004,N$21)+SUMIFS(Toggl_Import!$U$10:$U$509,Toggl_Import!$R$10:$R$509,"&gt;="&amp;$I42,Toggl_Import!$R$10:$R$509,"&lt;"&amp;$I42+Inputs!$C$18,Toggl_Import!$T$10:$T$509,N$21)</f>
        <v/>
      </c>
      <c r="O42" s="32">
        <f>SUMIFS(Hours_Log!$E$5:$E$1004,Hours_Log!$A$5:$A$1004,"&gt;="&amp;$I42,Hours_Log!$A$5:$A$1004,"&lt;"&amp;$I42+Inputs!$C$18,Hours_Log!$D$5:$D$1004,O$21)+SUMIFS(Toggl_Import!$U$10:$U$509,Toggl_Import!$R$10:$R$509,"&gt;="&amp;$I42,Toggl_Import!$R$10:$R$509,"&lt;"&amp;$I42+Inputs!$C$18,Toggl_Import!$T$10:$T$509,O$21)</f>
        <v/>
      </c>
      <c r="P42" s="32">
        <f>SUMIFS(Hours_Log!$E$5:$E$1004,Hours_Log!$A$5:$A$1004,"&gt;="&amp;$I42,Hours_Log!$A$5:$A$1004,"&lt;"&amp;$I42+Inputs!$C$18,Hours_Log!$D$5:$D$1004,P$21)+SUMIFS(Toggl_Import!$U$10:$U$509,Toggl_Import!$R$10:$R$509,"&gt;="&amp;$I42,Toggl_Import!$R$10:$R$509,"&lt;"&amp;$I42+Inputs!$C$18,Toggl_Import!$T$10:$T$509,P$21)</f>
        <v/>
      </c>
      <c r="Q42" s="34">
        <f>SUM(J42:P42)</f>
        <v/>
      </c>
      <c r="R42" s="32">
        <f>SUMIFS(Hours_Log!$E$5:$E$1004,Hours_Log!$A$5:$A$1004,"&gt;="&amp;$I42,Hours_Log!$A$5:$A$1004,"&lt;"&amp;$I42+Inputs!$C$18,Hours_Log!$B$5:$B$1004,Inputs!$C$24&amp;"*")+SUMIFS(Toggl_Import!$U$10:$U$509,Toggl_Import!$R$10:$R$509,"&gt;="&amp;$I42,Toggl_Import!$R$10:$R$509,"&lt;"&amp;$I42+Inputs!$C$18,Toggl_Import!$S$10:$S$509,Inputs!$C$24&amp;"*")</f>
        <v/>
      </c>
    </row>
    <row r="43">
      <c r="A43" s="91" t="n"/>
      <c r="B43" s="92" t="n"/>
      <c r="C43" s="92" t="n"/>
      <c r="D43" s="92" t="n"/>
      <c r="E43" s="93" t="n"/>
      <c r="F43" s="92" t="n"/>
      <c r="H43" t="n">
        <v>22</v>
      </c>
      <c r="I43" s="17">
        <f>I42+Inputs!$C$18</f>
        <v/>
      </c>
      <c r="J43" s="32">
        <f>SUMIFS(Hours_Log!$E$5:$E$1004,Hours_Log!$A$5:$A$1004,"&gt;="&amp;$I43,Hours_Log!$A$5:$A$1004,"&lt;"&amp;$I43+Inputs!$C$18,Hours_Log!$D$5:$D$1004,J$21)+SUMIFS(Toggl_Import!$U$10:$U$509,Toggl_Import!$R$10:$R$509,"&gt;="&amp;$I43,Toggl_Import!$R$10:$R$509,"&lt;"&amp;$I43+Inputs!$C$18,Toggl_Import!$T$10:$T$509,J$21)</f>
        <v/>
      </c>
      <c r="K43" s="32">
        <f>SUMIFS(Hours_Log!$E$5:$E$1004,Hours_Log!$A$5:$A$1004,"&gt;="&amp;$I43,Hours_Log!$A$5:$A$1004,"&lt;"&amp;$I43+Inputs!$C$18,Hours_Log!$D$5:$D$1004,K$21)+SUMIFS(Toggl_Import!$U$10:$U$509,Toggl_Import!$R$10:$R$509,"&gt;="&amp;$I43,Toggl_Import!$R$10:$R$509,"&lt;"&amp;$I43+Inputs!$C$18,Toggl_Import!$T$10:$T$509,K$21)</f>
        <v/>
      </c>
      <c r="L43" s="32">
        <f>SUMIFS(Hours_Log!$E$5:$E$1004,Hours_Log!$A$5:$A$1004,"&gt;="&amp;$I43,Hours_Log!$A$5:$A$1004,"&lt;"&amp;$I43+Inputs!$C$18,Hours_Log!$D$5:$D$1004,L$21)+SUMIFS(Toggl_Import!$U$10:$U$509,Toggl_Import!$R$10:$R$509,"&gt;="&amp;$I43,Toggl_Import!$R$10:$R$509,"&lt;"&amp;$I43+Inputs!$C$18,Toggl_Import!$T$10:$T$509,L$21)</f>
        <v/>
      </c>
      <c r="M43" s="32">
        <f>SUMIFS(Hours_Log!$E$5:$E$1004,Hours_Log!$A$5:$A$1004,"&gt;="&amp;$I43,Hours_Log!$A$5:$A$1004,"&lt;"&amp;$I43+Inputs!$C$18,Hours_Log!$D$5:$D$1004,M$21)+SUMIFS(Toggl_Import!$U$10:$U$509,Toggl_Import!$R$10:$R$509,"&gt;="&amp;$I43,Toggl_Import!$R$10:$R$509,"&lt;"&amp;$I43+Inputs!$C$18,Toggl_Import!$T$10:$T$509,M$21)</f>
        <v/>
      </c>
      <c r="N43" s="32">
        <f>SUMIFS(Hours_Log!$E$5:$E$1004,Hours_Log!$A$5:$A$1004,"&gt;="&amp;$I43,Hours_Log!$A$5:$A$1004,"&lt;"&amp;$I43+Inputs!$C$18,Hours_Log!$D$5:$D$1004,N$21)+SUMIFS(Toggl_Import!$U$10:$U$509,Toggl_Import!$R$10:$R$509,"&gt;="&amp;$I43,Toggl_Import!$R$10:$R$509,"&lt;"&amp;$I43+Inputs!$C$18,Toggl_Import!$T$10:$T$509,N$21)</f>
        <v/>
      </c>
      <c r="O43" s="32">
        <f>SUMIFS(Hours_Log!$E$5:$E$1004,Hours_Log!$A$5:$A$1004,"&gt;="&amp;$I43,Hours_Log!$A$5:$A$1004,"&lt;"&amp;$I43+Inputs!$C$18,Hours_Log!$D$5:$D$1004,O$21)+SUMIFS(Toggl_Import!$U$10:$U$509,Toggl_Import!$R$10:$R$509,"&gt;="&amp;$I43,Toggl_Import!$R$10:$R$509,"&lt;"&amp;$I43+Inputs!$C$18,Toggl_Import!$T$10:$T$509,O$21)</f>
        <v/>
      </c>
      <c r="P43" s="32">
        <f>SUMIFS(Hours_Log!$E$5:$E$1004,Hours_Log!$A$5:$A$1004,"&gt;="&amp;$I43,Hours_Log!$A$5:$A$1004,"&lt;"&amp;$I43+Inputs!$C$18,Hours_Log!$D$5:$D$1004,P$21)+SUMIFS(Toggl_Import!$U$10:$U$509,Toggl_Import!$R$10:$R$509,"&gt;="&amp;$I43,Toggl_Import!$R$10:$R$509,"&lt;"&amp;$I43+Inputs!$C$18,Toggl_Import!$T$10:$T$509,P$21)</f>
        <v/>
      </c>
      <c r="Q43" s="34">
        <f>SUM(J43:P43)</f>
        <v/>
      </c>
      <c r="R43" s="32">
        <f>SUMIFS(Hours_Log!$E$5:$E$1004,Hours_Log!$A$5:$A$1004,"&gt;="&amp;$I43,Hours_Log!$A$5:$A$1004,"&lt;"&amp;$I43+Inputs!$C$18,Hours_Log!$B$5:$B$1004,Inputs!$C$24&amp;"*")+SUMIFS(Toggl_Import!$U$10:$U$509,Toggl_Import!$R$10:$R$509,"&gt;="&amp;$I43,Toggl_Import!$R$10:$R$509,"&lt;"&amp;$I43+Inputs!$C$18,Toggl_Import!$S$10:$S$509,Inputs!$C$24&amp;"*")</f>
        <v/>
      </c>
    </row>
    <row r="44">
      <c r="A44" s="91" t="n"/>
      <c r="B44" s="92" t="n"/>
      <c r="C44" s="92" t="n"/>
      <c r="D44" s="92" t="n"/>
      <c r="E44" s="93" t="n"/>
      <c r="F44" s="92" t="n"/>
      <c r="H44" t="n">
        <v>23</v>
      </c>
      <c r="I44" s="17">
        <f>I43+Inputs!$C$18</f>
        <v/>
      </c>
      <c r="J44" s="32">
        <f>SUMIFS(Hours_Log!$E$5:$E$1004,Hours_Log!$A$5:$A$1004,"&gt;="&amp;$I44,Hours_Log!$A$5:$A$1004,"&lt;"&amp;$I44+Inputs!$C$18,Hours_Log!$D$5:$D$1004,J$21)+SUMIFS(Toggl_Import!$U$10:$U$509,Toggl_Import!$R$10:$R$509,"&gt;="&amp;$I44,Toggl_Import!$R$10:$R$509,"&lt;"&amp;$I44+Inputs!$C$18,Toggl_Import!$T$10:$T$509,J$21)</f>
        <v/>
      </c>
      <c r="K44" s="32">
        <f>SUMIFS(Hours_Log!$E$5:$E$1004,Hours_Log!$A$5:$A$1004,"&gt;="&amp;$I44,Hours_Log!$A$5:$A$1004,"&lt;"&amp;$I44+Inputs!$C$18,Hours_Log!$D$5:$D$1004,K$21)+SUMIFS(Toggl_Import!$U$10:$U$509,Toggl_Import!$R$10:$R$509,"&gt;="&amp;$I44,Toggl_Import!$R$10:$R$509,"&lt;"&amp;$I44+Inputs!$C$18,Toggl_Import!$T$10:$T$509,K$21)</f>
        <v/>
      </c>
      <c r="L44" s="32">
        <f>SUMIFS(Hours_Log!$E$5:$E$1004,Hours_Log!$A$5:$A$1004,"&gt;="&amp;$I44,Hours_Log!$A$5:$A$1004,"&lt;"&amp;$I44+Inputs!$C$18,Hours_Log!$D$5:$D$1004,L$21)+SUMIFS(Toggl_Import!$U$10:$U$509,Toggl_Import!$R$10:$R$509,"&gt;="&amp;$I44,Toggl_Import!$R$10:$R$509,"&lt;"&amp;$I44+Inputs!$C$18,Toggl_Import!$T$10:$T$509,L$21)</f>
        <v/>
      </c>
      <c r="M44" s="32">
        <f>SUMIFS(Hours_Log!$E$5:$E$1004,Hours_Log!$A$5:$A$1004,"&gt;="&amp;$I44,Hours_Log!$A$5:$A$1004,"&lt;"&amp;$I44+Inputs!$C$18,Hours_Log!$D$5:$D$1004,M$21)+SUMIFS(Toggl_Import!$U$10:$U$509,Toggl_Import!$R$10:$R$509,"&gt;="&amp;$I44,Toggl_Import!$R$10:$R$509,"&lt;"&amp;$I44+Inputs!$C$18,Toggl_Import!$T$10:$T$509,M$21)</f>
        <v/>
      </c>
      <c r="N44" s="32">
        <f>SUMIFS(Hours_Log!$E$5:$E$1004,Hours_Log!$A$5:$A$1004,"&gt;="&amp;$I44,Hours_Log!$A$5:$A$1004,"&lt;"&amp;$I44+Inputs!$C$18,Hours_Log!$D$5:$D$1004,N$21)+SUMIFS(Toggl_Import!$U$10:$U$509,Toggl_Import!$R$10:$R$509,"&gt;="&amp;$I44,Toggl_Import!$R$10:$R$509,"&lt;"&amp;$I44+Inputs!$C$18,Toggl_Import!$T$10:$T$509,N$21)</f>
        <v/>
      </c>
      <c r="O44" s="32">
        <f>SUMIFS(Hours_Log!$E$5:$E$1004,Hours_Log!$A$5:$A$1004,"&gt;="&amp;$I44,Hours_Log!$A$5:$A$1004,"&lt;"&amp;$I44+Inputs!$C$18,Hours_Log!$D$5:$D$1004,O$21)+SUMIFS(Toggl_Import!$U$10:$U$509,Toggl_Import!$R$10:$R$509,"&gt;="&amp;$I44,Toggl_Import!$R$10:$R$509,"&lt;"&amp;$I44+Inputs!$C$18,Toggl_Import!$T$10:$T$509,O$21)</f>
        <v/>
      </c>
      <c r="P44" s="32">
        <f>SUMIFS(Hours_Log!$E$5:$E$1004,Hours_Log!$A$5:$A$1004,"&gt;="&amp;$I44,Hours_Log!$A$5:$A$1004,"&lt;"&amp;$I44+Inputs!$C$18,Hours_Log!$D$5:$D$1004,P$21)+SUMIFS(Toggl_Import!$U$10:$U$509,Toggl_Import!$R$10:$R$509,"&gt;="&amp;$I44,Toggl_Import!$R$10:$R$509,"&lt;"&amp;$I44+Inputs!$C$18,Toggl_Import!$T$10:$T$509,P$21)</f>
        <v/>
      </c>
      <c r="Q44" s="34">
        <f>SUM(J44:P44)</f>
        <v/>
      </c>
      <c r="R44" s="32">
        <f>SUMIFS(Hours_Log!$E$5:$E$1004,Hours_Log!$A$5:$A$1004,"&gt;="&amp;$I44,Hours_Log!$A$5:$A$1004,"&lt;"&amp;$I44+Inputs!$C$18,Hours_Log!$B$5:$B$1004,Inputs!$C$24&amp;"*")+SUMIFS(Toggl_Import!$U$10:$U$509,Toggl_Import!$R$10:$R$509,"&gt;="&amp;$I44,Toggl_Import!$R$10:$R$509,"&lt;"&amp;$I44+Inputs!$C$18,Toggl_Import!$S$10:$S$509,Inputs!$C$24&amp;"*")</f>
        <v/>
      </c>
    </row>
    <row r="45">
      <c r="A45" s="91" t="n"/>
      <c r="B45" s="92" t="n"/>
      <c r="C45" s="92" t="n"/>
      <c r="D45" s="92" t="n"/>
      <c r="E45" s="93" t="n"/>
      <c r="F45" s="92" t="n"/>
      <c r="H45" t="n">
        <v>24</v>
      </c>
      <c r="I45" s="17">
        <f>I44+Inputs!$C$18</f>
        <v/>
      </c>
      <c r="J45" s="32">
        <f>SUMIFS(Hours_Log!$E$5:$E$1004,Hours_Log!$A$5:$A$1004,"&gt;="&amp;$I45,Hours_Log!$A$5:$A$1004,"&lt;"&amp;$I45+Inputs!$C$18,Hours_Log!$D$5:$D$1004,J$21)+SUMIFS(Toggl_Import!$U$10:$U$509,Toggl_Import!$R$10:$R$509,"&gt;="&amp;$I45,Toggl_Import!$R$10:$R$509,"&lt;"&amp;$I45+Inputs!$C$18,Toggl_Import!$T$10:$T$509,J$21)</f>
        <v/>
      </c>
      <c r="K45" s="32">
        <f>SUMIFS(Hours_Log!$E$5:$E$1004,Hours_Log!$A$5:$A$1004,"&gt;="&amp;$I45,Hours_Log!$A$5:$A$1004,"&lt;"&amp;$I45+Inputs!$C$18,Hours_Log!$D$5:$D$1004,K$21)+SUMIFS(Toggl_Import!$U$10:$U$509,Toggl_Import!$R$10:$R$509,"&gt;="&amp;$I45,Toggl_Import!$R$10:$R$509,"&lt;"&amp;$I45+Inputs!$C$18,Toggl_Import!$T$10:$T$509,K$21)</f>
        <v/>
      </c>
      <c r="L45" s="32">
        <f>SUMIFS(Hours_Log!$E$5:$E$1004,Hours_Log!$A$5:$A$1004,"&gt;="&amp;$I45,Hours_Log!$A$5:$A$1004,"&lt;"&amp;$I45+Inputs!$C$18,Hours_Log!$D$5:$D$1004,L$21)+SUMIFS(Toggl_Import!$U$10:$U$509,Toggl_Import!$R$10:$R$509,"&gt;="&amp;$I45,Toggl_Import!$R$10:$R$509,"&lt;"&amp;$I45+Inputs!$C$18,Toggl_Import!$T$10:$T$509,L$21)</f>
        <v/>
      </c>
      <c r="M45" s="32">
        <f>SUMIFS(Hours_Log!$E$5:$E$1004,Hours_Log!$A$5:$A$1004,"&gt;="&amp;$I45,Hours_Log!$A$5:$A$1004,"&lt;"&amp;$I45+Inputs!$C$18,Hours_Log!$D$5:$D$1004,M$21)+SUMIFS(Toggl_Import!$U$10:$U$509,Toggl_Import!$R$10:$R$509,"&gt;="&amp;$I45,Toggl_Import!$R$10:$R$509,"&lt;"&amp;$I45+Inputs!$C$18,Toggl_Import!$T$10:$T$509,M$21)</f>
        <v/>
      </c>
      <c r="N45" s="32">
        <f>SUMIFS(Hours_Log!$E$5:$E$1004,Hours_Log!$A$5:$A$1004,"&gt;="&amp;$I45,Hours_Log!$A$5:$A$1004,"&lt;"&amp;$I45+Inputs!$C$18,Hours_Log!$D$5:$D$1004,N$21)+SUMIFS(Toggl_Import!$U$10:$U$509,Toggl_Import!$R$10:$R$509,"&gt;="&amp;$I45,Toggl_Import!$R$10:$R$509,"&lt;"&amp;$I45+Inputs!$C$18,Toggl_Import!$T$10:$T$509,N$21)</f>
        <v/>
      </c>
      <c r="O45" s="32">
        <f>SUMIFS(Hours_Log!$E$5:$E$1004,Hours_Log!$A$5:$A$1004,"&gt;="&amp;$I45,Hours_Log!$A$5:$A$1004,"&lt;"&amp;$I45+Inputs!$C$18,Hours_Log!$D$5:$D$1004,O$21)+SUMIFS(Toggl_Import!$U$10:$U$509,Toggl_Import!$R$10:$R$509,"&gt;="&amp;$I45,Toggl_Import!$R$10:$R$509,"&lt;"&amp;$I45+Inputs!$C$18,Toggl_Import!$T$10:$T$509,O$21)</f>
        <v/>
      </c>
      <c r="P45" s="32">
        <f>SUMIFS(Hours_Log!$E$5:$E$1004,Hours_Log!$A$5:$A$1004,"&gt;="&amp;$I45,Hours_Log!$A$5:$A$1004,"&lt;"&amp;$I45+Inputs!$C$18,Hours_Log!$D$5:$D$1004,P$21)+SUMIFS(Toggl_Import!$U$10:$U$509,Toggl_Import!$R$10:$R$509,"&gt;="&amp;$I45,Toggl_Import!$R$10:$R$509,"&lt;"&amp;$I45+Inputs!$C$18,Toggl_Import!$T$10:$T$509,P$21)</f>
        <v/>
      </c>
      <c r="Q45" s="34">
        <f>SUM(J45:P45)</f>
        <v/>
      </c>
      <c r="R45" s="32">
        <f>SUMIFS(Hours_Log!$E$5:$E$1004,Hours_Log!$A$5:$A$1004,"&gt;="&amp;$I45,Hours_Log!$A$5:$A$1004,"&lt;"&amp;$I45+Inputs!$C$18,Hours_Log!$B$5:$B$1004,Inputs!$C$24&amp;"*")+SUMIFS(Toggl_Import!$U$10:$U$509,Toggl_Import!$R$10:$R$509,"&gt;="&amp;$I45,Toggl_Import!$R$10:$R$509,"&lt;"&amp;$I45+Inputs!$C$18,Toggl_Import!$S$10:$S$509,Inputs!$C$24&amp;"*")</f>
        <v/>
      </c>
    </row>
    <row r="46">
      <c r="A46" s="91" t="n"/>
      <c r="B46" s="92" t="n"/>
      <c r="C46" s="92" t="n"/>
      <c r="D46" s="92" t="n"/>
      <c r="E46" s="93" t="n"/>
      <c r="F46" s="92" t="n"/>
      <c r="H46" t="n">
        <v>25</v>
      </c>
      <c r="I46" s="17">
        <f>I45+Inputs!$C$18</f>
        <v/>
      </c>
      <c r="J46" s="32">
        <f>SUMIFS(Hours_Log!$E$5:$E$1004,Hours_Log!$A$5:$A$1004,"&gt;="&amp;$I46,Hours_Log!$A$5:$A$1004,"&lt;"&amp;$I46+Inputs!$C$18,Hours_Log!$D$5:$D$1004,J$21)+SUMIFS(Toggl_Import!$U$10:$U$509,Toggl_Import!$R$10:$R$509,"&gt;="&amp;$I46,Toggl_Import!$R$10:$R$509,"&lt;"&amp;$I46+Inputs!$C$18,Toggl_Import!$T$10:$T$509,J$21)</f>
        <v/>
      </c>
      <c r="K46" s="32">
        <f>SUMIFS(Hours_Log!$E$5:$E$1004,Hours_Log!$A$5:$A$1004,"&gt;="&amp;$I46,Hours_Log!$A$5:$A$1004,"&lt;"&amp;$I46+Inputs!$C$18,Hours_Log!$D$5:$D$1004,K$21)+SUMIFS(Toggl_Import!$U$10:$U$509,Toggl_Import!$R$10:$R$509,"&gt;="&amp;$I46,Toggl_Import!$R$10:$R$509,"&lt;"&amp;$I46+Inputs!$C$18,Toggl_Import!$T$10:$T$509,K$21)</f>
        <v/>
      </c>
      <c r="L46" s="32">
        <f>SUMIFS(Hours_Log!$E$5:$E$1004,Hours_Log!$A$5:$A$1004,"&gt;="&amp;$I46,Hours_Log!$A$5:$A$1004,"&lt;"&amp;$I46+Inputs!$C$18,Hours_Log!$D$5:$D$1004,L$21)+SUMIFS(Toggl_Import!$U$10:$U$509,Toggl_Import!$R$10:$R$509,"&gt;="&amp;$I46,Toggl_Import!$R$10:$R$509,"&lt;"&amp;$I46+Inputs!$C$18,Toggl_Import!$T$10:$T$509,L$21)</f>
        <v/>
      </c>
      <c r="M46" s="32">
        <f>SUMIFS(Hours_Log!$E$5:$E$1004,Hours_Log!$A$5:$A$1004,"&gt;="&amp;$I46,Hours_Log!$A$5:$A$1004,"&lt;"&amp;$I46+Inputs!$C$18,Hours_Log!$D$5:$D$1004,M$21)+SUMIFS(Toggl_Import!$U$10:$U$509,Toggl_Import!$R$10:$R$509,"&gt;="&amp;$I46,Toggl_Import!$R$10:$R$509,"&lt;"&amp;$I46+Inputs!$C$18,Toggl_Import!$T$10:$T$509,M$21)</f>
        <v/>
      </c>
      <c r="N46" s="32">
        <f>SUMIFS(Hours_Log!$E$5:$E$1004,Hours_Log!$A$5:$A$1004,"&gt;="&amp;$I46,Hours_Log!$A$5:$A$1004,"&lt;"&amp;$I46+Inputs!$C$18,Hours_Log!$D$5:$D$1004,N$21)+SUMIFS(Toggl_Import!$U$10:$U$509,Toggl_Import!$R$10:$R$509,"&gt;="&amp;$I46,Toggl_Import!$R$10:$R$509,"&lt;"&amp;$I46+Inputs!$C$18,Toggl_Import!$T$10:$T$509,N$21)</f>
        <v/>
      </c>
      <c r="O46" s="32">
        <f>SUMIFS(Hours_Log!$E$5:$E$1004,Hours_Log!$A$5:$A$1004,"&gt;="&amp;$I46,Hours_Log!$A$5:$A$1004,"&lt;"&amp;$I46+Inputs!$C$18,Hours_Log!$D$5:$D$1004,O$21)+SUMIFS(Toggl_Import!$U$10:$U$509,Toggl_Import!$R$10:$R$509,"&gt;="&amp;$I46,Toggl_Import!$R$10:$R$509,"&lt;"&amp;$I46+Inputs!$C$18,Toggl_Import!$T$10:$T$509,O$21)</f>
        <v/>
      </c>
      <c r="P46" s="32">
        <f>SUMIFS(Hours_Log!$E$5:$E$1004,Hours_Log!$A$5:$A$1004,"&gt;="&amp;$I46,Hours_Log!$A$5:$A$1004,"&lt;"&amp;$I46+Inputs!$C$18,Hours_Log!$D$5:$D$1004,P$21)+SUMIFS(Toggl_Import!$U$10:$U$509,Toggl_Import!$R$10:$R$509,"&gt;="&amp;$I46,Toggl_Import!$R$10:$R$509,"&lt;"&amp;$I46+Inputs!$C$18,Toggl_Import!$T$10:$T$509,P$21)</f>
        <v/>
      </c>
      <c r="Q46" s="34">
        <f>SUM(J46:P46)</f>
        <v/>
      </c>
      <c r="R46" s="32">
        <f>SUMIFS(Hours_Log!$E$5:$E$1004,Hours_Log!$A$5:$A$1004,"&gt;="&amp;$I46,Hours_Log!$A$5:$A$1004,"&lt;"&amp;$I46+Inputs!$C$18,Hours_Log!$B$5:$B$1004,Inputs!$C$24&amp;"*")+SUMIFS(Toggl_Import!$U$10:$U$509,Toggl_Import!$R$10:$R$509,"&gt;="&amp;$I46,Toggl_Import!$R$10:$R$509,"&lt;"&amp;$I46+Inputs!$C$18,Toggl_Import!$S$10:$S$509,Inputs!$C$24&amp;"*")</f>
        <v/>
      </c>
    </row>
    <row r="47">
      <c r="A47" s="91" t="n"/>
      <c r="B47" s="92" t="n"/>
      <c r="C47" s="92" t="n"/>
      <c r="D47" s="92" t="n"/>
      <c r="E47" s="93" t="n"/>
      <c r="F47" s="92" t="n"/>
      <c r="H47" t="n">
        <v>26</v>
      </c>
      <c r="I47" s="17">
        <f>I46+Inputs!$C$18</f>
        <v/>
      </c>
      <c r="J47" s="32">
        <f>SUMIFS(Hours_Log!$E$5:$E$1004,Hours_Log!$A$5:$A$1004,"&gt;="&amp;$I47,Hours_Log!$A$5:$A$1004,"&lt;"&amp;$I47+Inputs!$C$18,Hours_Log!$D$5:$D$1004,J$21)+SUMIFS(Toggl_Import!$U$10:$U$509,Toggl_Import!$R$10:$R$509,"&gt;="&amp;$I47,Toggl_Import!$R$10:$R$509,"&lt;"&amp;$I47+Inputs!$C$18,Toggl_Import!$T$10:$T$509,J$21)</f>
        <v/>
      </c>
      <c r="K47" s="32">
        <f>SUMIFS(Hours_Log!$E$5:$E$1004,Hours_Log!$A$5:$A$1004,"&gt;="&amp;$I47,Hours_Log!$A$5:$A$1004,"&lt;"&amp;$I47+Inputs!$C$18,Hours_Log!$D$5:$D$1004,K$21)+SUMIFS(Toggl_Import!$U$10:$U$509,Toggl_Import!$R$10:$R$509,"&gt;="&amp;$I47,Toggl_Import!$R$10:$R$509,"&lt;"&amp;$I47+Inputs!$C$18,Toggl_Import!$T$10:$T$509,K$21)</f>
        <v/>
      </c>
      <c r="L47" s="32">
        <f>SUMIFS(Hours_Log!$E$5:$E$1004,Hours_Log!$A$5:$A$1004,"&gt;="&amp;$I47,Hours_Log!$A$5:$A$1004,"&lt;"&amp;$I47+Inputs!$C$18,Hours_Log!$D$5:$D$1004,L$21)+SUMIFS(Toggl_Import!$U$10:$U$509,Toggl_Import!$R$10:$R$509,"&gt;="&amp;$I47,Toggl_Import!$R$10:$R$509,"&lt;"&amp;$I47+Inputs!$C$18,Toggl_Import!$T$10:$T$509,L$21)</f>
        <v/>
      </c>
      <c r="M47" s="32">
        <f>SUMIFS(Hours_Log!$E$5:$E$1004,Hours_Log!$A$5:$A$1004,"&gt;="&amp;$I47,Hours_Log!$A$5:$A$1004,"&lt;"&amp;$I47+Inputs!$C$18,Hours_Log!$D$5:$D$1004,M$21)+SUMIFS(Toggl_Import!$U$10:$U$509,Toggl_Import!$R$10:$R$509,"&gt;="&amp;$I47,Toggl_Import!$R$10:$R$509,"&lt;"&amp;$I47+Inputs!$C$18,Toggl_Import!$T$10:$T$509,M$21)</f>
        <v/>
      </c>
      <c r="N47" s="32">
        <f>SUMIFS(Hours_Log!$E$5:$E$1004,Hours_Log!$A$5:$A$1004,"&gt;="&amp;$I47,Hours_Log!$A$5:$A$1004,"&lt;"&amp;$I47+Inputs!$C$18,Hours_Log!$D$5:$D$1004,N$21)+SUMIFS(Toggl_Import!$U$10:$U$509,Toggl_Import!$R$10:$R$509,"&gt;="&amp;$I47,Toggl_Import!$R$10:$R$509,"&lt;"&amp;$I47+Inputs!$C$18,Toggl_Import!$T$10:$T$509,N$21)</f>
        <v/>
      </c>
      <c r="O47" s="32">
        <f>SUMIFS(Hours_Log!$E$5:$E$1004,Hours_Log!$A$5:$A$1004,"&gt;="&amp;$I47,Hours_Log!$A$5:$A$1004,"&lt;"&amp;$I47+Inputs!$C$18,Hours_Log!$D$5:$D$1004,O$21)+SUMIFS(Toggl_Import!$U$10:$U$509,Toggl_Import!$R$10:$R$509,"&gt;="&amp;$I47,Toggl_Import!$R$10:$R$509,"&lt;"&amp;$I47+Inputs!$C$18,Toggl_Import!$T$10:$T$509,O$21)</f>
        <v/>
      </c>
      <c r="P47" s="32">
        <f>SUMIFS(Hours_Log!$E$5:$E$1004,Hours_Log!$A$5:$A$1004,"&gt;="&amp;$I47,Hours_Log!$A$5:$A$1004,"&lt;"&amp;$I47+Inputs!$C$18,Hours_Log!$D$5:$D$1004,P$21)+SUMIFS(Toggl_Import!$U$10:$U$509,Toggl_Import!$R$10:$R$509,"&gt;="&amp;$I47,Toggl_Import!$R$10:$R$509,"&lt;"&amp;$I47+Inputs!$C$18,Toggl_Import!$T$10:$T$509,P$21)</f>
        <v/>
      </c>
      <c r="Q47" s="34">
        <f>SUM(J47:P47)</f>
        <v/>
      </c>
      <c r="R47" s="32">
        <f>SUMIFS(Hours_Log!$E$5:$E$1004,Hours_Log!$A$5:$A$1004,"&gt;="&amp;$I47,Hours_Log!$A$5:$A$1004,"&lt;"&amp;$I47+Inputs!$C$18,Hours_Log!$B$5:$B$1004,Inputs!$C$24&amp;"*")+SUMIFS(Toggl_Import!$U$10:$U$509,Toggl_Import!$R$10:$R$509,"&gt;="&amp;$I47,Toggl_Import!$R$10:$R$509,"&lt;"&amp;$I47+Inputs!$C$18,Toggl_Import!$S$10:$S$509,Inputs!$C$24&amp;"*")</f>
        <v/>
      </c>
    </row>
    <row r="48">
      <c r="A48" s="91" t="n"/>
      <c r="B48" s="92" t="n"/>
      <c r="C48" s="92" t="n"/>
      <c r="D48" s="92" t="n"/>
      <c r="E48" s="93" t="n"/>
      <c r="F48" s="92" t="n"/>
      <c r="H48" t="inlineStr">
        <is>
          <t>Six months</t>
        </is>
      </c>
      <c r="J48" s="34">
        <f>SUM(J22:J47)</f>
        <v/>
      </c>
      <c r="K48" s="34">
        <f>SUM(K22:K47)</f>
        <v/>
      </c>
      <c r="L48" s="34">
        <f>SUM(L22:L47)</f>
        <v/>
      </c>
      <c r="M48" s="34">
        <f>SUM(M22:M47)</f>
        <v/>
      </c>
      <c r="N48" s="34">
        <f>SUM(N22:N47)</f>
        <v/>
      </c>
      <c r="O48" s="34">
        <f>SUM(O22:O47)</f>
        <v/>
      </c>
      <c r="P48" s="34">
        <f>SUM(P22:P47)</f>
        <v/>
      </c>
      <c r="Q48" s="34">
        <f>SUM(Q22:Q47)</f>
        <v/>
      </c>
      <c r="R48" s="34">
        <f>SUM(R22:R47)</f>
        <v/>
      </c>
    </row>
    <row r="49">
      <c r="A49" s="91" t="n"/>
      <c r="B49" s="92" t="n"/>
      <c r="C49" s="92" t="n"/>
      <c r="D49" s="92" t="n"/>
      <c r="E49" s="93" t="n"/>
      <c r="F49" s="92" t="n"/>
    </row>
    <row r="50">
      <c r="A50" s="91" t="n"/>
      <c r="B50" s="92" t="n"/>
      <c r="C50" s="92" t="n"/>
      <c r="D50" s="92" t="n"/>
      <c r="E50" s="93" t="n"/>
      <c r="F50" s="92" t="n"/>
      <c r="H50" t="inlineStr">
        <is>
          <t>Invalid activity keys in the hand log (should be 0)</t>
        </is>
      </c>
      <c r="Q50" s="19">
        <f>COUNTA(Hours_Log!$D$5:$D$1004)-SUMPRODUCT(COUNTIF(Hours_Log!$D$5:$D$1004,Lists!$C$4:$C$10))</f>
        <v/>
      </c>
    </row>
    <row r="51">
      <c r="A51" s="91" t="n"/>
      <c r="B51" s="92" t="n"/>
      <c r="C51" s="92" t="n"/>
      <c r="D51" s="92" t="n"/>
      <c r="E51" s="93" t="n"/>
      <c r="F51" s="92" t="n"/>
      <c r="H51" t="inlineStr">
        <is>
          <t>Rows whose drop_id is not on Schedule (should be 0)</t>
        </is>
      </c>
      <c r="Q51" s="19">
        <f>SUMPRODUCT((Hours_Log!$B$5:$B$1004&lt;&gt;"")*(COUNTIF(Schedule!$A$7:$A$18,Hours_Log!$B$5:$B$1004)=0))</f>
        <v/>
      </c>
    </row>
    <row r="52">
      <c r="A52" s="91" t="n"/>
      <c r="B52" s="92" t="n"/>
      <c r="C52" s="92" t="n"/>
      <c r="D52" s="92" t="n"/>
      <c r="E52" s="93" t="n"/>
      <c r="F52" s="92" t="n"/>
      <c r="H52" t="inlineStr">
        <is>
          <t>Hours outside the 26 weeks (dated before week 1 or after week 26)</t>
        </is>
      </c>
      <c r="Q52" s="34">
        <f>P17-Q48</f>
        <v/>
      </c>
    </row>
    <row r="53">
      <c r="A53" s="91" t="n"/>
      <c r="B53" s="92" t="n"/>
      <c r="C53" s="92" t="n"/>
      <c r="D53" s="92" t="n"/>
      <c r="E53" s="93" t="n"/>
      <c r="F53" s="92" t="n"/>
    </row>
    <row r="54">
      <c r="A54" s="91" t="n"/>
      <c r="B54" s="92" t="n"/>
      <c r="C54" s="92" t="n"/>
      <c r="D54" s="92" t="n"/>
      <c r="E54" s="93" t="n"/>
      <c r="F54" s="92" t="n"/>
    </row>
    <row r="55">
      <c r="A55" s="91" t="n"/>
      <c r="B55" s="92" t="n"/>
      <c r="C55" s="92" t="n"/>
      <c r="D55" s="92" t="n"/>
      <c r="E55" s="93" t="n"/>
      <c r="F55" s="92" t="n"/>
    </row>
    <row r="56">
      <c r="A56" s="91" t="n"/>
      <c r="B56" s="92" t="n"/>
      <c r="C56" s="92" t="n"/>
      <c r="D56" s="92" t="n"/>
      <c r="E56" s="93" t="n"/>
      <c r="F56" s="92" t="n"/>
    </row>
    <row r="57">
      <c r="A57" s="91" t="n"/>
      <c r="B57" s="92" t="n"/>
      <c r="C57" s="92" t="n"/>
      <c r="D57" s="92" t="n"/>
      <c r="E57" s="93" t="n"/>
      <c r="F57" s="92" t="n"/>
    </row>
    <row r="58">
      <c r="A58" s="91" t="n"/>
      <c r="B58" s="92" t="n"/>
      <c r="C58" s="92" t="n"/>
      <c r="D58" s="92" t="n"/>
      <c r="E58" s="93" t="n"/>
      <c r="F58" s="92" t="n"/>
    </row>
    <row r="59">
      <c r="A59" s="91" t="n"/>
      <c r="B59" s="92" t="n"/>
      <c r="C59" s="92" t="n"/>
      <c r="D59" s="92" t="n"/>
      <c r="E59" s="93" t="n"/>
      <c r="F59" s="92" t="n"/>
    </row>
    <row r="60">
      <c r="A60" s="91" t="n"/>
      <c r="B60" s="92" t="n"/>
      <c r="C60" s="92" t="n"/>
      <c r="D60" s="92" t="n"/>
      <c r="E60" s="93" t="n"/>
      <c r="F60" s="92" t="n"/>
    </row>
    <row r="61">
      <c r="A61" s="91" t="n"/>
      <c r="B61" s="92" t="n"/>
      <c r="C61" s="92" t="n"/>
      <c r="D61" s="92" t="n"/>
      <c r="E61" s="93" t="n"/>
      <c r="F61" s="92" t="n"/>
    </row>
    <row r="62">
      <c r="A62" s="91" t="n"/>
      <c r="B62" s="92" t="n"/>
      <c r="C62" s="92" t="n"/>
      <c r="D62" s="92" t="n"/>
      <c r="E62" s="93" t="n"/>
      <c r="F62" s="92" t="n"/>
    </row>
    <row r="63">
      <c r="A63" s="91" t="n"/>
      <c r="B63" s="92" t="n"/>
      <c r="C63" s="92" t="n"/>
      <c r="D63" s="92" t="n"/>
      <c r="E63" s="93" t="n"/>
      <c r="F63" s="92" t="n"/>
    </row>
    <row r="64">
      <c r="A64" s="91" t="n"/>
      <c r="B64" s="92" t="n"/>
      <c r="C64" s="92" t="n"/>
      <c r="D64" s="92" t="n"/>
      <c r="E64" s="93" t="n"/>
      <c r="F64" s="92" t="n"/>
    </row>
    <row r="65">
      <c r="A65" s="91" t="n"/>
      <c r="B65" s="92" t="n"/>
      <c r="C65" s="92" t="n"/>
      <c r="D65" s="92" t="n"/>
      <c r="E65" s="93" t="n"/>
      <c r="F65" s="92" t="n"/>
    </row>
    <row r="66">
      <c r="A66" s="91" t="n"/>
      <c r="B66" s="92" t="n"/>
      <c r="C66" s="92" t="n"/>
      <c r="D66" s="92" t="n"/>
      <c r="E66" s="93" t="n"/>
      <c r="F66" s="92" t="n"/>
    </row>
    <row r="67">
      <c r="A67" s="91" t="n"/>
      <c r="B67" s="92" t="n"/>
      <c r="C67" s="92" t="n"/>
      <c r="D67" s="92" t="n"/>
      <c r="E67" s="93" t="n"/>
      <c r="F67" s="92" t="n"/>
    </row>
    <row r="68">
      <c r="A68" s="91" t="n"/>
      <c r="B68" s="92" t="n"/>
      <c r="C68" s="92" t="n"/>
      <c r="D68" s="92" t="n"/>
      <c r="E68" s="93" t="n"/>
      <c r="F68" s="92" t="n"/>
    </row>
    <row r="69">
      <c r="A69" s="91" t="n"/>
      <c r="B69" s="92" t="n"/>
      <c r="C69" s="92" t="n"/>
      <c r="D69" s="92" t="n"/>
      <c r="E69" s="93" t="n"/>
      <c r="F69" s="92" t="n"/>
    </row>
    <row r="70">
      <c r="A70" s="91" t="n"/>
      <c r="B70" s="92" t="n"/>
      <c r="C70" s="92" t="n"/>
      <c r="D70" s="92" t="n"/>
      <c r="E70" s="93" t="n"/>
      <c r="F70" s="92" t="n"/>
    </row>
    <row r="71">
      <c r="A71" s="91" t="n"/>
      <c r="B71" s="92" t="n"/>
      <c r="C71" s="92" t="n"/>
      <c r="D71" s="92" t="n"/>
      <c r="E71" s="93" t="n"/>
      <c r="F71" s="92" t="n"/>
    </row>
    <row r="72">
      <c r="A72" s="91" t="n"/>
      <c r="B72" s="92" t="n"/>
      <c r="C72" s="92" t="n"/>
      <c r="D72" s="92" t="n"/>
      <c r="E72" s="93" t="n"/>
      <c r="F72" s="92" t="n"/>
    </row>
    <row r="73">
      <c r="A73" s="91" t="n"/>
      <c r="B73" s="92" t="n"/>
      <c r="C73" s="92" t="n"/>
      <c r="D73" s="92" t="n"/>
      <c r="E73" s="93" t="n"/>
      <c r="F73" s="92" t="n"/>
    </row>
    <row r="74">
      <c r="A74" s="91" t="n"/>
      <c r="B74" s="92" t="n"/>
      <c r="C74" s="92" t="n"/>
      <c r="D74" s="92" t="n"/>
      <c r="E74" s="93" t="n"/>
      <c r="F74" s="92" t="n"/>
    </row>
    <row r="75">
      <c r="A75" s="91" t="n"/>
      <c r="B75" s="92" t="n"/>
      <c r="C75" s="92" t="n"/>
      <c r="D75" s="92" t="n"/>
      <c r="E75" s="93" t="n"/>
      <c r="F75" s="92" t="n"/>
    </row>
    <row r="76">
      <c r="A76" s="91" t="n"/>
      <c r="B76" s="92" t="n"/>
      <c r="C76" s="92" t="n"/>
      <c r="D76" s="92" t="n"/>
      <c r="E76" s="93" t="n"/>
      <c r="F76" s="92" t="n"/>
    </row>
    <row r="77">
      <c r="A77" s="91" t="n"/>
      <c r="B77" s="92" t="n"/>
      <c r="C77" s="92" t="n"/>
      <c r="D77" s="92" t="n"/>
      <c r="E77" s="93" t="n"/>
      <c r="F77" s="92" t="n"/>
    </row>
    <row r="78">
      <c r="A78" s="91" t="n"/>
      <c r="B78" s="92" t="n"/>
      <c r="C78" s="92" t="n"/>
      <c r="D78" s="92" t="n"/>
      <c r="E78" s="93" t="n"/>
      <c r="F78" s="92" t="n"/>
    </row>
    <row r="79">
      <c r="A79" s="91" t="n"/>
      <c r="B79" s="92" t="n"/>
      <c r="C79" s="92" t="n"/>
      <c r="D79" s="92" t="n"/>
      <c r="E79" s="93" t="n"/>
      <c r="F79" s="92" t="n"/>
    </row>
    <row r="80">
      <c r="A80" s="91" t="n"/>
      <c r="B80" s="92" t="n"/>
      <c r="C80" s="92" t="n"/>
      <c r="D80" s="92" t="n"/>
      <c r="E80" s="93" t="n"/>
      <c r="F80" s="92" t="n"/>
    </row>
    <row r="81">
      <c r="A81" s="91" t="n"/>
      <c r="B81" s="92" t="n"/>
      <c r="C81" s="92" t="n"/>
      <c r="D81" s="92" t="n"/>
      <c r="E81" s="93" t="n"/>
      <c r="F81" s="92" t="n"/>
    </row>
    <row r="82">
      <c r="A82" s="91" t="n"/>
      <c r="B82" s="92" t="n"/>
      <c r="C82" s="92" t="n"/>
      <c r="D82" s="92" t="n"/>
      <c r="E82" s="93" t="n"/>
      <c r="F82" s="92" t="n"/>
    </row>
    <row r="83">
      <c r="A83" s="91" t="n"/>
      <c r="B83" s="92" t="n"/>
      <c r="C83" s="92" t="n"/>
      <c r="D83" s="92" t="n"/>
      <c r="E83" s="93" t="n"/>
      <c r="F83" s="92" t="n"/>
    </row>
    <row r="84">
      <c r="A84" s="91" t="n"/>
      <c r="B84" s="92" t="n"/>
      <c r="C84" s="92" t="n"/>
      <c r="D84" s="92" t="n"/>
      <c r="E84" s="93" t="n"/>
      <c r="F84" s="92" t="n"/>
    </row>
    <row r="85">
      <c r="A85" s="91" t="n"/>
      <c r="B85" s="92" t="n"/>
      <c r="C85" s="92" t="n"/>
      <c r="D85" s="92" t="n"/>
      <c r="E85" s="93" t="n"/>
      <c r="F85" s="92" t="n"/>
    </row>
    <row r="86">
      <c r="A86" s="91" t="n"/>
      <c r="B86" s="92" t="n"/>
      <c r="C86" s="92" t="n"/>
      <c r="D86" s="92" t="n"/>
      <c r="E86" s="93" t="n"/>
      <c r="F86" s="92" t="n"/>
    </row>
    <row r="87">
      <c r="A87" s="91" t="n"/>
      <c r="B87" s="92" t="n"/>
      <c r="C87" s="92" t="n"/>
      <c r="D87" s="92" t="n"/>
      <c r="E87" s="93" t="n"/>
      <c r="F87" s="92" t="n"/>
    </row>
    <row r="88">
      <c r="A88" s="91" t="n"/>
      <c r="B88" s="92" t="n"/>
      <c r="C88" s="92" t="n"/>
      <c r="D88" s="92" t="n"/>
      <c r="E88" s="93" t="n"/>
      <c r="F88" s="92" t="n"/>
    </row>
    <row r="89">
      <c r="A89" s="91" t="n"/>
      <c r="B89" s="92" t="n"/>
      <c r="C89" s="92" t="n"/>
      <c r="D89" s="92" t="n"/>
      <c r="E89" s="93" t="n"/>
      <c r="F89" s="92" t="n"/>
    </row>
    <row r="90">
      <c r="A90" s="91" t="n"/>
      <c r="B90" s="92" t="n"/>
      <c r="C90" s="92" t="n"/>
      <c r="D90" s="92" t="n"/>
      <c r="E90" s="93" t="n"/>
      <c r="F90" s="92" t="n"/>
    </row>
    <row r="91">
      <c r="A91" s="91" t="n"/>
      <c r="B91" s="92" t="n"/>
      <c r="C91" s="92" t="n"/>
      <c r="D91" s="92" t="n"/>
      <c r="E91" s="93" t="n"/>
      <c r="F91" s="92" t="n"/>
    </row>
    <row r="92">
      <c r="A92" s="91" t="n"/>
      <c r="B92" s="92" t="n"/>
      <c r="C92" s="92" t="n"/>
      <c r="D92" s="92" t="n"/>
      <c r="E92" s="93" t="n"/>
      <c r="F92" s="92" t="n"/>
    </row>
    <row r="93">
      <c r="A93" s="91" t="n"/>
      <c r="B93" s="92" t="n"/>
      <c r="C93" s="92" t="n"/>
      <c r="D93" s="92" t="n"/>
      <c r="E93" s="93" t="n"/>
      <c r="F93" s="92" t="n"/>
    </row>
    <row r="94">
      <c r="A94" s="91" t="n"/>
      <c r="B94" s="92" t="n"/>
      <c r="C94" s="92" t="n"/>
      <c r="D94" s="92" t="n"/>
      <c r="E94" s="93" t="n"/>
      <c r="F94" s="92" t="n"/>
    </row>
    <row r="95">
      <c r="A95" s="91" t="n"/>
      <c r="B95" s="92" t="n"/>
      <c r="C95" s="92" t="n"/>
      <c r="D95" s="92" t="n"/>
      <c r="E95" s="93" t="n"/>
      <c r="F95" s="92" t="n"/>
    </row>
    <row r="96">
      <c r="A96" s="91" t="n"/>
      <c r="B96" s="92" t="n"/>
      <c r="C96" s="92" t="n"/>
      <c r="D96" s="92" t="n"/>
      <c r="E96" s="93" t="n"/>
      <c r="F96" s="92" t="n"/>
    </row>
    <row r="97">
      <c r="A97" s="91" t="n"/>
      <c r="B97" s="92" t="n"/>
      <c r="C97" s="92" t="n"/>
      <c r="D97" s="92" t="n"/>
      <c r="E97" s="93" t="n"/>
      <c r="F97" s="92" t="n"/>
    </row>
    <row r="98">
      <c r="A98" s="91" t="n"/>
      <c r="B98" s="92" t="n"/>
      <c r="C98" s="92" t="n"/>
      <c r="D98" s="92" t="n"/>
      <c r="E98" s="93" t="n"/>
      <c r="F98" s="92" t="n"/>
    </row>
    <row r="99">
      <c r="A99" s="91" t="n"/>
      <c r="B99" s="92" t="n"/>
      <c r="C99" s="92" t="n"/>
      <c r="D99" s="92" t="n"/>
      <c r="E99" s="93" t="n"/>
      <c r="F99" s="92" t="n"/>
    </row>
    <row r="100">
      <c r="A100" s="91" t="n"/>
      <c r="B100" s="92" t="n"/>
      <c r="C100" s="92" t="n"/>
      <c r="D100" s="92" t="n"/>
      <c r="E100" s="93" t="n"/>
      <c r="F100" s="92" t="n"/>
    </row>
    <row r="101">
      <c r="A101" s="91" t="n"/>
      <c r="B101" s="92" t="n"/>
      <c r="C101" s="92" t="n"/>
      <c r="D101" s="92" t="n"/>
      <c r="E101" s="93" t="n"/>
      <c r="F101" s="92" t="n"/>
    </row>
    <row r="102">
      <c r="A102" s="91" t="n"/>
      <c r="B102" s="92" t="n"/>
      <c r="C102" s="92" t="n"/>
      <c r="D102" s="92" t="n"/>
      <c r="E102" s="93" t="n"/>
      <c r="F102" s="92" t="n"/>
    </row>
    <row r="103">
      <c r="A103" s="91" t="n"/>
      <c r="B103" s="92" t="n"/>
      <c r="C103" s="92" t="n"/>
      <c r="D103" s="92" t="n"/>
      <c r="E103" s="93" t="n"/>
      <c r="F103" s="92" t="n"/>
    </row>
    <row r="104">
      <c r="A104" s="91" t="n"/>
      <c r="B104" s="92" t="n"/>
      <c r="C104" s="92" t="n"/>
      <c r="D104" s="92" t="n"/>
      <c r="E104" s="93" t="n"/>
      <c r="F104" s="92" t="n"/>
    </row>
    <row r="105">
      <c r="A105" s="91" t="n"/>
      <c r="B105" s="92" t="n"/>
      <c r="C105" s="92" t="n"/>
      <c r="D105" s="92" t="n"/>
      <c r="E105" s="93" t="n"/>
      <c r="F105" s="92" t="n"/>
    </row>
    <row r="106">
      <c r="A106" s="91" t="n"/>
      <c r="B106" s="92" t="n"/>
      <c r="C106" s="92" t="n"/>
      <c r="D106" s="92" t="n"/>
      <c r="E106" s="93" t="n"/>
      <c r="F106" s="92" t="n"/>
    </row>
    <row r="107">
      <c r="A107" s="91" t="n"/>
      <c r="B107" s="92" t="n"/>
      <c r="C107" s="92" t="n"/>
      <c r="D107" s="92" t="n"/>
      <c r="E107" s="93" t="n"/>
      <c r="F107" s="92" t="n"/>
    </row>
    <row r="108">
      <c r="A108" s="91" t="n"/>
      <c r="B108" s="92" t="n"/>
      <c r="C108" s="92" t="n"/>
      <c r="D108" s="92" t="n"/>
      <c r="E108" s="93" t="n"/>
      <c r="F108" s="92" t="n"/>
    </row>
    <row r="109">
      <c r="A109" s="91" t="n"/>
      <c r="B109" s="92" t="n"/>
      <c r="C109" s="92" t="n"/>
      <c r="D109" s="92" t="n"/>
      <c r="E109" s="93" t="n"/>
      <c r="F109" s="92" t="n"/>
    </row>
    <row r="110">
      <c r="A110" s="91" t="n"/>
      <c r="B110" s="92" t="n"/>
      <c r="C110" s="92" t="n"/>
      <c r="D110" s="92" t="n"/>
      <c r="E110" s="93" t="n"/>
      <c r="F110" s="92" t="n"/>
    </row>
    <row r="111">
      <c r="A111" s="91" t="n"/>
      <c r="B111" s="92" t="n"/>
      <c r="C111" s="92" t="n"/>
      <c r="D111" s="92" t="n"/>
      <c r="E111" s="93" t="n"/>
      <c r="F111" s="92" t="n"/>
    </row>
    <row r="112">
      <c r="A112" s="91" t="n"/>
      <c r="B112" s="92" t="n"/>
      <c r="C112" s="92" t="n"/>
      <c r="D112" s="92" t="n"/>
      <c r="E112" s="93" t="n"/>
      <c r="F112" s="92" t="n"/>
    </row>
    <row r="113">
      <c r="A113" s="91" t="n"/>
      <c r="B113" s="92" t="n"/>
      <c r="C113" s="92" t="n"/>
      <c r="D113" s="92" t="n"/>
      <c r="E113" s="93" t="n"/>
      <c r="F113" s="92" t="n"/>
    </row>
    <row r="114">
      <c r="A114" s="91" t="n"/>
      <c r="B114" s="92" t="n"/>
      <c r="C114" s="92" t="n"/>
      <c r="D114" s="92" t="n"/>
      <c r="E114" s="93" t="n"/>
      <c r="F114" s="92" t="n"/>
    </row>
    <row r="115">
      <c r="A115" s="91" t="n"/>
      <c r="B115" s="92" t="n"/>
      <c r="C115" s="92" t="n"/>
      <c r="D115" s="92" t="n"/>
      <c r="E115" s="93" t="n"/>
      <c r="F115" s="92" t="n"/>
    </row>
    <row r="116">
      <c r="A116" s="91" t="n"/>
      <c r="B116" s="92" t="n"/>
      <c r="C116" s="92" t="n"/>
      <c r="D116" s="92" t="n"/>
      <c r="E116" s="93" t="n"/>
      <c r="F116" s="92" t="n"/>
    </row>
    <row r="117">
      <c r="A117" s="91" t="n"/>
      <c r="B117" s="92" t="n"/>
      <c r="C117" s="92" t="n"/>
      <c r="D117" s="92" t="n"/>
      <c r="E117" s="93" t="n"/>
      <c r="F117" s="92" t="n"/>
    </row>
    <row r="118">
      <c r="A118" s="91" t="n"/>
      <c r="B118" s="92" t="n"/>
      <c r="C118" s="92" t="n"/>
      <c r="D118" s="92" t="n"/>
      <c r="E118" s="93" t="n"/>
      <c r="F118" s="92" t="n"/>
    </row>
    <row r="119">
      <c r="A119" s="91" t="n"/>
      <c r="B119" s="92" t="n"/>
      <c r="C119" s="92" t="n"/>
      <c r="D119" s="92" t="n"/>
      <c r="E119" s="93" t="n"/>
      <c r="F119" s="92" t="n"/>
    </row>
    <row r="120">
      <c r="A120" s="91" t="n"/>
      <c r="B120" s="92" t="n"/>
      <c r="C120" s="92" t="n"/>
      <c r="D120" s="92" t="n"/>
      <c r="E120" s="93" t="n"/>
      <c r="F120" s="92" t="n"/>
    </row>
    <row r="121">
      <c r="A121" s="91" t="n"/>
      <c r="B121" s="92" t="n"/>
      <c r="C121" s="92" t="n"/>
      <c r="D121" s="92" t="n"/>
      <c r="E121" s="93" t="n"/>
      <c r="F121" s="92" t="n"/>
    </row>
    <row r="122">
      <c r="A122" s="91" t="n"/>
      <c r="B122" s="92" t="n"/>
      <c r="C122" s="92" t="n"/>
      <c r="D122" s="92" t="n"/>
      <c r="E122" s="93" t="n"/>
      <c r="F122" s="92" t="n"/>
    </row>
    <row r="123">
      <c r="A123" s="91" t="n"/>
      <c r="B123" s="92" t="n"/>
      <c r="C123" s="92" t="n"/>
      <c r="D123" s="92" t="n"/>
      <c r="E123" s="93" t="n"/>
      <c r="F123" s="92" t="n"/>
    </row>
    <row r="124">
      <c r="A124" s="91" t="n"/>
      <c r="B124" s="92" t="n"/>
      <c r="C124" s="92" t="n"/>
      <c r="D124" s="92" t="n"/>
      <c r="E124" s="93" t="n"/>
      <c r="F124" s="92" t="n"/>
    </row>
    <row r="125">
      <c r="A125" s="91" t="n"/>
      <c r="B125" s="92" t="n"/>
      <c r="C125" s="92" t="n"/>
      <c r="D125" s="92" t="n"/>
      <c r="E125" s="93" t="n"/>
      <c r="F125" s="92" t="n"/>
    </row>
    <row r="126">
      <c r="A126" s="91" t="n"/>
      <c r="B126" s="92" t="n"/>
      <c r="C126" s="92" t="n"/>
      <c r="D126" s="92" t="n"/>
      <c r="E126" s="93" t="n"/>
      <c r="F126" s="92" t="n"/>
    </row>
    <row r="127">
      <c r="A127" s="91" t="n"/>
      <c r="B127" s="92" t="n"/>
      <c r="C127" s="92" t="n"/>
      <c r="D127" s="92" t="n"/>
      <c r="E127" s="93" t="n"/>
      <c r="F127" s="92" t="n"/>
    </row>
    <row r="128">
      <c r="A128" s="91" t="n"/>
      <c r="B128" s="92" t="n"/>
      <c r="C128" s="92" t="n"/>
      <c r="D128" s="92" t="n"/>
      <c r="E128" s="93" t="n"/>
      <c r="F128" s="92" t="n"/>
    </row>
    <row r="129">
      <c r="A129" s="91" t="n"/>
      <c r="B129" s="92" t="n"/>
      <c r="C129" s="92" t="n"/>
      <c r="D129" s="92" t="n"/>
      <c r="E129" s="93" t="n"/>
      <c r="F129" s="92" t="n"/>
    </row>
    <row r="130">
      <c r="A130" s="91" t="n"/>
      <c r="B130" s="92" t="n"/>
      <c r="C130" s="92" t="n"/>
      <c r="D130" s="92" t="n"/>
      <c r="E130" s="93" t="n"/>
      <c r="F130" s="92" t="n"/>
    </row>
    <row r="131">
      <c r="A131" s="91" t="n"/>
      <c r="B131" s="92" t="n"/>
      <c r="C131" s="92" t="n"/>
      <c r="D131" s="92" t="n"/>
      <c r="E131" s="93" t="n"/>
      <c r="F131" s="92" t="n"/>
    </row>
    <row r="132">
      <c r="A132" s="91" t="n"/>
      <c r="B132" s="92" t="n"/>
      <c r="C132" s="92" t="n"/>
      <c r="D132" s="92" t="n"/>
      <c r="E132" s="93" t="n"/>
      <c r="F132" s="92" t="n"/>
    </row>
    <row r="133">
      <c r="A133" s="91" t="n"/>
      <c r="B133" s="92" t="n"/>
      <c r="C133" s="92" t="n"/>
      <c r="D133" s="92" t="n"/>
      <c r="E133" s="93" t="n"/>
      <c r="F133" s="92" t="n"/>
    </row>
    <row r="134">
      <c r="A134" s="91" t="n"/>
      <c r="B134" s="92" t="n"/>
      <c r="C134" s="92" t="n"/>
      <c r="D134" s="92" t="n"/>
      <c r="E134" s="93" t="n"/>
      <c r="F134" s="92" t="n"/>
    </row>
    <row r="135">
      <c r="A135" s="91" t="n"/>
      <c r="B135" s="92" t="n"/>
      <c r="C135" s="92" t="n"/>
      <c r="D135" s="92" t="n"/>
      <c r="E135" s="93" t="n"/>
      <c r="F135" s="92" t="n"/>
    </row>
    <row r="136">
      <c r="A136" s="91" t="n"/>
      <c r="B136" s="92" t="n"/>
      <c r="C136" s="92" t="n"/>
      <c r="D136" s="92" t="n"/>
      <c r="E136" s="93" t="n"/>
      <c r="F136" s="92" t="n"/>
    </row>
    <row r="137">
      <c r="A137" s="91" t="n"/>
      <c r="B137" s="92" t="n"/>
      <c r="C137" s="92" t="n"/>
      <c r="D137" s="92" t="n"/>
      <c r="E137" s="93" t="n"/>
      <c r="F137" s="92" t="n"/>
    </row>
    <row r="138">
      <c r="A138" s="91" t="n"/>
      <c r="B138" s="92" t="n"/>
      <c r="C138" s="92" t="n"/>
      <c r="D138" s="92" t="n"/>
      <c r="E138" s="93" t="n"/>
      <c r="F138" s="92" t="n"/>
    </row>
    <row r="139">
      <c r="A139" s="91" t="n"/>
      <c r="B139" s="92" t="n"/>
      <c r="C139" s="92" t="n"/>
      <c r="D139" s="92" t="n"/>
      <c r="E139" s="93" t="n"/>
      <c r="F139" s="92" t="n"/>
    </row>
    <row r="140">
      <c r="A140" s="91" t="n"/>
      <c r="B140" s="92" t="n"/>
      <c r="C140" s="92" t="n"/>
      <c r="D140" s="92" t="n"/>
      <c r="E140" s="93" t="n"/>
      <c r="F140" s="92" t="n"/>
    </row>
    <row r="141">
      <c r="A141" s="91" t="n"/>
      <c r="B141" s="92" t="n"/>
      <c r="C141" s="92" t="n"/>
      <c r="D141" s="92" t="n"/>
      <c r="E141" s="93" t="n"/>
      <c r="F141" s="92" t="n"/>
    </row>
    <row r="142">
      <c r="A142" s="91" t="n"/>
      <c r="B142" s="92" t="n"/>
      <c r="C142" s="92" t="n"/>
      <c r="D142" s="92" t="n"/>
      <c r="E142" s="93" t="n"/>
      <c r="F142" s="92" t="n"/>
    </row>
    <row r="143">
      <c r="A143" s="91" t="n"/>
      <c r="B143" s="92" t="n"/>
      <c r="C143" s="92" t="n"/>
      <c r="D143" s="92" t="n"/>
      <c r="E143" s="93" t="n"/>
      <c r="F143" s="92" t="n"/>
    </row>
    <row r="144">
      <c r="A144" s="91" t="n"/>
      <c r="B144" s="92" t="n"/>
      <c r="C144" s="92" t="n"/>
      <c r="D144" s="92" t="n"/>
      <c r="E144" s="93" t="n"/>
      <c r="F144" s="92" t="n"/>
    </row>
    <row r="145">
      <c r="A145" s="91" t="n"/>
      <c r="B145" s="92" t="n"/>
      <c r="C145" s="92" t="n"/>
      <c r="D145" s="92" t="n"/>
      <c r="E145" s="93" t="n"/>
      <c r="F145" s="92" t="n"/>
    </row>
    <row r="146">
      <c r="A146" s="91" t="n"/>
      <c r="B146" s="92" t="n"/>
      <c r="C146" s="92" t="n"/>
      <c r="D146" s="92" t="n"/>
      <c r="E146" s="93" t="n"/>
      <c r="F146" s="92" t="n"/>
    </row>
    <row r="147">
      <c r="A147" s="91" t="n"/>
      <c r="B147" s="92" t="n"/>
      <c r="C147" s="92" t="n"/>
      <c r="D147" s="92" t="n"/>
      <c r="E147" s="93" t="n"/>
      <c r="F147" s="92" t="n"/>
    </row>
    <row r="148">
      <c r="A148" s="91" t="n"/>
      <c r="B148" s="92" t="n"/>
      <c r="C148" s="92" t="n"/>
      <c r="D148" s="92" t="n"/>
      <c r="E148" s="93" t="n"/>
      <c r="F148" s="92" t="n"/>
    </row>
    <row r="149">
      <c r="A149" s="91" t="n"/>
      <c r="B149" s="92" t="n"/>
      <c r="C149" s="92" t="n"/>
      <c r="D149" s="92" t="n"/>
      <c r="E149" s="93" t="n"/>
      <c r="F149" s="92" t="n"/>
    </row>
    <row r="150">
      <c r="A150" s="91" t="n"/>
      <c r="B150" s="92" t="n"/>
      <c r="C150" s="92" t="n"/>
      <c r="D150" s="92" t="n"/>
      <c r="E150" s="93" t="n"/>
      <c r="F150" s="92" t="n"/>
    </row>
    <row r="151">
      <c r="A151" s="91" t="n"/>
      <c r="B151" s="92" t="n"/>
      <c r="C151" s="92" t="n"/>
      <c r="D151" s="92" t="n"/>
      <c r="E151" s="93" t="n"/>
      <c r="F151" s="92" t="n"/>
    </row>
    <row r="152">
      <c r="A152" s="91" t="n"/>
      <c r="B152" s="92" t="n"/>
      <c r="C152" s="92" t="n"/>
      <c r="D152" s="92" t="n"/>
      <c r="E152" s="93" t="n"/>
      <c r="F152" s="92" t="n"/>
    </row>
    <row r="153">
      <c r="A153" s="91" t="n"/>
      <c r="B153" s="92" t="n"/>
      <c r="C153" s="92" t="n"/>
      <c r="D153" s="92" t="n"/>
      <c r="E153" s="93" t="n"/>
      <c r="F153" s="92" t="n"/>
    </row>
    <row r="154">
      <c r="A154" s="91" t="n"/>
      <c r="B154" s="92" t="n"/>
      <c r="C154" s="92" t="n"/>
      <c r="D154" s="92" t="n"/>
      <c r="E154" s="93" t="n"/>
      <c r="F154" s="92" t="n"/>
    </row>
    <row r="155">
      <c r="A155" s="91" t="n"/>
      <c r="B155" s="92" t="n"/>
      <c r="C155" s="92" t="n"/>
      <c r="D155" s="92" t="n"/>
      <c r="E155" s="93" t="n"/>
      <c r="F155" s="92" t="n"/>
    </row>
    <row r="156">
      <c r="A156" s="91" t="n"/>
      <c r="B156" s="92" t="n"/>
      <c r="C156" s="92" t="n"/>
      <c r="D156" s="92" t="n"/>
      <c r="E156" s="93" t="n"/>
      <c r="F156" s="92" t="n"/>
    </row>
    <row r="157">
      <c r="A157" s="91" t="n"/>
      <c r="B157" s="92" t="n"/>
      <c r="C157" s="92" t="n"/>
      <c r="D157" s="92" t="n"/>
      <c r="E157" s="93" t="n"/>
      <c r="F157" s="92" t="n"/>
    </row>
    <row r="158">
      <c r="A158" s="91" t="n"/>
      <c r="B158" s="92" t="n"/>
      <c r="C158" s="92" t="n"/>
      <c r="D158" s="92" t="n"/>
      <c r="E158" s="93" t="n"/>
      <c r="F158" s="92" t="n"/>
    </row>
    <row r="159">
      <c r="A159" s="91" t="n"/>
      <c r="B159" s="92" t="n"/>
      <c r="C159" s="92" t="n"/>
      <c r="D159" s="92" t="n"/>
      <c r="E159" s="93" t="n"/>
      <c r="F159" s="92" t="n"/>
    </row>
    <row r="160">
      <c r="A160" s="91" t="n"/>
      <c r="B160" s="92" t="n"/>
      <c r="C160" s="92" t="n"/>
      <c r="D160" s="92" t="n"/>
      <c r="E160" s="93" t="n"/>
      <c r="F160" s="92" t="n"/>
    </row>
    <row r="161">
      <c r="A161" s="91" t="n"/>
      <c r="B161" s="92" t="n"/>
      <c r="C161" s="92" t="n"/>
      <c r="D161" s="92" t="n"/>
      <c r="E161" s="93" t="n"/>
      <c r="F161" s="92" t="n"/>
    </row>
    <row r="162">
      <c r="A162" s="91" t="n"/>
      <c r="B162" s="92" t="n"/>
      <c r="C162" s="92" t="n"/>
      <c r="D162" s="92" t="n"/>
      <c r="E162" s="93" t="n"/>
      <c r="F162" s="92" t="n"/>
    </row>
    <row r="163">
      <c r="A163" s="91" t="n"/>
      <c r="B163" s="92" t="n"/>
      <c r="C163" s="92" t="n"/>
      <c r="D163" s="92" t="n"/>
      <c r="E163" s="93" t="n"/>
      <c r="F163" s="92" t="n"/>
    </row>
    <row r="164">
      <c r="A164" s="91" t="n"/>
      <c r="B164" s="92" t="n"/>
      <c r="C164" s="92" t="n"/>
      <c r="D164" s="92" t="n"/>
      <c r="E164" s="93" t="n"/>
      <c r="F164" s="92" t="n"/>
    </row>
    <row r="165">
      <c r="A165" s="91" t="n"/>
      <c r="B165" s="92" t="n"/>
      <c r="C165" s="92" t="n"/>
      <c r="D165" s="92" t="n"/>
      <c r="E165" s="93" t="n"/>
      <c r="F165" s="92" t="n"/>
    </row>
    <row r="166">
      <c r="A166" s="91" t="n"/>
      <c r="B166" s="92" t="n"/>
      <c r="C166" s="92" t="n"/>
      <c r="D166" s="92" t="n"/>
      <c r="E166" s="93" t="n"/>
      <c r="F166" s="92" t="n"/>
    </row>
    <row r="167">
      <c r="A167" s="91" t="n"/>
      <c r="B167" s="92" t="n"/>
      <c r="C167" s="92" t="n"/>
      <c r="D167" s="92" t="n"/>
      <c r="E167" s="93" t="n"/>
      <c r="F167" s="92" t="n"/>
    </row>
    <row r="168">
      <c r="A168" s="91" t="n"/>
      <c r="B168" s="92" t="n"/>
      <c r="C168" s="92" t="n"/>
      <c r="D168" s="92" t="n"/>
      <c r="E168" s="93" t="n"/>
      <c r="F168" s="92" t="n"/>
    </row>
    <row r="169">
      <c r="A169" s="91" t="n"/>
      <c r="B169" s="92" t="n"/>
      <c r="C169" s="92" t="n"/>
      <c r="D169" s="92" t="n"/>
      <c r="E169" s="93" t="n"/>
      <c r="F169" s="92" t="n"/>
    </row>
    <row r="170">
      <c r="A170" s="91" t="n"/>
      <c r="B170" s="92" t="n"/>
      <c r="C170" s="92" t="n"/>
      <c r="D170" s="92" t="n"/>
      <c r="E170" s="93" t="n"/>
      <c r="F170" s="92" t="n"/>
    </row>
    <row r="171">
      <c r="A171" s="91" t="n"/>
      <c r="B171" s="92" t="n"/>
      <c r="C171" s="92" t="n"/>
      <c r="D171" s="92" t="n"/>
      <c r="E171" s="93" t="n"/>
      <c r="F171" s="92" t="n"/>
    </row>
    <row r="172">
      <c r="A172" s="91" t="n"/>
      <c r="B172" s="92" t="n"/>
      <c r="C172" s="92" t="n"/>
      <c r="D172" s="92" t="n"/>
      <c r="E172" s="93" t="n"/>
      <c r="F172" s="92" t="n"/>
    </row>
    <row r="173">
      <c r="A173" s="91" t="n"/>
      <c r="B173" s="92" t="n"/>
      <c r="C173" s="92" t="n"/>
      <c r="D173" s="92" t="n"/>
      <c r="E173" s="93" t="n"/>
      <c r="F173" s="92" t="n"/>
    </row>
    <row r="174">
      <c r="A174" s="91" t="n"/>
      <c r="B174" s="92" t="n"/>
      <c r="C174" s="92" t="n"/>
      <c r="D174" s="92" t="n"/>
      <c r="E174" s="93" t="n"/>
      <c r="F174" s="92" t="n"/>
    </row>
    <row r="175">
      <c r="A175" s="91" t="n"/>
      <c r="B175" s="92" t="n"/>
      <c r="C175" s="92" t="n"/>
      <c r="D175" s="92" t="n"/>
      <c r="E175" s="93" t="n"/>
      <c r="F175" s="92" t="n"/>
    </row>
    <row r="176">
      <c r="A176" s="91" t="n"/>
      <c r="B176" s="92" t="n"/>
      <c r="C176" s="92" t="n"/>
      <c r="D176" s="92" t="n"/>
      <c r="E176" s="93" t="n"/>
      <c r="F176" s="92" t="n"/>
    </row>
    <row r="177">
      <c r="A177" s="91" t="n"/>
      <c r="B177" s="92" t="n"/>
      <c r="C177" s="92" t="n"/>
      <c r="D177" s="92" t="n"/>
      <c r="E177" s="93" t="n"/>
      <c r="F177" s="92" t="n"/>
    </row>
    <row r="178">
      <c r="A178" s="91" t="n"/>
      <c r="B178" s="92" t="n"/>
      <c r="C178" s="92" t="n"/>
      <c r="D178" s="92" t="n"/>
      <c r="E178" s="93" t="n"/>
      <c r="F178" s="92" t="n"/>
    </row>
    <row r="179">
      <c r="A179" s="91" t="n"/>
      <c r="B179" s="92" t="n"/>
      <c r="C179" s="92" t="n"/>
      <c r="D179" s="92" t="n"/>
      <c r="E179" s="93" t="n"/>
      <c r="F179" s="92" t="n"/>
    </row>
    <row r="180">
      <c r="A180" s="91" t="n"/>
      <c r="B180" s="92" t="n"/>
      <c r="C180" s="92" t="n"/>
      <c r="D180" s="92" t="n"/>
      <c r="E180" s="93" t="n"/>
      <c r="F180" s="92" t="n"/>
    </row>
    <row r="181">
      <c r="A181" s="91" t="n"/>
      <c r="B181" s="92" t="n"/>
      <c r="C181" s="92" t="n"/>
      <c r="D181" s="92" t="n"/>
      <c r="E181" s="93" t="n"/>
      <c r="F181" s="92" t="n"/>
    </row>
    <row r="182">
      <c r="A182" s="91" t="n"/>
      <c r="B182" s="92" t="n"/>
      <c r="C182" s="92" t="n"/>
      <c r="D182" s="92" t="n"/>
      <c r="E182" s="93" t="n"/>
      <c r="F182" s="92" t="n"/>
    </row>
    <row r="183">
      <c r="A183" s="91" t="n"/>
      <c r="B183" s="92" t="n"/>
      <c r="C183" s="92" t="n"/>
      <c r="D183" s="92" t="n"/>
      <c r="E183" s="93" t="n"/>
      <c r="F183" s="92" t="n"/>
    </row>
    <row r="184">
      <c r="A184" s="91" t="n"/>
      <c r="B184" s="92" t="n"/>
      <c r="C184" s="92" t="n"/>
      <c r="D184" s="92" t="n"/>
      <c r="E184" s="93" t="n"/>
      <c r="F184" s="92" t="n"/>
    </row>
    <row r="185">
      <c r="A185" s="91" t="n"/>
      <c r="B185" s="92" t="n"/>
      <c r="C185" s="92" t="n"/>
      <c r="D185" s="92" t="n"/>
      <c r="E185" s="93" t="n"/>
      <c r="F185" s="92" t="n"/>
    </row>
    <row r="186">
      <c r="A186" s="91" t="n"/>
      <c r="B186" s="92" t="n"/>
      <c r="C186" s="92" t="n"/>
      <c r="D186" s="92" t="n"/>
      <c r="E186" s="93" t="n"/>
      <c r="F186" s="92" t="n"/>
    </row>
    <row r="187">
      <c r="A187" s="91" t="n"/>
      <c r="B187" s="92" t="n"/>
      <c r="C187" s="92" t="n"/>
      <c r="D187" s="92" t="n"/>
      <c r="E187" s="93" t="n"/>
      <c r="F187" s="92" t="n"/>
    </row>
    <row r="188">
      <c r="A188" s="91" t="n"/>
      <c r="B188" s="92" t="n"/>
      <c r="C188" s="92" t="n"/>
      <c r="D188" s="92" t="n"/>
      <c r="E188" s="93" t="n"/>
      <c r="F188" s="92" t="n"/>
    </row>
    <row r="189">
      <c r="A189" s="91" t="n"/>
      <c r="B189" s="92" t="n"/>
      <c r="C189" s="92" t="n"/>
      <c r="D189" s="92" t="n"/>
      <c r="E189" s="93" t="n"/>
      <c r="F189" s="92" t="n"/>
    </row>
    <row r="190">
      <c r="A190" s="91" t="n"/>
      <c r="B190" s="92" t="n"/>
      <c r="C190" s="92" t="n"/>
      <c r="D190" s="92" t="n"/>
      <c r="E190" s="93" t="n"/>
      <c r="F190" s="92" t="n"/>
    </row>
    <row r="191">
      <c r="A191" s="91" t="n"/>
      <c r="B191" s="92" t="n"/>
      <c r="C191" s="92" t="n"/>
      <c r="D191" s="92" t="n"/>
      <c r="E191" s="93" t="n"/>
      <c r="F191" s="92" t="n"/>
    </row>
    <row r="192">
      <c r="A192" s="91" t="n"/>
      <c r="B192" s="92" t="n"/>
      <c r="C192" s="92" t="n"/>
      <c r="D192" s="92" t="n"/>
      <c r="E192" s="93" t="n"/>
      <c r="F192" s="92" t="n"/>
    </row>
    <row r="193">
      <c r="A193" s="91" t="n"/>
      <c r="B193" s="92" t="n"/>
      <c r="C193" s="92" t="n"/>
      <c r="D193" s="92" t="n"/>
      <c r="E193" s="93" t="n"/>
      <c r="F193" s="92" t="n"/>
    </row>
    <row r="194">
      <c r="A194" s="91" t="n"/>
      <c r="B194" s="92" t="n"/>
      <c r="C194" s="92" t="n"/>
      <c r="D194" s="92" t="n"/>
      <c r="E194" s="93" t="n"/>
      <c r="F194" s="92" t="n"/>
    </row>
    <row r="195">
      <c r="A195" s="91" t="n"/>
      <c r="B195" s="92" t="n"/>
      <c r="C195" s="92" t="n"/>
      <c r="D195" s="92" t="n"/>
      <c r="E195" s="93" t="n"/>
      <c r="F195" s="92" t="n"/>
    </row>
    <row r="196">
      <c r="A196" s="91" t="n"/>
      <c r="B196" s="92" t="n"/>
      <c r="C196" s="92" t="n"/>
      <c r="D196" s="92" t="n"/>
      <c r="E196" s="93" t="n"/>
      <c r="F196" s="92" t="n"/>
    </row>
    <row r="197">
      <c r="A197" s="91" t="n"/>
      <c r="B197" s="92" t="n"/>
      <c r="C197" s="92" t="n"/>
      <c r="D197" s="92" t="n"/>
      <c r="E197" s="93" t="n"/>
      <c r="F197" s="92" t="n"/>
    </row>
    <row r="198">
      <c r="A198" s="91" t="n"/>
      <c r="B198" s="92" t="n"/>
      <c r="C198" s="92" t="n"/>
      <c r="D198" s="92" t="n"/>
      <c r="E198" s="93" t="n"/>
      <c r="F198" s="92" t="n"/>
    </row>
    <row r="199">
      <c r="A199" s="91" t="n"/>
      <c r="B199" s="92" t="n"/>
      <c r="C199" s="92" t="n"/>
      <c r="D199" s="92" t="n"/>
      <c r="E199" s="93" t="n"/>
      <c r="F199" s="92" t="n"/>
    </row>
    <row r="200">
      <c r="A200" s="91" t="n"/>
      <c r="B200" s="92" t="n"/>
      <c r="C200" s="92" t="n"/>
      <c r="D200" s="92" t="n"/>
      <c r="E200" s="93" t="n"/>
      <c r="F200" s="92" t="n"/>
    </row>
    <row r="201">
      <c r="A201" s="91" t="n"/>
      <c r="B201" s="92" t="n"/>
      <c r="C201" s="92" t="n"/>
      <c r="D201" s="92" t="n"/>
      <c r="E201" s="93" t="n"/>
      <c r="F201" s="92" t="n"/>
    </row>
    <row r="202">
      <c r="A202" s="91" t="n"/>
      <c r="B202" s="92" t="n"/>
      <c r="C202" s="92" t="n"/>
      <c r="D202" s="92" t="n"/>
      <c r="E202" s="93" t="n"/>
      <c r="F202" s="92" t="n"/>
    </row>
    <row r="203">
      <c r="A203" s="91" t="n"/>
      <c r="B203" s="92" t="n"/>
      <c r="C203" s="92" t="n"/>
      <c r="D203" s="92" t="n"/>
      <c r="E203" s="93" t="n"/>
      <c r="F203" s="92" t="n"/>
    </row>
    <row r="204">
      <c r="A204" s="91" t="n"/>
      <c r="B204" s="92" t="n"/>
      <c r="C204" s="92" t="n"/>
      <c r="D204" s="92" t="n"/>
      <c r="E204" s="93" t="n"/>
      <c r="F204" s="92" t="n"/>
    </row>
    <row r="205">
      <c r="A205" s="91" t="n"/>
      <c r="B205" s="92" t="n"/>
      <c r="C205" s="92" t="n"/>
      <c r="D205" s="92" t="n"/>
      <c r="E205" s="93" t="n"/>
      <c r="F205" s="92" t="n"/>
    </row>
    <row r="206">
      <c r="A206" s="91" t="n"/>
      <c r="B206" s="92" t="n"/>
      <c r="C206" s="92" t="n"/>
      <c r="D206" s="92" t="n"/>
      <c r="E206" s="93" t="n"/>
      <c r="F206" s="92" t="n"/>
    </row>
    <row r="207">
      <c r="A207" s="91" t="n"/>
      <c r="B207" s="92" t="n"/>
      <c r="C207" s="92" t="n"/>
      <c r="D207" s="92" t="n"/>
      <c r="E207" s="93" t="n"/>
      <c r="F207" s="92" t="n"/>
    </row>
    <row r="208">
      <c r="A208" s="91" t="n"/>
      <c r="B208" s="92" t="n"/>
      <c r="C208" s="92" t="n"/>
      <c r="D208" s="92" t="n"/>
      <c r="E208" s="93" t="n"/>
      <c r="F208" s="92" t="n"/>
    </row>
    <row r="209">
      <c r="A209" s="91" t="n"/>
      <c r="B209" s="92" t="n"/>
      <c r="C209" s="92" t="n"/>
      <c r="D209" s="92" t="n"/>
      <c r="E209" s="93" t="n"/>
      <c r="F209" s="92" t="n"/>
    </row>
    <row r="210">
      <c r="A210" s="91" t="n"/>
      <c r="B210" s="92" t="n"/>
      <c r="C210" s="92" t="n"/>
      <c r="D210" s="92" t="n"/>
      <c r="E210" s="93" t="n"/>
      <c r="F210" s="92" t="n"/>
    </row>
    <row r="211">
      <c r="A211" s="91" t="n"/>
      <c r="B211" s="92" t="n"/>
      <c r="C211" s="92" t="n"/>
      <c r="D211" s="92" t="n"/>
      <c r="E211" s="93" t="n"/>
      <c r="F211" s="92" t="n"/>
    </row>
    <row r="212">
      <c r="A212" s="91" t="n"/>
      <c r="B212" s="92" t="n"/>
      <c r="C212" s="92" t="n"/>
      <c r="D212" s="92" t="n"/>
      <c r="E212" s="93" t="n"/>
      <c r="F212" s="92" t="n"/>
    </row>
    <row r="213">
      <c r="A213" s="91" t="n"/>
      <c r="B213" s="92" t="n"/>
      <c r="C213" s="92" t="n"/>
      <c r="D213" s="92" t="n"/>
      <c r="E213" s="93" t="n"/>
      <c r="F213" s="92" t="n"/>
    </row>
    <row r="214">
      <c r="A214" s="91" t="n"/>
      <c r="B214" s="92" t="n"/>
      <c r="C214" s="92" t="n"/>
      <c r="D214" s="92" t="n"/>
      <c r="E214" s="93" t="n"/>
      <c r="F214" s="92" t="n"/>
    </row>
    <row r="215">
      <c r="A215" s="91" t="n"/>
      <c r="B215" s="92" t="n"/>
      <c r="C215" s="92" t="n"/>
      <c r="D215" s="92" t="n"/>
      <c r="E215" s="93" t="n"/>
      <c r="F215" s="92" t="n"/>
    </row>
    <row r="216">
      <c r="A216" s="91" t="n"/>
      <c r="B216" s="92" t="n"/>
      <c r="C216" s="92" t="n"/>
      <c r="D216" s="92" t="n"/>
      <c r="E216" s="93" t="n"/>
      <c r="F216" s="92" t="n"/>
    </row>
    <row r="217">
      <c r="A217" s="91" t="n"/>
      <c r="B217" s="92" t="n"/>
      <c r="C217" s="92" t="n"/>
      <c r="D217" s="92" t="n"/>
      <c r="E217" s="93" t="n"/>
      <c r="F217" s="92" t="n"/>
    </row>
    <row r="218">
      <c r="A218" s="91" t="n"/>
      <c r="B218" s="92" t="n"/>
      <c r="C218" s="92" t="n"/>
      <c r="D218" s="92" t="n"/>
      <c r="E218" s="93" t="n"/>
      <c r="F218" s="92" t="n"/>
    </row>
    <row r="219">
      <c r="A219" s="91" t="n"/>
      <c r="B219" s="92" t="n"/>
      <c r="C219" s="92" t="n"/>
      <c r="D219" s="92" t="n"/>
      <c r="E219" s="93" t="n"/>
      <c r="F219" s="92" t="n"/>
    </row>
    <row r="220">
      <c r="A220" s="91" t="n"/>
      <c r="B220" s="92" t="n"/>
      <c r="C220" s="92" t="n"/>
      <c r="D220" s="92" t="n"/>
      <c r="E220" s="93" t="n"/>
      <c r="F220" s="92" t="n"/>
    </row>
    <row r="221">
      <c r="A221" s="91" t="n"/>
      <c r="B221" s="92" t="n"/>
      <c r="C221" s="92" t="n"/>
      <c r="D221" s="92" t="n"/>
      <c r="E221" s="93" t="n"/>
      <c r="F221" s="92" t="n"/>
    </row>
    <row r="222">
      <c r="A222" s="91" t="n"/>
      <c r="B222" s="92" t="n"/>
      <c r="C222" s="92" t="n"/>
      <c r="D222" s="92" t="n"/>
      <c r="E222" s="93" t="n"/>
      <c r="F222" s="92" t="n"/>
    </row>
    <row r="223">
      <c r="A223" s="91" t="n"/>
      <c r="B223" s="92" t="n"/>
      <c r="C223" s="92" t="n"/>
      <c r="D223" s="92" t="n"/>
      <c r="E223" s="93" t="n"/>
      <c r="F223" s="92" t="n"/>
    </row>
    <row r="224">
      <c r="A224" s="91" t="n"/>
      <c r="B224" s="92" t="n"/>
      <c r="C224" s="92" t="n"/>
      <c r="D224" s="92" t="n"/>
      <c r="E224" s="93" t="n"/>
      <c r="F224" s="92" t="n"/>
    </row>
    <row r="225">
      <c r="A225" s="91" t="n"/>
      <c r="B225" s="92" t="n"/>
      <c r="C225" s="92" t="n"/>
      <c r="D225" s="92" t="n"/>
      <c r="E225" s="93" t="n"/>
      <c r="F225" s="92" t="n"/>
    </row>
    <row r="226">
      <c r="A226" s="91" t="n"/>
      <c r="B226" s="92" t="n"/>
      <c r="C226" s="92" t="n"/>
      <c r="D226" s="92" t="n"/>
      <c r="E226" s="93" t="n"/>
      <c r="F226" s="92" t="n"/>
    </row>
    <row r="227">
      <c r="A227" s="91" t="n"/>
      <c r="B227" s="92" t="n"/>
      <c r="C227" s="92" t="n"/>
      <c r="D227" s="92" t="n"/>
      <c r="E227" s="93" t="n"/>
      <c r="F227" s="92" t="n"/>
    </row>
    <row r="228">
      <c r="A228" s="91" t="n"/>
      <c r="B228" s="92" t="n"/>
      <c r="C228" s="92" t="n"/>
      <c r="D228" s="92" t="n"/>
      <c r="E228" s="93" t="n"/>
      <c r="F228" s="92" t="n"/>
    </row>
    <row r="229">
      <c r="A229" s="91" t="n"/>
      <c r="B229" s="92" t="n"/>
      <c r="C229" s="92" t="n"/>
      <c r="D229" s="92" t="n"/>
      <c r="E229" s="93" t="n"/>
      <c r="F229" s="92" t="n"/>
    </row>
    <row r="230">
      <c r="A230" s="91" t="n"/>
      <c r="B230" s="92" t="n"/>
      <c r="C230" s="92" t="n"/>
      <c r="D230" s="92" t="n"/>
      <c r="E230" s="93" t="n"/>
      <c r="F230" s="92" t="n"/>
    </row>
    <row r="231">
      <c r="A231" s="91" t="n"/>
      <c r="B231" s="92" t="n"/>
      <c r="C231" s="92" t="n"/>
      <c r="D231" s="92" t="n"/>
      <c r="E231" s="93" t="n"/>
      <c r="F231" s="92" t="n"/>
    </row>
    <row r="232">
      <c r="A232" s="91" t="n"/>
      <c r="B232" s="92" t="n"/>
      <c r="C232" s="92" t="n"/>
      <c r="D232" s="92" t="n"/>
      <c r="E232" s="93" t="n"/>
      <c r="F232" s="92" t="n"/>
    </row>
    <row r="233">
      <c r="A233" s="91" t="n"/>
      <c r="B233" s="92" t="n"/>
      <c r="C233" s="92" t="n"/>
      <c r="D233" s="92" t="n"/>
      <c r="E233" s="93" t="n"/>
      <c r="F233" s="92" t="n"/>
    </row>
    <row r="234">
      <c r="A234" s="91" t="n"/>
      <c r="B234" s="92" t="n"/>
      <c r="C234" s="92" t="n"/>
      <c r="D234" s="92" t="n"/>
      <c r="E234" s="93" t="n"/>
      <c r="F234" s="92" t="n"/>
    </row>
    <row r="235">
      <c r="A235" s="91" t="n"/>
      <c r="B235" s="92" t="n"/>
      <c r="C235" s="92" t="n"/>
      <c r="D235" s="92" t="n"/>
      <c r="E235" s="93" t="n"/>
      <c r="F235" s="92" t="n"/>
    </row>
    <row r="236">
      <c r="A236" s="91" t="n"/>
      <c r="B236" s="92" t="n"/>
      <c r="C236" s="92" t="n"/>
      <c r="D236" s="92" t="n"/>
      <c r="E236" s="93" t="n"/>
      <c r="F236" s="92" t="n"/>
    </row>
    <row r="237">
      <c r="A237" s="91" t="n"/>
      <c r="B237" s="92" t="n"/>
      <c r="C237" s="92" t="n"/>
      <c r="D237" s="92" t="n"/>
      <c r="E237" s="93" t="n"/>
      <c r="F237" s="92" t="n"/>
    </row>
    <row r="238">
      <c r="A238" s="91" t="n"/>
      <c r="B238" s="92" t="n"/>
      <c r="C238" s="92" t="n"/>
      <c r="D238" s="92" t="n"/>
      <c r="E238" s="93" t="n"/>
      <c r="F238" s="92" t="n"/>
    </row>
    <row r="239">
      <c r="A239" s="91" t="n"/>
      <c r="B239" s="92" t="n"/>
      <c r="C239" s="92" t="n"/>
      <c r="D239" s="92" t="n"/>
      <c r="E239" s="93" t="n"/>
      <c r="F239" s="92" t="n"/>
    </row>
    <row r="240">
      <c r="A240" s="91" t="n"/>
      <c r="B240" s="92" t="n"/>
      <c r="C240" s="92" t="n"/>
      <c r="D240" s="92" t="n"/>
      <c r="E240" s="93" t="n"/>
      <c r="F240" s="92" t="n"/>
    </row>
    <row r="241">
      <c r="A241" s="91" t="n"/>
      <c r="B241" s="92" t="n"/>
      <c r="C241" s="92" t="n"/>
      <c r="D241" s="92" t="n"/>
      <c r="E241" s="93" t="n"/>
      <c r="F241" s="92" t="n"/>
    </row>
    <row r="242">
      <c r="A242" s="91" t="n"/>
      <c r="B242" s="92" t="n"/>
      <c r="C242" s="92" t="n"/>
      <c r="D242" s="92" t="n"/>
      <c r="E242" s="93" t="n"/>
      <c r="F242" s="92" t="n"/>
    </row>
    <row r="243">
      <c r="A243" s="91" t="n"/>
      <c r="B243" s="92" t="n"/>
      <c r="C243" s="92" t="n"/>
      <c r="D243" s="92" t="n"/>
      <c r="E243" s="93" t="n"/>
      <c r="F243" s="92" t="n"/>
    </row>
    <row r="244">
      <c r="A244" s="91" t="n"/>
      <c r="B244" s="92" t="n"/>
      <c r="C244" s="92" t="n"/>
      <c r="D244" s="92" t="n"/>
      <c r="E244" s="93" t="n"/>
      <c r="F244" s="92" t="n"/>
    </row>
    <row r="245">
      <c r="A245" s="91" t="n"/>
      <c r="B245" s="92" t="n"/>
      <c r="C245" s="92" t="n"/>
      <c r="D245" s="92" t="n"/>
      <c r="E245" s="93" t="n"/>
      <c r="F245" s="92" t="n"/>
    </row>
    <row r="246">
      <c r="A246" s="91" t="n"/>
      <c r="B246" s="92" t="n"/>
      <c r="C246" s="92" t="n"/>
      <c r="D246" s="92" t="n"/>
      <c r="E246" s="93" t="n"/>
      <c r="F246" s="92" t="n"/>
    </row>
    <row r="247">
      <c r="A247" s="91" t="n"/>
      <c r="B247" s="92" t="n"/>
      <c r="C247" s="92" t="n"/>
      <c r="D247" s="92" t="n"/>
      <c r="E247" s="93" t="n"/>
      <c r="F247" s="92" t="n"/>
    </row>
    <row r="248">
      <c r="A248" s="91" t="n"/>
      <c r="B248" s="92" t="n"/>
      <c r="C248" s="92" t="n"/>
      <c r="D248" s="92" t="n"/>
      <c r="E248" s="93" t="n"/>
      <c r="F248" s="92" t="n"/>
    </row>
    <row r="249">
      <c r="A249" s="91" t="n"/>
      <c r="B249" s="92" t="n"/>
      <c r="C249" s="92" t="n"/>
      <c r="D249" s="92" t="n"/>
      <c r="E249" s="93" t="n"/>
      <c r="F249" s="92" t="n"/>
    </row>
    <row r="250">
      <c r="A250" s="91" t="n"/>
      <c r="B250" s="92" t="n"/>
      <c r="C250" s="92" t="n"/>
      <c r="D250" s="92" t="n"/>
      <c r="E250" s="93" t="n"/>
      <c r="F250" s="92" t="n"/>
    </row>
    <row r="251">
      <c r="A251" s="91" t="n"/>
      <c r="B251" s="92" t="n"/>
      <c r="C251" s="92" t="n"/>
      <c r="D251" s="92" t="n"/>
      <c r="E251" s="93" t="n"/>
      <c r="F251" s="92" t="n"/>
    </row>
    <row r="252">
      <c r="A252" s="91" t="n"/>
      <c r="B252" s="92" t="n"/>
      <c r="C252" s="92" t="n"/>
      <c r="D252" s="92" t="n"/>
      <c r="E252" s="93" t="n"/>
      <c r="F252" s="92" t="n"/>
    </row>
    <row r="253">
      <c r="A253" s="91" t="n"/>
      <c r="B253" s="92" t="n"/>
      <c r="C253" s="92" t="n"/>
      <c r="D253" s="92" t="n"/>
      <c r="E253" s="93" t="n"/>
      <c r="F253" s="92" t="n"/>
    </row>
    <row r="254">
      <c r="A254" s="91" t="n"/>
      <c r="B254" s="92" t="n"/>
      <c r="C254" s="92" t="n"/>
      <c r="D254" s="92" t="n"/>
      <c r="E254" s="93" t="n"/>
      <c r="F254" s="92" t="n"/>
    </row>
    <row r="255">
      <c r="A255" s="91" t="n"/>
      <c r="B255" s="92" t="n"/>
      <c r="C255" s="92" t="n"/>
      <c r="D255" s="92" t="n"/>
      <c r="E255" s="93" t="n"/>
      <c r="F255" s="92" t="n"/>
    </row>
    <row r="256">
      <c r="A256" s="91" t="n"/>
      <c r="B256" s="92" t="n"/>
      <c r="C256" s="92" t="n"/>
      <c r="D256" s="92" t="n"/>
      <c r="E256" s="93" t="n"/>
      <c r="F256" s="92" t="n"/>
    </row>
    <row r="257">
      <c r="A257" s="91" t="n"/>
      <c r="B257" s="92" t="n"/>
      <c r="C257" s="92" t="n"/>
      <c r="D257" s="92" t="n"/>
      <c r="E257" s="93" t="n"/>
      <c r="F257" s="92" t="n"/>
    </row>
    <row r="258">
      <c r="A258" s="91" t="n"/>
      <c r="B258" s="92" t="n"/>
      <c r="C258" s="92" t="n"/>
      <c r="D258" s="92" t="n"/>
      <c r="E258" s="93" t="n"/>
      <c r="F258" s="92" t="n"/>
    </row>
    <row r="259">
      <c r="A259" s="91" t="n"/>
      <c r="B259" s="92" t="n"/>
      <c r="C259" s="92" t="n"/>
      <c r="D259" s="92" t="n"/>
      <c r="E259" s="93" t="n"/>
      <c r="F259" s="92" t="n"/>
    </row>
    <row r="260">
      <c r="A260" s="91" t="n"/>
      <c r="B260" s="92" t="n"/>
      <c r="C260" s="92" t="n"/>
      <c r="D260" s="92" t="n"/>
      <c r="E260" s="93" t="n"/>
      <c r="F260" s="92" t="n"/>
    </row>
    <row r="261">
      <c r="A261" s="91" t="n"/>
      <c r="B261" s="92" t="n"/>
      <c r="C261" s="92" t="n"/>
      <c r="D261" s="92" t="n"/>
      <c r="E261" s="93" t="n"/>
      <c r="F261" s="92" t="n"/>
    </row>
    <row r="262">
      <c r="A262" s="91" t="n"/>
      <c r="B262" s="92" t="n"/>
      <c r="C262" s="92" t="n"/>
      <c r="D262" s="92" t="n"/>
      <c r="E262" s="93" t="n"/>
      <c r="F262" s="92" t="n"/>
    </row>
    <row r="263">
      <c r="A263" s="91" t="n"/>
      <c r="B263" s="92" t="n"/>
      <c r="C263" s="92" t="n"/>
      <c r="D263" s="92" t="n"/>
      <c r="E263" s="93" t="n"/>
      <c r="F263" s="92" t="n"/>
    </row>
    <row r="264">
      <c r="A264" s="91" t="n"/>
      <c r="B264" s="92" t="n"/>
      <c r="C264" s="92" t="n"/>
      <c r="D264" s="92" t="n"/>
      <c r="E264" s="93" t="n"/>
      <c r="F264" s="92" t="n"/>
    </row>
    <row r="265">
      <c r="A265" s="91" t="n"/>
      <c r="B265" s="92" t="n"/>
      <c r="C265" s="92" t="n"/>
      <c r="D265" s="92" t="n"/>
      <c r="E265" s="93" t="n"/>
      <c r="F265" s="92" t="n"/>
    </row>
    <row r="266">
      <c r="A266" s="91" t="n"/>
      <c r="B266" s="92" t="n"/>
      <c r="C266" s="92" t="n"/>
      <c r="D266" s="92" t="n"/>
      <c r="E266" s="93" t="n"/>
      <c r="F266" s="92" t="n"/>
    </row>
    <row r="267">
      <c r="A267" s="91" t="n"/>
      <c r="B267" s="92" t="n"/>
      <c r="C267" s="92" t="n"/>
      <c r="D267" s="92" t="n"/>
      <c r="E267" s="93" t="n"/>
      <c r="F267" s="92" t="n"/>
    </row>
    <row r="268">
      <c r="A268" s="91" t="n"/>
      <c r="B268" s="92" t="n"/>
      <c r="C268" s="92" t="n"/>
      <c r="D268" s="92" t="n"/>
      <c r="E268" s="93" t="n"/>
      <c r="F268" s="92" t="n"/>
    </row>
    <row r="269">
      <c r="A269" s="91" t="n"/>
      <c r="B269" s="92" t="n"/>
      <c r="C269" s="92" t="n"/>
      <c r="D269" s="92" t="n"/>
      <c r="E269" s="93" t="n"/>
      <c r="F269" s="92" t="n"/>
    </row>
    <row r="270">
      <c r="A270" s="91" t="n"/>
      <c r="B270" s="92" t="n"/>
      <c r="C270" s="92" t="n"/>
      <c r="D270" s="92" t="n"/>
      <c r="E270" s="93" t="n"/>
      <c r="F270" s="92" t="n"/>
    </row>
    <row r="271">
      <c r="A271" s="91" t="n"/>
      <c r="B271" s="92" t="n"/>
      <c r="C271" s="92" t="n"/>
      <c r="D271" s="92" t="n"/>
      <c r="E271" s="93" t="n"/>
      <c r="F271" s="92" t="n"/>
    </row>
    <row r="272">
      <c r="A272" s="91" t="n"/>
      <c r="B272" s="92" t="n"/>
      <c r="C272" s="92" t="n"/>
      <c r="D272" s="92" t="n"/>
      <c r="E272" s="93" t="n"/>
      <c r="F272" s="92" t="n"/>
    </row>
    <row r="273">
      <c r="A273" s="91" t="n"/>
      <c r="B273" s="92" t="n"/>
      <c r="C273" s="92" t="n"/>
      <c r="D273" s="92" t="n"/>
      <c r="E273" s="93" t="n"/>
      <c r="F273" s="92" t="n"/>
    </row>
    <row r="274">
      <c r="A274" s="91" t="n"/>
      <c r="B274" s="92" t="n"/>
      <c r="C274" s="92" t="n"/>
      <c r="D274" s="92" t="n"/>
      <c r="E274" s="93" t="n"/>
      <c r="F274" s="92" t="n"/>
    </row>
    <row r="275">
      <c r="A275" s="91" t="n"/>
      <c r="B275" s="92" t="n"/>
      <c r="C275" s="92" t="n"/>
      <c r="D275" s="92" t="n"/>
      <c r="E275" s="93" t="n"/>
      <c r="F275" s="92" t="n"/>
    </row>
    <row r="276">
      <c r="A276" s="91" t="n"/>
      <c r="B276" s="92" t="n"/>
      <c r="C276" s="92" t="n"/>
      <c r="D276" s="92" t="n"/>
      <c r="E276" s="93" t="n"/>
      <c r="F276" s="92" t="n"/>
    </row>
    <row r="277">
      <c r="A277" s="91" t="n"/>
      <c r="B277" s="92" t="n"/>
      <c r="C277" s="92" t="n"/>
      <c r="D277" s="92" t="n"/>
      <c r="E277" s="93" t="n"/>
      <c r="F277" s="92" t="n"/>
    </row>
    <row r="278">
      <c r="A278" s="91" t="n"/>
      <c r="B278" s="92" t="n"/>
      <c r="C278" s="92" t="n"/>
      <c r="D278" s="92" t="n"/>
      <c r="E278" s="93" t="n"/>
      <c r="F278" s="92" t="n"/>
    </row>
    <row r="279">
      <c r="A279" s="91" t="n"/>
      <c r="B279" s="92" t="n"/>
      <c r="C279" s="92" t="n"/>
      <c r="D279" s="92" t="n"/>
      <c r="E279" s="93" t="n"/>
      <c r="F279" s="92" t="n"/>
    </row>
    <row r="280">
      <c r="A280" s="91" t="n"/>
      <c r="B280" s="92" t="n"/>
      <c r="C280" s="92" t="n"/>
      <c r="D280" s="92" t="n"/>
      <c r="E280" s="93" t="n"/>
      <c r="F280" s="92" t="n"/>
    </row>
    <row r="281">
      <c r="A281" s="91" t="n"/>
      <c r="B281" s="92" t="n"/>
      <c r="C281" s="92" t="n"/>
      <c r="D281" s="92" t="n"/>
      <c r="E281" s="93" t="n"/>
      <c r="F281" s="92" t="n"/>
    </row>
    <row r="282">
      <c r="A282" s="91" t="n"/>
      <c r="B282" s="92" t="n"/>
      <c r="C282" s="92" t="n"/>
      <c r="D282" s="92" t="n"/>
      <c r="E282" s="93" t="n"/>
      <c r="F282" s="92" t="n"/>
    </row>
    <row r="283">
      <c r="A283" s="91" t="n"/>
      <c r="B283" s="92" t="n"/>
      <c r="C283" s="92" t="n"/>
      <c r="D283" s="92" t="n"/>
      <c r="E283" s="93" t="n"/>
      <c r="F283" s="92" t="n"/>
    </row>
    <row r="284">
      <c r="A284" s="91" t="n"/>
      <c r="B284" s="92" t="n"/>
      <c r="C284" s="92" t="n"/>
      <c r="D284" s="92" t="n"/>
      <c r="E284" s="93" t="n"/>
      <c r="F284" s="92" t="n"/>
    </row>
    <row r="285">
      <c r="A285" s="91" t="n"/>
      <c r="B285" s="92" t="n"/>
      <c r="C285" s="92" t="n"/>
      <c r="D285" s="92" t="n"/>
      <c r="E285" s="93" t="n"/>
      <c r="F285" s="92" t="n"/>
    </row>
    <row r="286">
      <c r="A286" s="91" t="n"/>
      <c r="B286" s="92" t="n"/>
      <c r="C286" s="92" t="n"/>
      <c r="D286" s="92" t="n"/>
      <c r="E286" s="93" t="n"/>
      <c r="F286" s="92" t="n"/>
    </row>
    <row r="287">
      <c r="A287" s="91" t="n"/>
      <c r="B287" s="92" t="n"/>
      <c r="C287" s="92" t="n"/>
      <c r="D287" s="92" t="n"/>
      <c r="E287" s="93" t="n"/>
      <c r="F287" s="92" t="n"/>
    </row>
    <row r="288">
      <c r="A288" s="91" t="n"/>
      <c r="B288" s="92" t="n"/>
      <c r="C288" s="92" t="n"/>
      <c r="D288" s="92" t="n"/>
      <c r="E288" s="93" t="n"/>
      <c r="F288" s="92" t="n"/>
    </row>
    <row r="289">
      <c r="A289" s="91" t="n"/>
      <c r="B289" s="92" t="n"/>
      <c r="C289" s="92" t="n"/>
      <c r="D289" s="92" t="n"/>
      <c r="E289" s="93" t="n"/>
      <c r="F289" s="92" t="n"/>
    </row>
    <row r="290">
      <c r="A290" s="91" t="n"/>
      <c r="B290" s="92" t="n"/>
      <c r="C290" s="92" t="n"/>
      <c r="D290" s="92" t="n"/>
      <c r="E290" s="93" t="n"/>
      <c r="F290" s="92" t="n"/>
    </row>
    <row r="291">
      <c r="A291" s="91" t="n"/>
      <c r="B291" s="92" t="n"/>
      <c r="C291" s="92" t="n"/>
      <c r="D291" s="92" t="n"/>
      <c r="E291" s="93" t="n"/>
      <c r="F291" s="92" t="n"/>
    </row>
    <row r="292">
      <c r="A292" s="91" t="n"/>
      <c r="B292" s="92" t="n"/>
      <c r="C292" s="92" t="n"/>
      <c r="D292" s="92" t="n"/>
      <c r="E292" s="93" t="n"/>
      <c r="F292" s="92" t="n"/>
    </row>
    <row r="293">
      <c r="A293" s="91" t="n"/>
      <c r="B293" s="92" t="n"/>
      <c r="C293" s="92" t="n"/>
      <c r="D293" s="92" t="n"/>
      <c r="E293" s="93" t="n"/>
      <c r="F293" s="92" t="n"/>
    </row>
    <row r="294">
      <c r="A294" s="91" t="n"/>
      <c r="B294" s="92" t="n"/>
      <c r="C294" s="92" t="n"/>
      <c r="D294" s="92" t="n"/>
      <c r="E294" s="93" t="n"/>
      <c r="F294" s="92" t="n"/>
    </row>
    <row r="295">
      <c r="A295" s="91" t="n"/>
      <c r="B295" s="92" t="n"/>
      <c r="C295" s="92" t="n"/>
      <c r="D295" s="92" t="n"/>
      <c r="E295" s="93" t="n"/>
      <c r="F295" s="92" t="n"/>
    </row>
    <row r="296">
      <c r="A296" s="91" t="n"/>
      <c r="B296" s="92" t="n"/>
      <c r="C296" s="92" t="n"/>
      <c r="D296" s="92" t="n"/>
      <c r="E296" s="93" t="n"/>
      <c r="F296" s="92" t="n"/>
    </row>
    <row r="297">
      <c r="A297" s="91" t="n"/>
      <c r="B297" s="92" t="n"/>
      <c r="C297" s="92" t="n"/>
      <c r="D297" s="92" t="n"/>
      <c r="E297" s="93" t="n"/>
      <c r="F297" s="92" t="n"/>
    </row>
    <row r="298">
      <c r="A298" s="91" t="n"/>
      <c r="B298" s="92" t="n"/>
      <c r="C298" s="92" t="n"/>
      <c r="D298" s="92" t="n"/>
      <c r="E298" s="93" t="n"/>
      <c r="F298" s="92" t="n"/>
    </row>
    <row r="299">
      <c r="A299" s="91" t="n"/>
      <c r="B299" s="92" t="n"/>
      <c r="C299" s="92" t="n"/>
      <c r="D299" s="92" t="n"/>
      <c r="E299" s="93" t="n"/>
      <c r="F299" s="92" t="n"/>
    </row>
    <row r="300">
      <c r="A300" s="91" t="n"/>
      <c r="B300" s="92" t="n"/>
      <c r="C300" s="92" t="n"/>
      <c r="D300" s="92" t="n"/>
      <c r="E300" s="93" t="n"/>
      <c r="F300" s="92" t="n"/>
    </row>
    <row r="301">
      <c r="A301" s="91" t="n"/>
      <c r="B301" s="92" t="n"/>
      <c r="C301" s="92" t="n"/>
      <c r="D301" s="92" t="n"/>
      <c r="E301" s="93" t="n"/>
      <c r="F301" s="92" t="n"/>
    </row>
    <row r="302">
      <c r="A302" s="91" t="n"/>
      <c r="B302" s="92" t="n"/>
      <c r="C302" s="92" t="n"/>
      <c r="D302" s="92" t="n"/>
      <c r="E302" s="93" t="n"/>
      <c r="F302" s="92" t="n"/>
    </row>
    <row r="303">
      <c r="A303" s="91" t="n"/>
      <c r="B303" s="92" t="n"/>
      <c r="C303" s="92" t="n"/>
      <c r="D303" s="92" t="n"/>
      <c r="E303" s="93" t="n"/>
      <c r="F303" s="92" t="n"/>
    </row>
    <row r="304">
      <c r="A304" s="91" t="n"/>
      <c r="B304" s="92" t="n"/>
      <c r="C304" s="92" t="n"/>
      <c r="D304" s="92" t="n"/>
      <c r="E304" s="93" t="n"/>
      <c r="F304" s="92" t="n"/>
    </row>
    <row r="305">
      <c r="A305" s="91" t="n"/>
      <c r="B305" s="92" t="n"/>
      <c r="C305" s="92" t="n"/>
      <c r="D305" s="92" t="n"/>
      <c r="E305" s="93" t="n"/>
      <c r="F305" s="92" t="n"/>
    </row>
    <row r="306">
      <c r="A306" s="91" t="n"/>
      <c r="B306" s="92" t="n"/>
      <c r="C306" s="92" t="n"/>
      <c r="D306" s="92" t="n"/>
      <c r="E306" s="93" t="n"/>
      <c r="F306" s="92" t="n"/>
    </row>
    <row r="307">
      <c r="A307" s="91" t="n"/>
      <c r="B307" s="92" t="n"/>
      <c r="C307" s="92" t="n"/>
      <c r="D307" s="92" t="n"/>
      <c r="E307" s="93" t="n"/>
      <c r="F307" s="92" t="n"/>
    </row>
    <row r="308">
      <c r="A308" s="91" t="n"/>
      <c r="B308" s="92" t="n"/>
      <c r="C308" s="92" t="n"/>
      <c r="D308" s="92" t="n"/>
      <c r="E308" s="93" t="n"/>
      <c r="F308" s="92" t="n"/>
    </row>
    <row r="309">
      <c r="A309" s="91" t="n"/>
      <c r="B309" s="92" t="n"/>
      <c r="C309" s="92" t="n"/>
      <c r="D309" s="92" t="n"/>
      <c r="E309" s="93" t="n"/>
      <c r="F309" s="92" t="n"/>
    </row>
    <row r="310">
      <c r="A310" s="91" t="n"/>
      <c r="B310" s="92" t="n"/>
      <c r="C310" s="92" t="n"/>
      <c r="D310" s="92" t="n"/>
      <c r="E310" s="93" t="n"/>
      <c r="F310" s="92" t="n"/>
    </row>
    <row r="311">
      <c r="A311" s="91" t="n"/>
      <c r="B311" s="92" t="n"/>
      <c r="C311" s="92" t="n"/>
      <c r="D311" s="92" t="n"/>
      <c r="E311" s="93" t="n"/>
      <c r="F311" s="92" t="n"/>
    </row>
    <row r="312">
      <c r="A312" s="91" t="n"/>
      <c r="B312" s="92" t="n"/>
      <c r="C312" s="92" t="n"/>
      <c r="D312" s="92" t="n"/>
      <c r="E312" s="93" t="n"/>
      <c r="F312" s="92" t="n"/>
    </row>
    <row r="313">
      <c r="A313" s="91" t="n"/>
      <c r="B313" s="92" t="n"/>
      <c r="C313" s="92" t="n"/>
      <c r="D313" s="92" t="n"/>
      <c r="E313" s="93" t="n"/>
      <c r="F313" s="92" t="n"/>
    </row>
    <row r="314">
      <c r="A314" s="91" t="n"/>
      <c r="B314" s="92" t="n"/>
      <c r="C314" s="92" t="n"/>
      <c r="D314" s="92" t="n"/>
      <c r="E314" s="93" t="n"/>
      <c r="F314" s="92" t="n"/>
    </row>
    <row r="315">
      <c r="A315" s="91" t="n"/>
      <c r="B315" s="92" t="n"/>
      <c r="C315" s="92" t="n"/>
      <c r="D315" s="92" t="n"/>
      <c r="E315" s="93" t="n"/>
      <c r="F315" s="92" t="n"/>
    </row>
    <row r="316">
      <c r="A316" s="91" t="n"/>
      <c r="B316" s="92" t="n"/>
      <c r="C316" s="92" t="n"/>
      <c r="D316" s="92" t="n"/>
      <c r="E316" s="93" t="n"/>
      <c r="F316" s="92" t="n"/>
    </row>
    <row r="317">
      <c r="A317" s="91" t="n"/>
      <c r="B317" s="92" t="n"/>
      <c r="C317" s="92" t="n"/>
      <c r="D317" s="92" t="n"/>
      <c r="E317" s="93" t="n"/>
      <c r="F317" s="92" t="n"/>
    </row>
    <row r="318">
      <c r="A318" s="91" t="n"/>
      <c r="B318" s="92" t="n"/>
      <c r="C318" s="92" t="n"/>
      <c r="D318" s="92" t="n"/>
      <c r="E318" s="93" t="n"/>
      <c r="F318" s="92" t="n"/>
    </row>
    <row r="319">
      <c r="A319" s="91" t="n"/>
      <c r="B319" s="92" t="n"/>
      <c r="C319" s="92" t="n"/>
      <c r="D319" s="92" t="n"/>
      <c r="E319" s="93" t="n"/>
      <c r="F319" s="92" t="n"/>
    </row>
    <row r="320">
      <c r="A320" s="91" t="n"/>
      <c r="B320" s="92" t="n"/>
      <c r="C320" s="92" t="n"/>
      <c r="D320" s="92" t="n"/>
      <c r="E320" s="93" t="n"/>
      <c r="F320" s="92" t="n"/>
    </row>
    <row r="321">
      <c r="A321" s="91" t="n"/>
      <c r="B321" s="92" t="n"/>
      <c r="C321" s="92" t="n"/>
      <c r="D321" s="92" t="n"/>
      <c r="E321" s="93" t="n"/>
      <c r="F321" s="92" t="n"/>
    </row>
    <row r="322">
      <c r="A322" s="91" t="n"/>
      <c r="B322" s="92" t="n"/>
      <c r="C322" s="92" t="n"/>
      <c r="D322" s="92" t="n"/>
      <c r="E322" s="93" t="n"/>
      <c r="F322" s="92" t="n"/>
    </row>
    <row r="323">
      <c r="A323" s="91" t="n"/>
      <c r="B323" s="92" t="n"/>
      <c r="C323" s="92" t="n"/>
      <c r="D323" s="92" t="n"/>
      <c r="E323" s="93" t="n"/>
      <c r="F323" s="92" t="n"/>
    </row>
    <row r="324">
      <c r="A324" s="91" t="n"/>
      <c r="B324" s="92" t="n"/>
      <c r="C324" s="92" t="n"/>
      <c r="D324" s="92" t="n"/>
      <c r="E324" s="93" t="n"/>
      <c r="F324" s="92" t="n"/>
    </row>
    <row r="325">
      <c r="A325" s="91" t="n"/>
      <c r="B325" s="92" t="n"/>
      <c r="C325" s="92" t="n"/>
      <c r="D325" s="92" t="n"/>
      <c r="E325" s="93" t="n"/>
      <c r="F325" s="92" t="n"/>
    </row>
    <row r="326">
      <c r="A326" s="91" t="n"/>
      <c r="B326" s="92" t="n"/>
      <c r="C326" s="92" t="n"/>
      <c r="D326" s="92" t="n"/>
      <c r="E326" s="93" t="n"/>
      <c r="F326" s="92" t="n"/>
    </row>
    <row r="327">
      <c r="A327" s="91" t="n"/>
      <c r="B327" s="92" t="n"/>
      <c r="C327" s="92" t="n"/>
      <c r="D327" s="92" t="n"/>
      <c r="E327" s="93" t="n"/>
      <c r="F327" s="92" t="n"/>
    </row>
    <row r="328">
      <c r="A328" s="91" t="n"/>
      <c r="B328" s="92" t="n"/>
      <c r="C328" s="92" t="n"/>
      <c r="D328" s="92" t="n"/>
      <c r="E328" s="93" t="n"/>
      <c r="F328" s="92" t="n"/>
    </row>
    <row r="329">
      <c r="A329" s="91" t="n"/>
      <c r="B329" s="92" t="n"/>
      <c r="C329" s="92" t="n"/>
      <c r="D329" s="92" t="n"/>
      <c r="E329" s="93" t="n"/>
      <c r="F329" s="92" t="n"/>
    </row>
    <row r="330">
      <c r="A330" s="91" t="n"/>
      <c r="B330" s="92" t="n"/>
      <c r="C330" s="92" t="n"/>
      <c r="D330" s="92" t="n"/>
      <c r="E330" s="93" t="n"/>
      <c r="F330" s="92" t="n"/>
    </row>
    <row r="331">
      <c r="A331" s="91" t="n"/>
      <c r="B331" s="92" t="n"/>
      <c r="C331" s="92" t="n"/>
      <c r="D331" s="92" t="n"/>
      <c r="E331" s="93" t="n"/>
      <c r="F331" s="92" t="n"/>
    </row>
    <row r="332">
      <c r="A332" s="91" t="n"/>
      <c r="B332" s="92" t="n"/>
      <c r="C332" s="92" t="n"/>
      <c r="D332" s="92" t="n"/>
      <c r="E332" s="93" t="n"/>
      <c r="F332" s="92" t="n"/>
    </row>
    <row r="333">
      <c r="A333" s="91" t="n"/>
      <c r="B333" s="92" t="n"/>
      <c r="C333" s="92" t="n"/>
      <c r="D333" s="92" t="n"/>
      <c r="E333" s="93" t="n"/>
      <c r="F333" s="92" t="n"/>
    </row>
    <row r="334">
      <c r="A334" s="91" t="n"/>
      <c r="B334" s="92" t="n"/>
      <c r="C334" s="92" t="n"/>
      <c r="D334" s="92" t="n"/>
      <c r="E334" s="93" t="n"/>
      <c r="F334" s="92" t="n"/>
    </row>
    <row r="335">
      <c r="A335" s="91" t="n"/>
      <c r="B335" s="92" t="n"/>
      <c r="C335" s="92" t="n"/>
      <c r="D335" s="92" t="n"/>
      <c r="E335" s="93" t="n"/>
      <c r="F335" s="92" t="n"/>
    </row>
    <row r="336">
      <c r="A336" s="91" t="n"/>
      <c r="B336" s="92" t="n"/>
      <c r="C336" s="92" t="n"/>
      <c r="D336" s="92" t="n"/>
      <c r="E336" s="93" t="n"/>
      <c r="F336" s="92" t="n"/>
    </row>
    <row r="337">
      <c r="A337" s="91" t="n"/>
      <c r="B337" s="92" t="n"/>
      <c r="C337" s="92" t="n"/>
      <c r="D337" s="92" t="n"/>
      <c r="E337" s="93" t="n"/>
      <c r="F337" s="92" t="n"/>
    </row>
    <row r="338">
      <c r="A338" s="91" t="n"/>
      <c r="B338" s="92" t="n"/>
      <c r="C338" s="92" t="n"/>
      <c r="D338" s="92" t="n"/>
      <c r="E338" s="93" t="n"/>
      <c r="F338" s="92" t="n"/>
    </row>
    <row r="339">
      <c r="A339" s="91" t="n"/>
      <c r="B339" s="92" t="n"/>
      <c r="C339" s="92" t="n"/>
      <c r="D339" s="92" t="n"/>
      <c r="E339" s="93" t="n"/>
      <c r="F339" s="92" t="n"/>
    </row>
    <row r="340">
      <c r="A340" s="91" t="n"/>
      <c r="B340" s="92" t="n"/>
      <c r="C340" s="92" t="n"/>
      <c r="D340" s="92" t="n"/>
      <c r="E340" s="93" t="n"/>
      <c r="F340" s="92" t="n"/>
    </row>
    <row r="341">
      <c r="A341" s="91" t="n"/>
      <c r="B341" s="92" t="n"/>
      <c r="C341" s="92" t="n"/>
      <c r="D341" s="92" t="n"/>
      <c r="E341" s="93" t="n"/>
      <c r="F341" s="92" t="n"/>
    </row>
    <row r="342">
      <c r="A342" s="91" t="n"/>
      <c r="B342" s="92" t="n"/>
      <c r="C342" s="92" t="n"/>
      <c r="D342" s="92" t="n"/>
      <c r="E342" s="93" t="n"/>
      <c r="F342" s="92" t="n"/>
    </row>
    <row r="343">
      <c r="A343" s="91" t="n"/>
      <c r="B343" s="92" t="n"/>
      <c r="C343" s="92" t="n"/>
      <c r="D343" s="92" t="n"/>
      <c r="E343" s="93" t="n"/>
      <c r="F343" s="92" t="n"/>
    </row>
    <row r="344">
      <c r="A344" s="91" t="n"/>
      <c r="B344" s="92" t="n"/>
      <c r="C344" s="92" t="n"/>
      <c r="D344" s="92" t="n"/>
      <c r="E344" s="93" t="n"/>
      <c r="F344" s="92" t="n"/>
    </row>
    <row r="345">
      <c r="A345" s="91" t="n"/>
      <c r="B345" s="92" t="n"/>
      <c r="C345" s="92" t="n"/>
      <c r="D345" s="92" t="n"/>
      <c r="E345" s="93" t="n"/>
      <c r="F345" s="92" t="n"/>
    </row>
    <row r="346">
      <c r="A346" s="91" t="n"/>
      <c r="B346" s="92" t="n"/>
      <c r="C346" s="92" t="n"/>
      <c r="D346" s="92" t="n"/>
      <c r="E346" s="93" t="n"/>
      <c r="F346" s="92" t="n"/>
    </row>
    <row r="347">
      <c r="A347" s="91" t="n"/>
      <c r="B347" s="92" t="n"/>
      <c r="C347" s="92" t="n"/>
      <c r="D347" s="92" t="n"/>
      <c r="E347" s="93" t="n"/>
      <c r="F347" s="92" t="n"/>
    </row>
    <row r="348">
      <c r="A348" s="91" t="n"/>
      <c r="B348" s="92" t="n"/>
      <c r="C348" s="92" t="n"/>
      <c r="D348" s="92" t="n"/>
      <c r="E348" s="93" t="n"/>
      <c r="F348" s="92" t="n"/>
    </row>
    <row r="349">
      <c r="A349" s="91" t="n"/>
      <c r="B349" s="92" t="n"/>
      <c r="C349" s="92" t="n"/>
      <c r="D349" s="92" t="n"/>
      <c r="E349" s="93" t="n"/>
      <c r="F349" s="92" t="n"/>
    </row>
    <row r="350">
      <c r="A350" s="91" t="n"/>
      <c r="B350" s="92" t="n"/>
      <c r="C350" s="92" t="n"/>
      <c r="D350" s="92" t="n"/>
      <c r="E350" s="93" t="n"/>
      <c r="F350" s="92" t="n"/>
    </row>
    <row r="351">
      <c r="A351" s="91" t="n"/>
      <c r="B351" s="92" t="n"/>
      <c r="C351" s="92" t="n"/>
      <c r="D351" s="92" t="n"/>
      <c r="E351" s="93" t="n"/>
      <c r="F351" s="92" t="n"/>
    </row>
    <row r="352">
      <c r="A352" s="91" t="n"/>
      <c r="B352" s="92" t="n"/>
      <c r="C352" s="92" t="n"/>
      <c r="D352" s="92" t="n"/>
      <c r="E352" s="93" t="n"/>
      <c r="F352" s="92" t="n"/>
    </row>
    <row r="353">
      <c r="A353" s="91" t="n"/>
      <c r="B353" s="92" t="n"/>
      <c r="C353" s="92" t="n"/>
      <c r="D353" s="92" t="n"/>
      <c r="E353" s="93" t="n"/>
      <c r="F353" s="92" t="n"/>
    </row>
    <row r="354">
      <c r="A354" s="91" t="n"/>
      <c r="B354" s="92" t="n"/>
      <c r="C354" s="92" t="n"/>
      <c r="D354" s="92" t="n"/>
      <c r="E354" s="93" t="n"/>
      <c r="F354" s="92" t="n"/>
    </row>
    <row r="355">
      <c r="A355" s="91" t="n"/>
      <c r="B355" s="92" t="n"/>
      <c r="C355" s="92" t="n"/>
      <c r="D355" s="92" t="n"/>
      <c r="E355" s="93" t="n"/>
      <c r="F355" s="92" t="n"/>
    </row>
    <row r="356">
      <c r="A356" s="91" t="n"/>
      <c r="B356" s="92" t="n"/>
      <c r="C356" s="92" t="n"/>
      <c r="D356" s="92" t="n"/>
      <c r="E356" s="93" t="n"/>
      <c r="F356" s="92" t="n"/>
    </row>
    <row r="357">
      <c r="A357" s="91" t="n"/>
      <c r="B357" s="92" t="n"/>
      <c r="C357" s="92" t="n"/>
      <c r="D357" s="92" t="n"/>
      <c r="E357" s="93" t="n"/>
      <c r="F357" s="92" t="n"/>
    </row>
    <row r="358">
      <c r="A358" s="91" t="n"/>
      <c r="B358" s="92" t="n"/>
      <c r="C358" s="92" t="n"/>
      <c r="D358" s="92" t="n"/>
      <c r="E358" s="93" t="n"/>
      <c r="F358" s="92" t="n"/>
    </row>
    <row r="359">
      <c r="A359" s="91" t="n"/>
      <c r="B359" s="92" t="n"/>
      <c r="C359" s="92" t="n"/>
      <c r="D359" s="92" t="n"/>
      <c r="E359" s="93" t="n"/>
      <c r="F359" s="92" t="n"/>
    </row>
    <row r="360">
      <c r="A360" s="91" t="n"/>
      <c r="B360" s="92" t="n"/>
      <c r="C360" s="92" t="n"/>
      <c r="D360" s="92" t="n"/>
      <c r="E360" s="93" t="n"/>
      <c r="F360" s="92" t="n"/>
    </row>
    <row r="361">
      <c r="A361" s="91" t="n"/>
      <c r="B361" s="92" t="n"/>
      <c r="C361" s="92" t="n"/>
      <c r="D361" s="92" t="n"/>
      <c r="E361" s="93" t="n"/>
      <c r="F361" s="92" t="n"/>
    </row>
    <row r="362">
      <c r="A362" s="91" t="n"/>
      <c r="B362" s="92" t="n"/>
      <c r="C362" s="92" t="n"/>
      <c r="D362" s="92" t="n"/>
      <c r="E362" s="93" t="n"/>
      <c r="F362" s="92" t="n"/>
    </row>
    <row r="363">
      <c r="A363" s="91" t="n"/>
      <c r="B363" s="92" t="n"/>
      <c r="C363" s="92" t="n"/>
      <c r="D363" s="92" t="n"/>
      <c r="E363" s="93" t="n"/>
      <c r="F363" s="92" t="n"/>
    </row>
    <row r="364">
      <c r="A364" s="91" t="n"/>
      <c r="B364" s="92" t="n"/>
      <c r="C364" s="92" t="n"/>
      <c r="D364" s="92" t="n"/>
      <c r="E364" s="93" t="n"/>
      <c r="F364" s="92" t="n"/>
    </row>
    <row r="365">
      <c r="A365" s="91" t="n"/>
      <c r="B365" s="92" t="n"/>
      <c r="C365" s="92" t="n"/>
      <c r="D365" s="92" t="n"/>
      <c r="E365" s="93" t="n"/>
      <c r="F365" s="92" t="n"/>
    </row>
    <row r="366">
      <c r="A366" s="91" t="n"/>
      <c r="B366" s="92" t="n"/>
      <c r="C366" s="92" t="n"/>
      <c r="D366" s="92" t="n"/>
      <c r="E366" s="93" t="n"/>
      <c r="F366" s="92" t="n"/>
    </row>
    <row r="367">
      <c r="A367" s="91" t="n"/>
      <c r="B367" s="92" t="n"/>
      <c r="C367" s="92" t="n"/>
      <c r="D367" s="92" t="n"/>
      <c r="E367" s="93" t="n"/>
      <c r="F367" s="92" t="n"/>
    </row>
    <row r="368">
      <c r="A368" s="91" t="n"/>
      <c r="B368" s="92" t="n"/>
      <c r="C368" s="92" t="n"/>
      <c r="D368" s="92" t="n"/>
      <c r="E368" s="93" t="n"/>
      <c r="F368" s="92" t="n"/>
    </row>
    <row r="369">
      <c r="A369" s="91" t="n"/>
      <c r="B369" s="92" t="n"/>
      <c r="C369" s="92" t="n"/>
      <c r="D369" s="92" t="n"/>
      <c r="E369" s="93" t="n"/>
      <c r="F369" s="92" t="n"/>
    </row>
    <row r="370">
      <c r="A370" s="91" t="n"/>
      <c r="B370" s="92" t="n"/>
      <c r="C370" s="92" t="n"/>
      <c r="D370" s="92" t="n"/>
      <c r="E370" s="93" t="n"/>
      <c r="F370" s="92" t="n"/>
    </row>
    <row r="371">
      <c r="A371" s="91" t="n"/>
      <c r="B371" s="92" t="n"/>
      <c r="C371" s="92" t="n"/>
      <c r="D371" s="92" t="n"/>
      <c r="E371" s="93" t="n"/>
      <c r="F371" s="92" t="n"/>
    </row>
    <row r="372">
      <c r="A372" s="91" t="n"/>
      <c r="B372" s="92" t="n"/>
      <c r="C372" s="92" t="n"/>
      <c r="D372" s="92" t="n"/>
      <c r="E372" s="93" t="n"/>
      <c r="F372" s="92" t="n"/>
    </row>
    <row r="373">
      <c r="A373" s="91" t="n"/>
      <c r="B373" s="92" t="n"/>
      <c r="C373" s="92" t="n"/>
      <c r="D373" s="92" t="n"/>
      <c r="E373" s="93" t="n"/>
      <c r="F373" s="92" t="n"/>
    </row>
    <row r="374">
      <c r="A374" s="91" t="n"/>
      <c r="B374" s="92" t="n"/>
      <c r="C374" s="92" t="n"/>
      <c r="D374" s="92" t="n"/>
      <c r="E374" s="93" t="n"/>
      <c r="F374" s="92" t="n"/>
    </row>
    <row r="375">
      <c r="A375" s="91" t="n"/>
      <c r="B375" s="92" t="n"/>
      <c r="C375" s="92" t="n"/>
      <c r="D375" s="92" t="n"/>
      <c r="E375" s="93" t="n"/>
      <c r="F375" s="92" t="n"/>
    </row>
    <row r="376">
      <c r="A376" s="91" t="n"/>
      <c r="B376" s="92" t="n"/>
      <c r="C376" s="92" t="n"/>
      <c r="D376" s="92" t="n"/>
      <c r="E376" s="93" t="n"/>
      <c r="F376" s="92" t="n"/>
    </row>
    <row r="377">
      <c r="A377" s="91" t="n"/>
      <c r="B377" s="92" t="n"/>
      <c r="C377" s="92" t="n"/>
      <c r="D377" s="92" t="n"/>
      <c r="E377" s="93" t="n"/>
      <c r="F377" s="92" t="n"/>
    </row>
    <row r="378">
      <c r="A378" s="91" t="n"/>
      <c r="B378" s="92" t="n"/>
      <c r="C378" s="92" t="n"/>
      <c r="D378" s="92" t="n"/>
      <c r="E378" s="93" t="n"/>
      <c r="F378" s="92" t="n"/>
    </row>
    <row r="379">
      <c r="A379" s="91" t="n"/>
      <c r="B379" s="92" t="n"/>
      <c r="C379" s="92" t="n"/>
      <c r="D379" s="92" t="n"/>
      <c r="E379" s="93" t="n"/>
      <c r="F379" s="92" t="n"/>
    </row>
    <row r="380">
      <c r="A380" s="91" t="n"/>
      <c r="B380" s="92" t="n"/>
      <c r="C380" s="92" t="n"/>
      <c r="D380" s="92" t="n"/>
      <c r="E380" s="93" t="n"/>
      <c r="F380" s="92" t="n"/>
    </row>
    <row r="381">
      <c r="A381" s="91" t="n"/>
      <c r="B381" s="92" t="n"/>
      <c r="C381" s="92" t="n"/>
      <c r="D381" s="92" t="n"/>
      <c r="E381" s="93" t="n"/>
      <c r="F381" s="92" t="n"/>
    </row>
    <row r="382">
      <c r="A382" s="91" t="n"/>
      <c r="B382" s="92" t="n"/>
      <c r="C382" s="92" t="n"/>
      <c r="D382" s="92" t="n"/>
      <c r="E382" s="93" t="n"/>
      <c r="F382" s="92" t="n"/>
    </row>
    <row r="383">
      <c r="A383" s="91" t="n"/>
      <c r="B383" s="92" t="n"/>
      <c r="C383" s="92" t="n"/>
      <c r="D383" s="92" t="n"/>
      <c r="E383" s="93" t="n"/>
      <c r="F383" s="92" t="n"/>
    </row>
    <row r="384">
      <c r="A384" s="91" t="n"/>
      <c r="B384" s="92" t="n"/>
      <c r="C384" s="92" t="n"/>
      <c r="D384" s="92" t="n"/>
      <c r="E384" s="93" t="n"/>
      <c r="F384" s="92" t="n"/>
    </row>
    <row r="385">
      <c r="A385" s="91" t="n"/>
      <c r="B385" s="92" t="n"/>
      <c r="C385" s="92" t="n"/>
      <c r="D385" s="92" t="n"/>
      <c r="E385" s="93" t="n"/>
      <c r="F385" s="92" t="n"/>
    </row>
    <row r="386">
      <c r="A386" s="91" t="n"/>
      <c r="B386" s="92" t="n"/>
      <c r="C386" s="92" t="n"/>
      <c r="D386" s="92" t="n"/>
      <c r="E386" s="93" t="n"/>
      <c r="F386" s="92" t="n"/>
    </row>
    <row r="387">
      <c r="A387" s="91" t="n"/>
      <c r="B387" s="92" t="n"/>
      <c r="C387" s="92" t="n"/>
      <c r="D387" s="92" t="n"/>
      <c r="E387" s="93" t="n"/>
      <c r="F387" s="92" t="n"/>
    </row>
    <row r="388">
      <c r="A388" s="91" t="n"/>
      <c r="B388" s="92" t="n"/>
      <c r="C388" s="92" t="n"/>
      <c r="D388" s="92" t="n"/>
      <c r="E388" s="93" t="n"/>
      <c r="F388" s="92" t="n"/>
    </row>
    <row r="389">
      <c r="A389" s="91" t="n"/>
      <c r="B389" s="92" t="n"/>
      <c r="C389" s="92" t="n"/>
      <c r="D389" s="92" t="n"/>
      <c r="E389" s="93" t="n"/>
      <c r="F389" s="92" t="n"/>
    </row>
    <row r="390">
      <c r="A390" s="91" t="n"/>
      <c r="B390" s="92" t="n"/>
      <c r="C390" s="92" t="n"/>
      <c r="D390" s="92" t="n"/>
      <c r="E390" s="93" t="n"/>
      <c r="F390" s="92" t="n"/>
    </row>
    <row r="391">
      <c r="A391" s="91" t="n"/>
      <c r="B391" s="92" t="n"/>
      <c r="C391" s="92" t="n"/>
      <c r="D391" s="92" t="n"/>
      <c r="E391" s="93" t="n"/>
      <c r="F391" s="92" t="n"/>
    </row>
    <row r="392">
      <c r="A392" s="91" t="n"/>
      <c r="B392" s="92" t="n"/>
      <c r="C392" s="92" t="n"/>
      <c r="D392" s="92" t="n"/>
      <c r="E392" s="93" t="n"/>
      <c r="F392" s="92" t="n"/>
    </row>
    <row r="393">
      <c r="A393" s="91" t="n"/>
      <c r="B393" s="92" t="n"/>
      <c r="C393" s="92" t="n"/>
      <c r="D393" s="92" t="n"/>
      <c r="E393" s="93" t="n"/>
      <c r="F393" s="92" t="n"/>
    </row>
    <row r="394">
      <c r="A394" s="91" t="n"/>
      <c r="B394" s="92" t="n"/>
      <c r="C394" s="92" t="n"/>
      <c r="D394" s="92" t="n"/>
      <c r="E394" s="93" t="n"/>
      <c r="F394" s="92" t="n"/>
    </row>
    <row r="395">
      <c r="A395" s="91" t="n"/>
      <c r="B395" s="92" t="n"/>
      <c r="C395" s="92" t="n"/>
      <c r="D395" s="92" t="n"/>
      <c r="E395" s="93" t="n"/>
      <c r="F395" s="92" t="n"/>
    </row>
    <row r="396">
      <c r="A396" s="91" t="n"/>
      <c r="B396" s="92" t="n"/>
      <c r="C396" s="92" t="n"/>
      <c r="D396" s="92" t="n"/>
      <c r="E396" s="93" t="n"/>
      <c r="F396" s="92" t="n"/>
    </row>
    <row r="397">
      <c r="A397" s="91" t="n"/>
      <c r="B397" s="92" t="n"/>
      <c r="C397" s="92" t="n"/>
      <c r="D397" s="92" t="n"/>
      <c r="E397" s="93" t="n"/>
      <c r="F397" s="92" t="n"/>
    </row>
    <row r="398">
      <c r="A398" s="91" t="n"/>
      <c r="B398" s="92" t="n"/>
      <c r="C398" s="92" t="n"/>
      <c r="D398" s="92" t="n"/>
      <c r="E398" s="93" t="n"/>
      <c r="F398" s="92" t="n"/>
    </row>
    <row r="399">
      <c r="A399" s="91" t="n"/>
      <c r="B399" s="92" t="n"/>
      <c r="C399" s="92" t="n"/>
      <c r="D399" s="92" t="n"/>
      <c r="E399" s="93" t="n"/>
      <c r="F399" s="92" t="n"/>
    </row>
    <row r="400">
      <c r="A400" s="91" t="n"/>
      <c r="B400" s="92" t="n"/>
      <c r="C400" s="92" t="n"/>
      <c r="D400" s="92" t="n"/>
      <c r="E400" s="93" t="n"/>
      <c r="F400" s="92" t="n"/>
    </row>
    <row r="401">
      <c r="A401" s="91" t="n"/>
      <c r="B401" s="92" t="n"/>
      <c r="C401" s="92" t="n"/>
      <c r="D401" s="92" t="n"/>
      <c r="E401" s="93" t="n"/>
      <c r="F401" s="92" t="n"/>
    </row>
    <row r="402">
      <c r="A402" s="91" t="n"/>
      <c r="B402" s="92" t="n"/>
      <c r="C402" s="92" t="n"/>
      <c r="D402" s="92" t="n"/>
      <c r="E402" s="93" t="n"/>
      <c r="F402" s="92" t="n"/>
    </row>
    <row r="403">
      <c r="A403" s="91" t="n"/>
      <c r="B403" s="92" t="n"/>
      <c r="C403" s="92" t="n"/>
      <c r="D403" s="92" t="n"/>
      <c r="E403" s="93" t="n"/>
      <c r="F403" s="92" t="n"/>
    </row>
    <row r="404">
      <c r="A404" s="91" t="n"/>
      <c r="B404" s="92" t="n"/>
      <c r="C404" s="92" t="n"/>
      <c r="D404" s="92" t="n"/>
      <c r="E404" s="93" t="n"/>
      <c r="F404" s="92" t="n"/>
    </row>
    <row r="405">
      <c r="A405" s="91" t="n"/>
      <c r="B405" s="92" t="n"/>
      <c r="C405" s="92" t="n"/>
      <c r="D405" s="92" t="n"/>
      <c r="E405" s="93" t="n"/>
      <c r="F405" s="92" t="n"/>
    </row>
    <row r="406">
      <c r="A406" s="91" t="n"/>
      <c r="B406" s="92" t="n"/>
      <c r="C406" s="92" t="n"/>
      <c r="D406" s="92" t="n"/>
      <c r="E406" s="93" t="n"/>
      <c r="F406" s="92" t="n"/>
    </row>
    <row r="407">
      <c r="A407" s="91" t="n"/>
      <c r="B407" s="92" t="n"/>
      <c r="C407" s="92" t="n"/>
      <c r="D407" s="92" t="n"/>
      <c r="E407" s="93" t="n"/>
      <c r="F407" s="92" t="n"/>
    </row>
    <row r="408">
      <c r="A408" s="91" t="n"/>
      <c r="B408" s="92" t="n"/>
      <c r="C408" s="92" t="n"/>
      <c r="D408" s="92" t="n"/>
      <c r="E408" s="93" t="n"/>
      <c r="F408" s="92" t="n"/>
    </row>
    <row r="409">
      <c r="A409" s="91" t="n"/>
      <c r="B409" s="92" t="n"/>
      <c r="C409" s="92" t="n"/>
      <c r="D409" s="92" t="n"/>
      <c r="E409" s="93" t="n"/>
      <c r="F409" s="92" t="n"/>
    </row>
    <row r="410">
      <c r="A410" s="91" t="n"/>
      <c r="B410" s="92" t="n"/>
      <c r="C410" s="92" t="n"/>
      <c r="D410" s="92" t="n"/>
      <c r="E410" s="93" t="n"/>
      <c r="F410" s="92" t="n"/>
    </row>
    <row r="411">
      <c r="A411" s="91" t="n"/>
      <c r="B411" s="92" t="n"/>
      <c r="C411" s="92" t="n"/>
      <c r="D411" s="92" t="n"/>
      <c r="E411" s="93" t="n"/>
      <c r="F411" s="92" t="n"/>
    </row>
    <row r="412">
      <c r="A412" s="91" t="n"/>
      <c r="B412" s="92" t="n"/>
      <c r="C412" s="92" t="n"/>
      <c r="D412" s="92" t="n"/>
      <c r="E412" s="93" t="n"/>
      <c r="F412" s="92" t="n"/>
    </row>
    <row r="413">
      <c r="A413" s="91" t="n"/>
      <c r="B413" s="92" t="n"/>
      <c r="C413" s="92" t="n"/>
      <c r="D413" s="92" t="n"/>
      <c r="E413" s="93" t="n"/>
      <c r="F413" s="92" t="n"/>
    </row>
    <row r="414">
      <c r="A414" s="91" t="n"/>
      <c r="B414" s="92" t="n"/>
      <c r="C414" s="92" t="n"/>
      <c r="D414" s="92" t="n"/>
      <c r="E414" s="93" t="n"/>
      <c r="F414" s="92" t="n"/>
    </row>
    <row r="415">
      <c r="A415" s="91" t="n"/>
      <c r="B415" s="92" t="n"/>
      <c r="C415" s="92" t="n"/>
      <c r="D415" s="92" t="n"/>
      <c r="E415" s="93" t="n"/>
      <c r="F415" s="92" t="n"/>
    </row>
    <row r="416">
      <c r="A416" s="91" t="n"/>
      <c r="B416" s="92" t="n"/>
      <c r="C416" s="92" t="n"/>
      <c r="D416" s="92" t="n"/>
      <c r="E416" s="93" t="n"/>
      <c r="F416" s="92" t="n"/>
    </row>
    <row r="417">
      <c r="A417" s="91" t="n"/>
      <c r="B417" s="92" t="n"/>
      <c r="C417" s="92" t="n"/>
      <c r="D417" s="92" t="n"/>
      <c r="E417" s="93" t="n"/>
      <c r="F417" s="92" t="n"/>
    </row>
    <row r="418">
      <c r="A418" s="91" t="n"/>
      <c r="B418" s="92" t="n"/>
      <c r="C418" s="92" t="n"/>
      <c r="D418" s="92" t="n"/>
      <c r="E418" s="93" t="n"/>
      <c r="F418" s="92" t="n"/>
    </row>
    <row r="419">
      <c r="A419" s="91" t="n"/>
      <c r="B419" s="92" t="n"/>
      <c r="C419" s="92" t="n"/>
      <c r="D419" s="92" t="n"/>
      <c r="E419" s="93" t="n"/>
      <c r="F419" s="92" t="n"/>
    </row>
    <row r="420">
      <c r="A420" s="91" t="n"/>
      <c r="B420" s="92" t="n"/>
      <c r="C420" s="92" t="n"/>
      <c r="D420" s="92" t="n"/>
      <c r="E420" s="93" t="n"/>
      <c r="F420" s="92" t="n"/>
    </row>
    <row r="421">
      <c r="A421" s="91" t="n"/>
      <c r="B421" s="92" t="n"/>
      <c r="C421" s="92" t="n"/>
      <c r="D421" s="92" t="n"/>
      <c r="E421" s="93" t="n"/>
      <c r="F421" s="92" t="n"/>
    </row>
    <row r="422">
      <c r="A422" s="91" t="n"/>
      <c r="B422" s="92" t="n"/>
      <c r="C422" s="92" t="n"/>
      <c r="D422" s="92" t="n"/>
      <c r="E422" s="93" t="n"/>
      <c r="F422" s="92" t="n"/>
    </row>
    <row r="423">
      <c r="A423" s="91" t="n"/>
      <c r="B423" s="92" t="n"/>
      <c r="C423" s="92" t="n"/>
      <c r="D423" s="92" t="n"/>
      <c r="E423" s="93" t="n"/>
      <c r="F423" s="92" t="n"/>
    </row>
    <row r="424">
      <c r="A424" s="91" t="n"/>
      <c r="B424" s="92" t="n"/>
      <c r="C424" s="92" t="n"/>
      <c r="D424" s="92" t="n"/>
      <c r="E424" s="93" t="n"/>
      <c r="F424" s="92" t="n"/>
    </row>
    <row r="425">
      <c r="A425" s="91" t="n"/>
      <c r="B425" s="92" t="n"/>
      <c r="C425" s="92" t="n"/>
      <c r="D425" s="92" t="n"/>
      <c r="E425" s="93" t="n"/>
      <c r="F425" s="92" t="n"/>
    </row>
    <row r="426">
      <c r="A426" s="91" t="n"/>
      <c r="B426" s="92" t="n"/>
      <c r="C426" s="92" t="n"/>
      <c r="D426" s="92" t="n"/>
      <c r="E426" s="93" t="n"/>
      <c r="F426" s="92" t="n"/>
    </row>
    <row r="427">
      <c r="A427" s="91" t="n"/>
      <c r="B427" s="92" t="n"/>
      <c r="C427" s="92" t="n"/>
      <c r="D427" s="92" t="n"/>
      <c r="E427" s="93" t="n"/>
      <c r="F427" s="92" t="n"/>
    </row>
    <row r="428">
      <c r="A428" s="91" t="n"/>
      <c r="B428" s="92" t="n"/>
      <c r="C428" s="92" t="n"/>
      <c r="D428" s="92" t="n"/>
      <c r="E428" s="93" t="n"/>
      <c r="F428" s="92" t="n"/>
    </row>
    <row r="429">
      <c r="A429" s="91" t="n"/>
      <c r="B429" s="92" t="n"/>
      <c r="C429" s="92" t="n"/>
      <c r="D429" s="92" t="n"/>
      <c r="E429" s="93" t="n"/>
      <c r="F429" s="92" t="n"/>
    </row>
    <row r="430">
      <c r="A430" s="91" t="n"/>
      <c r="B430" s="92" t="n"/>
      <c r="C430" s="92" t="n"/>
      <c r="D430" s="92" t="n"/>
      <c r="E430" s="93" t="n"/>
      <c r="F430" s="92" t="n"/>
    </row>
    <row r="431">
      <c r="A431" s="91" t="n"/>
      <c r="B431" s="92" t="n"/>
      <c r="C431" s="92" t="n"/>
      <c r="D431" s="92" t="n"/>
      <c r="E431" s="93" t="n"/>
      <c r="F431" s="92" t="n"/>
    </row>
    <row r="432">
      <c r="A432" s="91" t="n"/>
      <c r="B432" s="92" t="n"/>
      <c r="C432" s="92" t="n"/>
      <c r="D432" s="92" t="n"/>
      <c r="E432" s="93" t="n"/>
      <c r="F432" s="92" t="n"/>
    </row>
    <row r="433">
      <c r="A433" s="91" t="n"/>
      <c r="B433" s="92" t="n"/>
      <c r="C433" s="92" t="n"/>
      <c r="D433" s="92" t="n"/>
      <c r="E433" s="93" t="n"/>
      <c r="F433" s="92" t="n"/>
    </row>
    <row r="434">
      <c r="A434" s="91" t="n"/>
      <c r="B434" s="92" t="n"/>
      <c r="C434" s="92" t="n"/>
      <c r="D434" s="92" t="n"/>
      <c r="E434" s="93" t="n"/>
      <c r="F434" s="92" t="n"/>
    </row>
    <row r="435">
      <c r="A435" s="91" t="n"/>
      <c r="B435" s="92" t="n"/>
      <c r="C435" s="92" t="n"/>
      <c r="D435" s="92" t="n"/>
      <c r="E435" s="93" t="n"/>
      <c r="F435" s="92" t="n"/>
    </row>
    <row r="436">
      <c r="A436" s="91" t="n"/>
      <c r="B436" s="92" t="n"/>
      <c r="C436" s="92" t="n"/>
      <c r="D436" s="92" t="n"/>
      <c r="E436" s="93" t="n"/>
      <c r="F436" s="92" t="n"/>
    </row>
    <row r="437">
      <c r="A437" s="91" t="n"/>
      <c r="B437" s="92" t="n"/>
      <c r="C437" s="92" t="n"/>
      <c r="D437" s="92" t="n"/>
      <c r="E437" s="93" t="n"/>
      <c r="F437" s="92" t="n"/>
    </row>
    <row r="438">
      <c r="A438" s="91" t="n"/>
      <c r="B438" s="92" t="n"/>
      <c r="C438" s="92" t="n"/>
      <c r="D438" s="92" t="n"/>
      <c r="E438" s="93" t="n"/>
      <c r="F438" s="92" t="n"/>
    </row>
    <row r="439">
      <c r="A439" s="91" t="n"/>
      <c r="B439" s="92" t="n"/>
      <c r="C439" s="92" t="n"/>
      <c r="D439" s="92" t="n"/>
      <c r="E439" s="93" t="n"/>
      <c r="F439" s="92" t="n"/>
    </row>
    <row r="440">
      <c r="A440" s="91" t="n"/>
      <c r="B440" s="92" t="n"/>
      <c r="C440" s="92" t="n"/>
      <c r="D440" s="92" t="n"/>
      <c r="E440" s="93" t="n"/>
      <c r="F440" s="92" t="n"/>
    </row>
    <row r="441">
      <c r="A441" s="91" t="n"/>
      <c r="B441" s="92" t="n"/>
      <c r="C441" s="92" t="n"/>
      <c r="D441" s="92" t="n"/>
      <c r="E441" s="93" t="n"/>
      <c r="F441" s="92" t="n"/>
    </row>
    <row r="442">
      <c r="A442" s="91" t="n"/>
      <c r="B442" s="92" t="n"/>
      <c r="C442" s="92" t="n"/>
      <c r="D442" s="92" t="n"/>
      <c r="E442" s="93" t="n"/>
      <c r="F442" s="92" t="n"/>
    </row>
    <row r="443">
      <c r="A443" s="91" t="n"/>
      <c r="B443" s="92" t="n"/>
      <c r="C443" s="92" t="n"/>
      <c r="D443" s="92" t="n"/>
      <c r="E443" s="93" t="n"/>
      <c r="F443" s="92" t="n"/>
    </row>
    <row r="444">
      <c r="A444" s="91" t="n"/>
      <c r="B444" s="92" t="n"/>
      <c r="C444" s="92" t="n"/>
      <c r="D444" s="92" t="n"/>
      <c r="E444" s="93" t="n"/>
      <c r="F444" s="92" t="n"/>
    </row>
    <row r="445">
      <c r="A445" s="91" t="n"/>
      <c r="B445" s="92" t="n"/>
      <c r="C445" s="92" t="n"/>
      <c r="D445" s="92" t="n"/>
      <c r="E445" s="93" t="n"/>
      <c r="F445" s="92" t="n"/>
    </row>
    <row r="446">
      <c r="A446" s="91" t="n"/>
      <c r="B446" s="92" t="n"/>
      <c r="C446" s="92" t="n"/>
      <c r="D446" s="92" t="n"/>
      <c r="E446" s="93" t="n"/>
      <c r="F446" s="92" t="n"/>
    </row>
    <row r="447">
      <c r="A447" s="91" t="n"/>
      <c r="B447" s="92" t="n"/>
      <c r="C447" s="92" t="n"/>
      <c r="D447" s="92" t="n"/>
      <c r="E447" s="93" t="n"/>
      <c r="F447" s="92" t="n"/>
    </row>
    <row r="448">
      <c r="A448" s="91" t="n"/>
      <c r="B448" s="92" t="n"/>
      <c r="C448" s="92" t="n"/>
      <c r="D448" s="92" t="n"/>
      <c r="E448" s="93" t="n"/>
      <c r="F448" s="92" t="n"/>
    </row>
    <row r="449">
      <c r="A449" s="91" t="n"/>
      <c r="B449" s="92" t="n"/>
      <c r="C449" s="92" t="n"/>
      <c r="D449" s="92" t="n"/>
      <c r="E449" s="93" t="n"/>
      <c r="F449" s="92" t="n"/>
    </row>
    <row r="450">
      <c r="A450" s="91" t="n"/>
      <c r="B450" s="92" t="n"/>
      <c r="C450" s="92" t="n"/>
      <c r="D450" s="92" t="n"/>
      <c r="E450" s="93" t="n"/>
      <c r="F450" s="92" t="n"/>
    </row>
    <row r="451">
      <c r="A451" s="91" t="n"/>
      <c r="B451" s="92" t="n"/>
      <c r="C451" s="92" t="n"/>
      <c r="D451" s="92" t="n"/>
      <c r="E451" s="93" t="n"/>
      <c r="F451" s="92" t="n"/>
    </row>
    <row r="452">
      <c r="A452" s="91" t="n"/>
      <c r="B452" s="92" t="n"/>
      <c r="C452" s="92" t="n"/>
      <c r="D452" s="92" t="n"/>
      <c r="E452" s="93" t="n"/>
      <c r="F452" s="92" t="n"/>
    </row>
    <row r="453">
      <c r="A453" s="91" t="n"/>
      <c r="B453" s="92" t="n"/>
      <c r="C453" s="92" t="n"/>
      <c r="D453" s="92" t="n"/>
      <c r="E453" s="93" t="n"/>
      <c r="F453" s="92" t="n"/>
    </row>
    <row r="454">
      <c r="A454" s="91" t="n"/>
      <c r="B454" s="92" t="n"/>
      <c r="C454" s="92" t="n"/>
      <c r="D454" s="92" t="n"/>
      <c r="E454" s="93" t="n"/>
      <c r="F454" s="92" t="n"/>
    </row>
    <row r="455">
      <c r="A455" s="91" t="n"/>
      <c r="B455" s="92" t="n"/>
      <c r="C455" s="92" t="n"/>
      <c r="D455" s="92" t="n"/>
      <c r="E455" s="93" t="n"/>
      <c r="F455" s="92" t="n"/>
    </row>
    <row r="456">
      <c r="A456" s="91" t="n"/>
      <c r="B456" s="92" t="n"/>
      <c r="C456" s="92" t="n"/>
      <c r="D456" s="92" t="n"/>
      <c r="E456" s="93" t="n"/>
      <c r="F456" s="92" t="n"/>
    </row>
    <row r="457">
      <c r="A457" s="91" t="n"/>
      <c r="B457" s="92" t="n"/>
      <c r="C457" s="92" t="n"/>
      <c r="D457" s="92" t="n"/>
      <c r="E457" s="93" t="n"/>
      <c r="F457" s="92" t="n"/>
    </row>
    <row r="458">
      <c r="A458" s="91" t="n"/>
      <c r="B458" s="92" t="n"/>
      <c r="C458" s="92" t="n"/>
      <c r="D458" s="92" t="n"/>
      <c r="E458" s="93" t="n"/>
      <c r="F458" s="92" t="n"/>
    </row>
    <row r="459">
      <c r="A459" s="91" t="n"/>
      <c r="B459" s="92" t="n"/>
      <c r="C459" s="92" t="n"/>
      <c r="D459" s="92" t="n"/>
      <c r="E459" s="93" t="n"/>
      <c r="F459" s="92" t="n"/>
    </row>
    <row r="460">
      <c r="A460" s="91" t="n"/>
      <c r="B460" s="92" t="n"/>
      <c r="C460" s="92" t="n"/>
      <c r="D460" s="92" t="n"/>
      <c r="E460" s="93" t="n"/>
      <c r="F460" s="92" t="n"/>
    </row>
    <row r="461">
      <c r="A461" s="91" t="n"/>
      <c r="B461" s="92" t="n"/>
      <c r="C461" s="92" t="n"/>
      <c r="D461" s="92" t="n"/>
      <c r="E461" s="93" t="n"/>
      <c r="F461" s="92" t="n"/>
    </row>
    <row r="462">
      <c r="A462" s="91" t="n"/>
      <c r="B462" s="92" t="n"/>
      <c r="C462" s="92" t="n"/>
      <c r="D462" s="92" t="n"/>
      <c r="E462" s="93" t="n"/>
      <c r="F462" s="92" t="n"/>
    </row>
    <row r="463">
      <c r="A463" s="91" t="n"/>
      <c r="B463" s="92" t="n"/>
      <c r="C463" s="92" t="n"/>
      <c r="D463" s="92" t="n"/>
      <c r="E463" s="93" t="n"/>
      <c r="F463" s="92" t="n"/>
    </row>
    <row r="464">
      <c r="A464" s="91" t="n"/>
      <c r="B464" s="92" t="n"/>
      <c r="C464" s="92" t="n"/>
      <c r="D464" s="92" t="n"/>
      <c r="E464" s="93" t="n"/>
      <c r="F464" s="92" t="n"/>
    </row>
    <row r="465">
      <c r="A465" s="91" t="n"/>
      <c r="B465" s="92" t="n"/>
      <c r="C465" s="92" t="n"/>
      <c r="D465" s="92" t="n"/>
      <c r="E465" s="93" t="n"/>
      <c r="F465" s="92" t="n"/>
    </row>
    <row r="466">
      <c r="A466" s="91" t="n"/>
      <c r="B466" s="92" t="n"/>
      <c r="C466" s="92" t="n"/>
      <c r="D466" s="92" t="n"/>
      <c r="E466" s="93" t="n"/>
      <c r="F466" s="92" t="n"/>
    </row>
    <row r="467">
      <c r="A467" s="91" t="n"/>
      <c r="B467" s="92" t="n"/>
      <c r="C467" s="92" t="n"/>
      <c r="D467" s="92" t="n"/>
      <c r="E467" s="93" t="n"/>
      <c r="F467" s="92" t="n"/>
    </row>
    <row r="468">
      <c r="A468" s="91" t="n"/>
      <c r="B468" s="92" t="n"/>
      <c r="C468" s="92" t="n"/>
      <c r="D468" s="92" t="n"/>
      <c r="E468" s="93" t="n"/>
      <c r="F468" s="92" t="n"/>
    </row>
    <row r="469">
      <c r="A469" s="91" t="n"/>
      <c r="B469" s="92" t="n"/>
      <c r="C469" s="92" t="n"/>
      <c r="D469" s="92" t="n"/>
      <c r="E469" s="93" t="n"/>
      <c r="F469" s="92" t="n"/>
    </row>
    <row r="470">
      <c r="A470" s="91" t="n"/>
      <c r="B470" s="92" t="n"/>
      <c r="C470" s="92" t="n"/>
      <c r="D470" s="92" t="n"/>
      <c r="E470" s="93" t="n"/>
      <c r="F470" s="92" t="n"/>
    </row>
    <row r="471">
      <c r="A471" s="91" t="n"/>
      <c r="B471" s="92" t="n"/>
      <c r="C471" s="92" t="n"/>
      <c r="D471" s="92" t="n"/>
      <c r="E471" s="93" t="n"/>
      <c r="F471" s="92" t="n"/>
    </row>
    <row r="472">
      <c r="A472" s="91" t="n"/>
      <c r="B472" s="92" t="n"/>
      <c r="C472" s="92" t="n"/>
      <c r="D472" s="92" t="n"/>
      <c r="E472" s="93" t="n"/>
      <c r="F472" s="92" t="n"/>
    </row>
    <row r="473">
      <c r="A473" s="91" t="n"/>
      <c r="B473" s="92" t="n"/>
      <c r="C473" s="92" t="n"/>
      <c r="D473" s="92" t="n"/>
      <c r="E473" s="93" t="n"/>
      <c r="F473" s="92" t="n"/>
    </row>
    <row r="474">
      <c r="A474" s="91" t="n"/>
      <c r="B474" s="92" t="n"/>
      <c r="C474" s="92" t="n"/>
      <c r="D474" s="92" t="n"/>
      <c r="E474" s="93" t="n"/>
      <c r="F474" s="92" t="n"/>
    </row>
    <row r="475">
      <c r="A475" s="91" t="n"/>
      <c r="B475" s="92" t="n"/>
      <c r="C475" s="92" t="n"/>
      <c r="D475" s="92" t="n"/>
      <c r="E475" s="93" t="n"/>
      <c r="F475" s="92" t="n"/>
    </row>
    <row r="476">
      <c r="A476" s="91" t="n"/>
      <c r="B476" s="92" t="n"/>
      <c r="C476" s="92" t="n"/>
      <c r="D476" s="92" t="n"/>
      <c r="E476" s="93" t="n"/>
      <c r="F476" s="92" t="n"/>
    </row>
    <row r="477">
      <c r="A477" s="91" t="n"/>
      <c r="B477" s="92" t="n"/>
      <c r="C477" s="92" t="n"/>
      <c r="D477" s="92" t="n"/>
      <c r="E477" s="93" t="n"/>
      <c r="F477" s="92" t="n"/>
    </row>
    <row r="478">
      <c r="A478" s="91" t="n"/>
      <c r="B478" s="92" t="n"/>
      <c r="C478" s="92" t="n"/>
      <c r="D478" s="92" t="n"/>
      <c r="E478" s="93" t="n"/>
      <c r="F478" s="92" t="n"/>
    </row>
    <row r="479">
      <c r="A479" s="91" t="n"/>
      <c r="B479" s="92" t="n"/>
      <c r="C479" s="92" t="n"/>
      <c r="D479" s="92" t="n"/>
      <c r="E479" s="93" t="n"/>
      <c r="F479" s="92" t="n"/>
    </row>
    <row r="480">
      <c r="A480" s="91" t="n"/>
      <c r="B480" s="92" t="n"/>
      <c r="C480" s="92" t="n"/>
      <c r="D480" s="92" t="n"/>
      <c r="E480" s="93" t="n"/>
      <c r="F480" s="92" t="n"/>
    </row>
    <row r="481">
      <c r="A481" s="91" t="n"/>
      <c r="B481" s="92" t="n"/>
      <c r="C481" s="92" t="n"/>
      <c r="D481" s="92" t="n"/>
      <c r="E481" s="93" t="n"/>
      <c r="F481" s="92" t="n"/>
    </row>
    <row r="482">
      <c r="A482" s="91" t="n"/>
      <c r="B482" s="92" t="n"/>
      <c r="C482" s="92" t="n"/>
      <c r="D482" s="92" t="n"/>
      <c r="E482" s="93" t="n"/>
      <c r="F482" s="92" t="n"/>
    </row>
    <row r="483">
      <c r="A483" s="91" t="n"/>
      <c r="B483" s="92" t="n"/>
      <c r="C483" s="92" t="n"/>
      <c r="D483" s="92" t="n"/>
      <c r="E483" s="93" t="n"/>
      <c r="F483" s="92" t="n"/>
    </row>
    <row r="484">
      <c r="A484" s="91" t="n"/>
      <c r="B484" s="92" t="n"/>
      <c r="C484" s="92" t="n"/>
      <c r="D484" s="92" t="n"/>
      <c r="E484" s="93" t="n"/>
      <c r="F484" s="92" t="n"/>
    </row>
    <row r="485">
      <c r="A485" s="91" t="n"/>
      <c r="B485" s="92" t="n"/>
      <c r="C485" s="92" t="n"/>
      <c r="D485" s="92" t="n"/>
      <c r="E485" s="93" t="n"/>
      <c r="F485" s="92" t="n"/>
    </row>
    <row r="486">
      <c r="A486" s="91" t="n"/>
      <c r="B486" s="92" t="n"/>
      <c r="C486" s="92" t="n"/>
      <c r="D486" s="92" t="n"/>
      <c r="E486" s="93" t="n"/>
      <c r="F486" s="92" t="n"/>
    </row>
    <row r="487">
      <c r="A487" s="91" t="n"/>
      <c r="B487" s="92" t="n"/>
      <c r="C487" s="92" t="n"/>
      <c r="D487" s="92" t="n"/>
      <c r="E487" s="93" t="n"/>
      <c r="F487" s="92" t="n"/>
    </row>
    <row r="488">
      <c r="A488" s="91" t="n"/>
      <c r="B488" s="92" t="n"/>
      <c r="C488" s="92" t="n"/>
      <c r="D488" s="92" t="n"/>
      <c r="E488" s="93" t="n"/>
      <c r="F488" s="92" t="n"/>
    </row>
    <row r="489">
      <c r="A489" s="91" t="n"/>
      <c r="B489" s="92" t="n"/>
      <c r="C489" s="92" t="n"/>
      <c r="D489" s="92" t="n"/>
      <c r="E489" s="93" t="n"/>
      <c r="F489" s="92" t="n"/>
    </row>
    <row r="490">
      <c r="A490" s="91" t="n"/>
      <c r="B490" s="92" t="n"/>
      <c r="C490" s="92" t="n"/>
      <c r="D490" s="92" t="n"/>
      <c r="E490" s="93" t="n"/>
      <c r="F490" s="92" t="n"/>
    </row>
    <row r="491">
      <c r="A491" s="91" t="n"/>
      <c r="B491" s="92" t="n"/>
      <c r="C491" s="92" t="n"/>
      <c r="D491" s="92" t="n"/>
      <c r="E491" s="93" t="n"/>
      <c r="F491" s="92" t="n"/>
    </row>
    <row r="492">
      <c r="A492" s="91" t="n"/>
      <c r="B492" s="92" t="n"/>
      <c r="C492" s="92" t="n"/>
      <c r="D492" s="92" t="n"/>
      <c r="E492" s="93" t="n"/>
      <c r="F492" s="92" t="n"/>
    </row>
    <row r="493">
      <c r="A493" s="91" t="n"/>
      <c r="B493" s="92" t="n"/>
      <c r="C493" s="92" t="n"/>
      <c r="D493" s="92" t="n"/>
      <c r="E493" s="93" t="n"/>
      <c r="F493" s="92" t="n"/>
    </row>
    <row r="494">
      <c r="A494" s="91" t="n"/>
      <c r="B494" s="92" t="n"/>
      <c r="C494" s="92" t="n"/>
      <c r="D494" s="92" t="n"/>
      <c r="E494" s="93" t="n"/>
      <c r="F494" s="92" t="n"/>
    </row>
    <row r="495">
      <c r="A495" s="91" t="n"/>
      <c r="B495" s="92" t="n"/>
      <c r="C495" s="92" t="n"/>
      <c r="D495" s="92" t="n"/>
      <c r="E495" s="93" t="n"/>
      <c r="F495" s="92" t="n"/>
    </row>
    <row r="496">
      <c r="A496" s="91" t="n"/>
      <c r="B496" s="92" t="n"/>
      <c r="C496" s="92" t="n"/>
      <c r="D496" s="92" t="n"/>
      <c r="E496" s="93" t="n"/>
      <c r="F496" s="92" t="n"/>
    </row>
    <row r="497">
      <c r="A497" s="91" t="n"/>
      <c r="B497" s="92" t="n"/>
      <c r="C497" s="92" t="n"/>
      <c r="D497" s="92" t="n"/>
      <c r="E497" s="93" t="n"/>
      <c r="F497" s="92" t="n"/>
    </row>
    <row r="498">
      <c r="A498" s="91" t="n"/>
      <c r="B498" s="92" t="n"/>
      <c r="C498" s="92" t="n"/>
      <c r="D498" s="92" t="n"/>
      <c r="E498" s="93" t="n"/>
      <c r="F498" s="92" t="n"/>
    </row>
    <row r="499">
      <c r="A499" s="91" t="n"/>
      <c r="B499" s="92" t="n"/>
      <c r="C499" s="92" t="n"/>
      <c r="D499" s="92" t="n"/>
      <c r="E499" s="93" t="n"/>
      <c r="F499" s="92" t="n"/>
    </row>
    <row r="500">
      <c r="A500" s="91" t="n"/>
      <c r="B500" s="92" t="n"/>
      <c r="C500" s="92" t="n"/>
      <c r="D500" s="92" t="n"/>
      <c r="E500" s="93" t="n"/>
      <c r="F500" s="92" t="n"/>
    </row>
    <row r="501">
      <c r="A501" s="91" t="n"/>
      <c r="B501" s="92" t="n"/>
      <c r="C501" s="92" t="n"/>
      <c r="D501" s="92" t="n"/>
      <c r="E501" s="93" t="n"/>
      <c r="F501" s="92" t="n"/>
    </row>
    <row r="502">
      <c r="A502" s="91" t="n"/>
      <c r="B502" s="92" t="n"/>
      <c r="C502" s="92" t="n"/>
      <c r="D502" s="92" t="n"/>
      <c r="E502" s="93" t="n"/>
      <c r="F502" s="92" t="n"/>
    </row>
    <row r="503">
      <c r="A503" s="91" t="n"/>
      <c r="B503" s="92" t="n"/>
      <c r="C503" s="92" t="n"/>
      <c r="D503" s="92" t="n"/>
      <c r="E503" s="93" t="n"/>
      <c r="F503" s="92" t="n"/>
    </row>
    <row r="504">
      <c r="A504" s="91" t="n"/>
      <c r="B504" s="92" t="n"/>
      <c r="C504" s="92" t="n"/>
      <c r="D504" s="92" t="n"/>
      <c r="E504" s="93" t="n"/>
      <c r="F504" s="92" t="n"/>
    </row>
    <row r="505">
      <c r="A505" s="91" t="n"/>
      <c r="B505" s="92" t="n"/>
      <c r="C505" s="92" t="n"/>
      <c r="D505" s="92" t="n"/>
      <c r="E505" s="93" t="n"/>
      <c r="F505" s="92" t="n"/>
    </row>
    <row r="506">
      <c r="A506" s="91" t="n"/>
      <c r="B506" s="92" t="n"/>
      <c r="C506" s="92" t="n"/>
      <c r="D506" s="92" t="n"/>
      <c r="E506" s="93" t="n"/>
      <c r="F506" s="92" t="n"/>
    </row>
    <row r="507">
      <c r="A507" s="91" t="n"/>
      <c r="B507" s="92" t="n"/>
      <c r="C507" s="92" t="n"/>
      <c r="D507" s="92" t="n"/>
      <c r="E507" s="93" t="n"/>
      <c r="F507" s="92" t="n"/>
    </row>
    <row r="508">
      <c r="A508" s="91" t="n"/>
      <c r="B508" s="92" t="n"/>
      <c r="C508" s="92" t="n"/>
      <c r="D508" s="92" t="n"/>
      <c r="E508" s="93" t="n"/>
      <c r="F508" s="92" t="n"/>
    </row>
    <row r="509">
      <c r="A509" s="91" t="n"/>
      <c r="B509" s="92" t="n"/>
      <c r="C509" s="92" t="n"/>
      <c r="D509" s="92" t="n"/>
      <c r="E509" s="93" t="n"/>
      <c r="F509" s="92" t="n"/>
    </row>
    <row r="510">
      <c r="A510" s="91" t="n"/>
      <c r="B510" s="92" t="n"/>
      <c r="C510" s="92" t="n"/>
      <c r="D510" s="92" t="n"/>
      <c r="E510" s="93" t="n"/>
      <c r="F510" s="92" t="n"/>
    </row>
    <row r="511">
      <c r="A511" s="91" t="n"/>
      <c r="B511" s="92" t="n"/>
      <c r="C511" s="92" t="n"/>
      <c r="D511" s="92" t="n"/>
      <c r="E511" s="93" t="n"/>
      <c r="F511" s="92" t="n"/>
    </row>
    <row r="512">
      <c r="A512" s="91" t="n"/>
      <c r="B512" s="92" t="n"/>
      <c r="C512" s="92" t="n"/>
      <c r="D512" s="92" t="n"/>
      <c r="E512" s="93" t="n"/>
      <c r="F512" s="92" t="n"/>
    </row>
    <row r="513">
      <c r="A513" s="91" t="n"/>
      <c r="B513" s="92" t="n"/>
      <c r="C513" s="92" t="n"/>
      <c r="D513" s="92" t="n"/>
      <c r="E513" s="93" t="n"/>
      <c r="F513" s="92" t="n"/>
    </row>
    <row r="514">
      <c r="A514" s="91" t="n"/>
      <c r="B514" s="92" t="n"/>
      <c r="C514" s="92" t="n"/>
      <c r="D514" s="92" t="n"/>
      <c r="E514" s="93" t="n"/>
      <c r="F514" s="92" t="n"/>
    </row>
    <row r="515">
      <c r="A515" s="91" t="n"/>
      <c r="B515" s="92" t="n"/>
      <c r="C515" s="92" t="n"/>
      <c r="D515" s="92" t="n"/>
      <c r="E515" s="93" t="n"/>
      <c r="F515" s="92" t="n"/>
    </row>
    <row r="516">
      <c r="A516" s="91" t="n"/>
      <c r="B516" s="92" t="n"/>
      <c r="C516" s="92" t="n"/>
      <c r="D516" s="92" t="n"/>
      <c r="E516" s="93" t="n"/>
      <c r="F516" s="92" t="n"/>
    </row>
    <row r="517">
      <c r="A517" s="91" t="n"/>
      <c r="B517" s="92" t="n"/>
      <c r="C517" s="92" t="n"/>
      <c r="D517" s="92" t="n"/>
      <c r="E517" s="93" t="n"/>
      <c r="F517" s="92" t="n"/>
    </row>
    <row r="518">
      <c r="A518" s="91" t="n"/>
      <c r="B518" s="92" t="n"/>
      <c r="C518" s="92" t="n"/>
      <c r="D518" s="92" t="n"/>
      <c r="E518" s="93" t="n"/>
      <c r="F518" s="92" t="n"/>
    </row>
    <row r="519">
      <c r="A519" s="91" t="n"/>
      <c r="B519" s="92" t="n"/>
      <c r="C519" s="92" t="n"/>
      <c r="D519" s="92" t="n"/>
      <c r="E519" s="93" t="n"/>
      <c r="F519" s="92" t="n"/>
    </row>
    <row r="520">
      <c r="A520" s="91" t="n"/>
      <c r="B520" s="92" t="n"/>
      <c r="C520" s="92" t="n"/>
      <c r="D520" s="92" t="n"/>
      <c r="E520" s="93" t="n"/>
      <c r="F520" s="92" t="n"/>
    </row>
    <row r="521">
      <c r="A521" s="91" t="n"/>
      <c r="B521" s="92" t="n"/>
      <c r="C521" s="92" t="n"/>
      <c r="D521" s="92" t="n"/>
      <c r="E521" s="93" t="n"/>
      <c r="F521" s="92" t="n"/>
    </row>
    <row r="522">
      <c r="A522" s="91" t="n"/>
      <c r="B522" s="92" t="n"/>
      <c r="C522" s="92" t="n"/>
      <c r="D522" s="92" t="n"/>
      <c r="E522" s="93" t="n"/>
      <c r="F522" s="92" t="n"/>
    </row>
    <row r="523">
      <c r="A523" s="91" t="n"/>
      <c r="B523" s="92" t="n"/>
      <c r="C523" s="92" t="n"/>
      <c r="D523" s="92" t="n"/>
      <c r="E523" s="93" t="n"/>
      <c r="F523" s="92" t="n"/>
    </row>
    <row r="524">
      <c r="A524" s="91" t="n"/>
      <c r="B524" s="92" t="n"/>
      <c r="C524" s="92" t="n"/>
      <c r="D524" s="92" t="n"/>
      <c r="E524" s="93" t="n"/>
      <c r="F524" s="92" t="n"/>
    </row>
    <row r="525">
      <c r="A525" s="91" t="n"/>
      <c r="B525" s="92" t="n"/>
      <c r="C525" s="92" t="n"/>
      <c r="D525" s="92" t="n"/>
      <c r="E525" s="93" t="n"/>
      <c r="F525" s="92" t="n"/>
    </row>
    <row r="526">
      <c r="A526" s="91" t="n"/>
      <c r="B526" s="92" t="n"/>
      <c r="C526" s="92" t="n"/>
      <c r="D526" s="92" t="n"/>
      <c r="E526" s="93" t="n"/>
      <c r="F526" s="92" t="n"/>
    </row>
    <row r="527">
      <c r="A527" s="91" t="n"/>
      <c r="B527" s="92" t="n"/>
      <c r="C527" s="92" t="n"/>
      <c r="D527" s="92" t="n"/>
      <c r="E527" s="93" t="n"/>
      <c r="F527" s="92" t="n"/>
    </row>
    <row r="528">
      <c r="A528" s="91" t="n"/>
      <c r="B528" s="92" t="n"/>
      <c r="C528" s="92" t="n"/>
      <c r="D528" s="92" t="n"/>
      <c r="E528" s="93" t="n"/>
      <c r="F528" s="92" t="n"/>
    </row>
    <row r="529">
      <c r="A529" s="91" t="n"/>
      <c r="B529" s="92" t="n"/>
      <c r="C529" s="92" t="n"/>
      <c r="D529" s="92" t="n"/>
      <c r="E529" s="93" t="n"/>
      <c r="F529" s="92" t="n"/>
    </row>
    <row r="530">
      <c r="A530" s="91" t="n"/>
      <c r="B530" s="92" t="n"/>
      <c r="C530" s="92" t="n"/>
      <c r="D530" s="92" t="n"/>
      <c r="E530" s="93" t="n"/>
      <c r="F530" s="92" t="n"/>
    </row>
    <row r="531">
      <c r="A531" s="91" t="n"/>
      <c r="B531" s="92" t="n"/>
      <c r="C531" s="92" t="n"/>
      <c r="D531" s="92" t="n"/>
      <c r="E531" s="93" t="n"/>
      <c r="F531" s="92" t="n"/>
    </row>
    <row r="532">
      <c r="A532" s="91" t="n"/>
      <c r="B532" s="92" t="n"/>
      <c r="C532" s="92" t="n"/>
      <c r="D532" s="92" t="n"/>
      <c r="E532" s="93" t="n"/>
      <c r="F532" s="92" t="n"/>
    </row>
    <row r="533">
      <c r="A533" s="91" t="n"/>
      <c r="B533" s="92" t="n"/>
      <c r="C533" s="92" t="n"/>
      <c r="D533" s="92" t="n"/>
      <c r="E533" s="93" t="n"/>
      <c r="F533" s="92" t="n"/>
    </row>
    <row r="534">
      <c r="A534" s="91" t="n"/>
      <c r="B534" s="92" t="n"/>
      <c r="C534" s="92" t="n"/>
      <c r="D534" s="92" t="n"/>
      <c r="E534" s="93" t="n"/>
      <c r="F534" s="92" t="n"/>
    </row>
    <row r="535">
      <c r="A535" s="91" t="n"/>
      <c r="B535" s="92" t="n"/>
      <c r="C535" s="92" t="n"/>
      <c r="D535" s="92" t="n"/>
      <c r="E535" s="93" t="n"/>
      <c r="F535" s="92" t="n"/>
    </row>
    <row r="536">
      <c r="A536" s="91" t="n"/>
      <c r="B536" s="92" t="n"/>
      <c r="C536" s="92" t="n"/>
      <c r="D536" s="92" t="n"/>
      <c r="E536" s="93" t="n"/>
      <c r="F536" s="92" t="n"/>
    </row>
    <row r="537">
      <c r="A537" s="91" t="n"/>
      <c r="B537" s="92" t="n"/>
      <c r="C537" s="92" t="n"/>
      <c r="D537" s="92" t="n"/>
      <c r="E537" s="93" t="n"/>
      <c r="F537" s="92" t="n"/>
    </row>
    <row r="538">
      <c r="A538" s="91" t="n"/>
      <c r="B538" s="92" t="n"/>
      <c r="C538" s="92" t="n"/>
      <c r="D538" s="92" t="n"/>
      <c r="E538" s="93" t="n"/>
      <c r="F538" s="92" t="n"/>
    </row>
    <row r="539">
      <c r="A539" s="91" t="n"/>
      <c r="B539" s="92" t="n"/>
      <c r="C539" s="92" t="n"/>
      <c r="D539" s="92" t="n"/>
      <c r="E539" s="93" t="n"/>
      <c r="F539" s="92" t="n"/>
    </row>
    <row r="540">
      <c r="A540" s="91" t="n"/>
      <c r="B540" s="92" t="n"/>
      <c r="C540" s="92" t="n"/>
      <c r="D540" s="92" t="n"/>
      <c r="E540" s="93" t="n"/>
      <c r="F540" s="92" t="n"/>
    </row>
    <row r="541">
      <c r="A541" s="91" t="n"/>
      <c r="B541" s="92" t="n"/>
      <c r="C541" s="92" t="n"/>
      <c r="D541" s="92" t="n"/>
      <c r="E541" s="93" t="n"/>
      <c r="F541" s="92" t="n"/>
    </row>
    <row r="542">
      <c r="A542" s="91" t="n"/>
      <c r="B542" s="92" t="n"/>
      <c r="C542" s="92" t="n"/>
      <c r="D542" s="92" t="n"/>
      <c r="E542" s="93" t="n"/>
      <c r="F542" s="92" t="n"/>
    </row>
    <row r="543">
      <c r="A543" s="91" t="n"/>
      <c r="B543" s="92" t="n"/>
      <c r="C543" s="92" t="n"/>
      <c r="D543" s="92" t="n"/>
      <c r="E543" s="93" t="n"/>
      <c r="F543" s="92" t="n"/>
    </row>
    <row r="544">
      <c r="A544" s="91" t="n"/>
      <c r="B544" s="92" t="n"/>
      <c r="C544" s="92" t="n"/>
      <c r="D544" s="92" t="n"/>
      <c r="E544" s="93" t="n"/>
      <c r="F544" s="92" t="n"/>
    </row>
    <row r="545">
      <c r="A545" s="91" t="n"/>
      <c r="B545" s="92" t="n"/>
      <c r="C545" s="92" t="n"/>
      <c r="D545" s="92" t="n"/>
      <c r="E545" s="93" t="n"/>
      <c r="F545" s="92" t="n"/>
    </row>
    <row r="546">
      <c r="A546" s="91" t="n"/>
      <c r="B546" s="92" t="n"/>
      <c r="C546" s="92" t="n"/>
      <c r="D546" s="92" t="n"/>
      <c r="E546" s="93" t="n"/>
      <c r="F546" s="92" t="n"/>
    </row>
    <row r="547">
      <c r="A547" s="91" t="n"/>
      <c r="B547" s="92" t="n"/>
      <c r="C547" s="92" t="n"/>
      <c r="D547" s="92" t="n"/>
      <c r="E547" s="93" t="n"/>
      <c r="F547" s="92" t="n"/>
    </row>
    <row r="548">
      <c r="A548" s="91" t="n"/>
      <c r="B548" s="92" t="n"/>
      <c r="C548" s="92" t="n"/>
      <c r="D548" s="92" t="n"/>
      <c r="E548" s="93" t="n"/>
      <c r="F548" s="92" t="n"/>
    </row>
    <row r="549">
      <c r="A549" s="91" t="n"/>
      <c r="B549" s="92" t="n"/>
      <c r="C549" s="92" t="n"/>
      <c r="D549" s="92" t="n"/>
      <c r="E549" s="93" t="n"/>
      <c r="F549" s="92" t="n"/>
    </row>
    <row r="550">
      <c r="A550" s="91" t="n"/>
      <c r="B550" s="92" t="n"/>
      <c r="C550" s="92" t="n"/>
      <c r="D550" s="92" t="n"/>
      <c r="E550" s="93" t="n"/>
      <c r="F550" s="92" t="n"/>
    </row>
    <row r="551">
      <c r="A551" s="91" t="n"/>
      <c r="B551" s="92" t="n"/>
      <c r="C551" s="92" t="n"/>
      <c r="D551" s="92" t="n"/>
      <c r="E551" s="93" t="n"/>
      <c r="F551" s="92" t="n"/>
    </row>
    <row r="552">
      <c r="A552" s="91" t="n"/>
      <c r="B552" s="92" t="n"/>
      <c r="C552" s="92" t="n"/>
      <c r="D552" s="92" t="n"/>
      <c r="E552" s="93" t="n"/>
      <c r="F552" s="92" t="n"/>
    </row>
    <row r="553">
      <c r="A553" s="91" t="n"/>
      <c r="B553" s="92" t="n"/>
      <c r="C553" s="92" t="n"/>
      <c r="D553" s="92" t="n"/>
      <c r="E553" s="93" t="n"/>
      <c r="F553" s="92" t="n"/>
    </row>
    <row r="554">
      <c r="A554" s="91" t="n"/>
      <c r="B554" s="92" t="n"/>
      <c r="C554" s="92" t="n"/>
      <c r="D554" s="92" t="n"/>
      <c r="E554" s="93" t="n"/>
      <c r="F554" s="92" t="n"/>
    </row>
    <row r="555">
      <c r="A555" s="91" t="n"/>
      <c r="B555" s="92" t="n"/>
      <c r="C555" s="92" t="n"/>
      <c r="D555" s="92" t="n"/>
      <c r="E555" s="93" t="n"/>
      <c r="F555" s="92" t="n"/>
    </row>
    <row r="556">
      <c r="A556" s="91" t="n"/>
      <c r="B556" s="92" t="n"/>
      <c r="C556" s="92" t="n"/>
      <c r="D556" s="92" t="n"/>
      <c r="E556" s="93" t="n"/>
      <c r="F556" s="92" t="n"/>
    </row>
    <row r="557">
      <c r="A557" s="91" t="n"/>
      <c r="B557" s="92" t="n"/>
      <c r="C557" s="92" t="n"/>
      <c r="D557" s="92" t="n"/>
      <c r="E557" s="93" t="n"/>
      <c r="F557" s="92" t="n"/>
    </row>
    <row r="558">
      <c r="A558" s="91" t="n"/>
      <c r="B558" s="92" t="n"/>
      <c r="C558" s="92" t="n"/>
      <c r="D558" s="92" t="n"/>
      <c r="E558" s="93" t="n"/>
      <c r="F558" s="92" t="n"/>
    </row>
    <row r="559">
      <c r="A559" s="91" t="n"/>
      <c r="B559" s="92" t="n"/>
      <c r="C559" s="92" t="n"/>
      <c r="D559" s="92" t="n"/>
      <c r="E559" s="93" t="n"/>
      <c r="F559" s="92" t="n"/>
    </row>
    <row r="560">
      <c r="A560" s="91" t="n"/>
      <c r="B560" s="92" t="n"/>
      <c r="C560" s="92" t="n"/>
      <c r="D560" s="92" t="n"/>
      <c r="E560" s="93" t="n"/>
      <c r="F560" s="92" t="n"/>
    </row>
    <row r="561">
      <c r="A561" s="91" t="n"/>
      <c r="B561" s="92" t="n"/>
      <c r="C561" s="92" t="n"/>
      <c r="D561" s="92" t="n"/>
      <c r="E561" s="93" t="n"/>
      <c r="F561" s="92" t="n"/>
    </row>
    <row r="562">
      <c r="A562" s="91" t="n"/>
      <c r="B562" s="92" t="n"/>
      <c r="C562" s="92" t="n"/>
      <c r="D562" s="92" t="n"/>
      <c r="E562" s="93" t="n"/>
      <c r="F562" s="92" t="n"/>
    </row>
    <row r="563">
      <c r="A563" s="91" t="n"/>
      <c r="B563" s="92" t="n"/>
      <c r="C563" s="92" t="n"/>
      <c r="D563" s="92" t="n"/>
      <c r="E563" s="93" t="n"/>
      <c r="F563" s="92" t="n"/>
    </row>
    <row r="564">
      <c r="A564" s="91" t="n"/>
      <c r="B564" s="92" t="n"/>
      <c r="C564" s="92" t="n"/>
      <c r="D564" s="92" t="n"/>
      <c r="E564" s="93" t="n"/>
      <c r="F564" s="92" t="n"/>
    </row>
    <row r="565">
      <c r="A565" s="91" t="n"/>
      <c r="B565" s="92" t="n"/>
      <c r="C565" s="92" t="n"/>
      <c r="D565" s="92" t="n"/>
      <c r="E565" s="93" t="n"/>
      <c r="F565" s="92" t="n"/>
    </row>
    <row r="566">
      <c r="A566" s="91" t="n"/>
      <c r="B566" s="92" t="n"/>
      <c r="C566" s="92" t="n"/>
      <c r="D566" s="92" t="n"/>
      <c r="E566" s="93" t="n"/>
      <c r="F566" s="92" t="n"/>
    </row>
    <row r="567">
      <c r="A567" s="91" t="n"/>
      <c r="B567" s="92" t="n"/>
      <c r="C567" s="92" t="n"/>
      <c r="D567" s="92" t="n"/>
      <c r="E567" s="93" t="n"/>
      <c r="F567" s="92" t="n"/>
    </row>
    <row r="568">
      <c r="A568" s="91" t="n"/>
      <c r="B568" s="92" t="n"/>
      <c r="C568" s="92" t="n"/>
      <c r="D568" s="92" t="n"/>
      <c r="E568" s="93" t="n"/>
      <c r="F568" s="92" t="n"/>
    </row>
    <row r="569">
      <c r="A569" s="91" t="n"/>
      <c r="B569" s="92" t="n"/>
      <c r="C569" s="92" t="n"/>
      <c r="D569" s="92" t="n"/>
      <c r="E569" s="93" t="n"/>
      <c r="F569" s="92" t="n"/>
    </row>
    <row r="570">
      <c r="A570" s="91" t="n"/>
      <c r="B570" s="92" t="n"/>
      <c r="C570" s="92" t="n"/>
      <c r="D570" s="92" t="n"/>
      <c r="E570" s="93" t="n"/>
      <c r="F570" s="92" t="n"/>
    </row>
    <row r="571">
      <c r="A571" s="91" t="n"/>
      <c r="B571" s="92" t="n"/>
      <c r="C571" s="92" t="n"/>
      <c r="D571" s="92" t="n"/>
      <c r="E571" s="93" t="n"/>
      <c r="F571" s="92" t="n"/>
    </row>
    <row r="572">
      <c r="A572" s="91" t="n"/>
      <c r="B572" s="92" t="n"/>
      <c r="C572" s="92" t="n"/>
      <c r="D572" s="92" t="n"/>
      <c r="E572" s="93" t="n"/>
      <c r="F572" s="92" t="n"/>
    </row>
    <row r="573">
      <c r="A573" s="91" t="n"/>
      <c r="B573" s="92" t="n"/>
      <c r="C573" s="92" t="n"/>
      <c r="D573" s="92" t="n"/>
      <c r="E573" s="93" t="n"/>
      <c r="F573" s="92" t="n"/>
    </row>
    <row r="574">
      <c r="A574" s="91" t="n"/>
      <c r="B574" s="92" t="n"/>
      <c r="C574" s="92" t="n"/>
      <c r="D574" s="92" t="n"/>
      <c r="E574" s="93" t="n"/>
      <c r="F574" s="92" t="n"/>
    </row>
    <row r="575">
      <c r="A575" s="91" t="n"/>
      <c r="B575" s="92" t="n"/>
      <c r="C575" s="92" t="n"/>
      <c r="D575" s="92" t="n"/>
      <c r="E575" s="93" t="n"/>
      <c r="F575" s="92" t="n"/>
    </row>
    <row r="576">
      <c r="A576" s="91" t="n"/>
      <c r="B576" s="92" t="n"/>
      <c r="C576" s="92" t="n"/>
      <c r="D576" s="92" t="n"/>
      <c r="E576" s="93" t="n"/>
      <c r="F576" s="92" t="n"/>
    </row>
    <row r="577">
      <c r="A577" s="91" t="n"/>
      <c r="B577" s="92" t="n"/>
      <c r="C577" s="92" t="n"/>
      <c r="D577" s="92" t="n"/>
      <c r="E577" s="93" t="n"/>
      <c r="F577" s="92" t="n"/>
    </row>
    <row r="578">
      <c r="A578" s="91" t="n"/>
      <c r="B578" s="92" t="n"/>
      <c r="C578" s="92" t="n"/>
      <c r="D578" s="92" t="n"/>
      <c r="E578" s="93" t="n"/>
      <c r="F578" s="92" t="n"/>
    </row>
    <row r="579">
      <c r="A579" s="91" t="n"/>
      <c r="B579" s="92" t="n"/>
      <c r="C579" s="92" t="n"/>
      <c r="D579" s="92" t="n"/>
      <c r="E579" s="93" t="n"/>
      <c r="F579" s="92" t="n"/>
    </row>
    <row r="580">
      <c r="A580" s="91" t="n"/>
      <c r="B580" s="92" t="n"/>
      <c r="C580" s="92" t="n"/>
      <c r="D580" s="92" t="n"/>
      <c r="E580" s="93" t="n"/>
      <c r="F580" s="92" t="n"/>
    </row>
    <row r="581">
      <c r="A581" s="91" t="n"/>
      <c r="B581" s="92" t="n"/>
      <c r="C581" s="92" t="n"/>
      <c r="D581" s="92" t="n"/>
      <c r="E581" s="93" t="n"/>
      <c r="F581" s="92" t="n"/>
    </row>
    <row r="582">
      <c r="A582" s="91" t="n"/>
      <c r="B582" s="92" t="n"/>
      <c r="C582" s="92" t="n"/>
      <c r="D582" s="92" t="n"/>
      <c r="E582" s="93" t="n"/>
      <c r="F582" s="92" t="n"/>
    </row>
    <row r="583">
      <c r="A583" s="91" t="n"/>
      <c r="B583" s="92" t="n"/>
      <c r="C583" s="92" t="n"/>
      <c r="D583" s="92" t="n"/>
      <c r="E583" s="93" t="n"/>
      <c r="F583" s="92" t="n"/>
    </row>
    <row r="584">
      <c r="A584" s="91" t="n"/>
      <c r="B584" s="92" t="n"/>
      <c r="C584" s="92" t="n"/>
      <c r="D584" s="92" t="n"/>
      <c r="E584" s="93" t="n"/>
      <c r="F584" s="92" t="n"/>
    </row>
    <row r="585">
      <c r="A585" s="91" t="n"/>
      <c r="B585" s="92" t="n"/>
      <c r="C585" s="92" t="n"/>
      <c r="D585" s="92" t="n"/>
      <c r="E585" s="93" t="n"/>
      <c r="F585" s="92" t="n"/>
    </row>
    <row r="586">
      <c r="A586" s="91" t="n"/>
      <c r="B586" s="92" t="n"/>
      <c r="C586" s="92" t="n"/>
      <c r="D586" s="92" t="n"/>
      <c r="E586" s="93" t="n"/>
      <c r="F586" s="92" t="n"/>
    </row>
    <row r="587">
      <c r="A587" s="91" t="n"/>
      <c r="B587" s="92" t="n"/>
      <c r="C587" s="92" t="n"/>
      <c r="D587" s="92" t="n"/>
      <c r="E587" s="93" t="n"/>
      <c r="F587" s="92" t="n"/>
    </row>
    <row r="588">
      <c r="A588" s="91" t="n"/>
      <c r="B588" s="92" t="n"/>
      <c r="C588" s="92" t="n"/>
      <c r="D588" s="92" t="n"/>
      <c r="E588" s="93" t="n"/>
      <c r="F588" s="92" t="n"/>
    </row>
    <row r="589">
      <c r="A589" s="91" t="n"/>
      <c r="B589" s="92" t="n"/>
      <c r="C589" s="92" t="n"/>
      <c r="D589" s="92" t="n"/>
      <c r="E589" s="93" t="n"/>
      <c r="F589" s="92" t="n"/>
    </row>
    <row r="590">
      <c r="A590" s="91" t="n"/>
      <c r="B590" s="92" t="n"/>
      <c r="C590" s="92" t="n"/>
      <c r="D590" s="92" t="n"/>
      <c r="E590" s="93" t="n"/>
      <c r="F590" s="92" t="n"/>
    </row>
    <row r="591">
      <c r="A591" s="91" t="n"/>
      <c r="B591" s="92" t="n"/>
      <c r="C591" s="92" t="n"/>
      <c r="D591" s="92" t="n"/>
      <c r="E591" s="93" t="n"/>
      <c r="F591" s="92" t="n"/>
    </row>
    <row r="592">
      <c r="A592" s="91" t="n"/>
      <c r="B592" s="92" t="n"/>
      <c r="C592" s="92" t="n"/>
      <c r="D592" s="92" t="n"/>
      <c r="E592" s="93" t="n"/>
      <c r="F592" s="92" t="n"/>
    </row>
    <row r="593">
      <c r="A593" s="91" t="n"/>
      <c r="B593" s="92" t="n"/>
      <c r="C593" s="92" t="n"/>
      <c r="D593" s="92" t="n"/>
      <c r="E593" s="93" t="n"/>
      <c r="F593" s="92" t="n"/>
    </row>
    <row r="594">
      <c r="A594" s="91" t="n"/>
      <c r="B594" s="92" t="n"/>
      <c r="C594" s="92" t="n"/>
      <c r="D594" s="92" t="n"/>
      <c r="E594" s="93" t="n"/>
      <c r="F594" s="92" t="n"/>
    </row>
    <row r="595">
      <c r="A595" s="91" t="n"/>
      <c r="B595" s="92" t="n"/>
      <c r="C595" s="92" t="n"/>
      <c r="D595" s="92" t="n"/>
      <c r="E595" s="93" t="n"/>
      <c r="F595" s="92" t="n"/>
    </row>
    <row r="596">
      <c r="A596" s="91" t="n"/>
      <c r="B596" s="92" t="n"/>
      <c r="C596" s="92" t="n"/>
      <c r="D596" s="92" t="n"/>
      <c r="E596" s="93" t="n"/>
      <c r="F596" s="92" t="n"/>
    </row>
    <row r="597">
      <c r="A597" s="91" t="n"/>
      <c r="B597" s="92" t="n"/>
      <c r="C597" s="92" t="n"/>
      <c r="D597" s="92" t="n"/>
      <c r="E597" s="93" t="n"/>
      <c r="F597" s="92" t="n"/>
    </row>
    <row r="598">
      <c r="A598" s="91" t="n"/>
      <c r="B598" s="92" t="n"/>
      <c r="C598" s="92" t="n"/>
      <c r="D598" s="92" t="n"/>
      <c r="E598" s="93" t="n"/>
      <c r="F598" s="92" t="n"/>
    </row>
    <row r="599">
      <c r="A599" s="91" t="n"/>
      <c r="B599" s="92" t="n"/>
      <c r="C599" s="92" t="n"/>
      <c r="D599" s="92" t="n"/>
      <c r="E599" s="93" t="n"/>
      <c r="F599" s="92" t="n"/>
    </row>
    <row r="600">
      <c r="A600" s="91" t="n"/>
      <c r="B600" s="92" t="n"/>
      <c r="C600" s="92" t="n"/>
      <c r="D600" s="92" t="n"/>
      <c r="E600" s="93" t="n"/>
      <c r="F600" s="92" t="n"/>
    </row>
    <row r="601">
      <c r="A601" s="91" t="n"/>
      <c r="B601" s="92" t="n"/>
      <c r="C601" s="92" t="n"/>
      <c r="D601" s="92" t="n"/>
      <c r="E601" s="93" t="n"/>
      <c r="F601" s="92" t="n"/>
    </row>
    <row r="602">
      <c r="A602" s="91" t="n"/>
      <c r="B602" s="92" t="n"/>
      <c r="C602" s="92" t="n"/>
      <c r="D602" s="92" t="n"/>
      <c r="E602" s="93" t="n"/>
      <c r="F602" s="92" t="n"/>
    </row>
    <row r="603">
      <c r="A603" s="91" t="n"/>
      <c r="B603" s="92" t="n"/>
      <c r="C603" s="92" t="n"/>
      <c r="D603" s="92" t="n"/>
      <c r="E603" s="93" t="n"/>
      <c r="F603" s="92" t="n"/>
    </row>
    <row r="604">
      <c r="A604" s="91" t="n"/>
      <c r="B604" s="92" t="n"/>
      <c r="C604" s="92" t="n"/>
      <c r="D604" s="92" t="n"/>
      <c r="E604" s="93" t="n"/>
      <c r="F604" s="92" t="n"/>
    </row>
    <row r="605">
      <c r="A605" s="91" t="n"/>
      <c r="B605" s="92" t="n"/>
      <c r="C605" s="92" t="n"/>
      <c r="D605" s="92" t="n"/>
      <c r="E605" s="93" t="n"/>
      <c r="F605" s="92" t="n"/>
    </row>
    <row r="606">
      <c r="A606" s="91" t="n"/>
      <c r="B606" s="92" t="n"/>
      <c r="C606" s="92" t="n"/>
      <c r="D606" s="92" t="n"/>
      <c r="E606" s="93" t="n"/>
      <c r="F606" s="92" t="n"/>
    </row>
    <row r="607">
      <c r="A607" s="91" t="n"/>
      <c r="B607" s="92" t="n"/>
      <c r="C607" s="92" t="n"/>
      <c r="D607" s="92" t="n"/>
      <c r="E607" s="93" t="n"/>
      <c r="F607" s="92" t="n"/>
    </row>
    <row r="608">
      <c r="A608" s="91" t="n"/>
      <c r="B608" s="92" t="n"/>
      <c r="C608" s="92" t="n"/>
      <c r="D608" s="92" t="n"/>
      <c r="E608" s="93" t="n"/>
      <c r="F608" s="92" t="n"/>
    </row>
    <row r="609">
      <c r="A609" s="91" t="n"/>
      <c r="B609" s="92" t="n"/>
      <c r="C609" s="92" t="n"/>
      <c r="D609" s="92" t="n"/>
      <c r="E609" s="93" t="n"/>
      <c r="F609" s="92" t="n"/>
    </row>
    <row r="610">
      <c r="A610" s="91" t="n"/>
      <c r="B610" s="92" t="n"/>
      <c r="C610" s="92" t="n"/>
      <c r="D610" s="92" t="n"/>
      <c r="E610" s="93" t="n"/>
      <c r="F610" s="92" t="n"/>
    </row>
    <row r="611">
      <c r="A611" s="91" t="n"/>
      <c r="B611" s="92" t="n"/>
      <c r="C611" s="92" t="n"/>
      <c r="D611" s="92" t="n"/>
      <c r="E611" s="93" t="n"/>
      <c r="F611" s="92" t="n"/>
    </row>
    <row r="612">
      <c r="A612" s="91" t="n"/>
      <c r="B612" s="92" t="n"/>
      <c r="C612" s="92" t="n"/>
      <c r="D612" s="92" t="n"/>
      <c r="E612" s="93" t="n"/>
      <c r="F612" s="92" t="n"/>
    </row>
    <row r="613">
      <c r="A613" s="91" t="n"/>
      <c r="B613" s="92" t="n"/>
      <c r="C613" s="92" t="n"/>
      <c r="D613" s="92" t="n"/>
      <c r="E613" s="93" t="n"/>
      <c r="F613" s="92" t="n"/>
    </row>
    <row r="614">
      <c r="A614" s="91" t="n"/>
      <c r="B614" s="92" t="n"/>
      <c r="C614" s="92" t="n"/>
      <c r="D614" s="92" t="n"/>
      <c r="E614" s="93" t="n"/>
      <c r="F614" s="92" t="n"/>
    </row>
    <row r="615">
      <c r="A615" s="91" t="n"/>
      <c r="B615" s="92" t="n"/>
      <c r="C615" s="92" t="n"/>
      <c r="D615" s="92" t="n"/>
      <c r="E615" s="93" t="n"/>
      <c r="F615" s="92" t="n"/>
    </row>
    <row r="616">
      <c r="A616" s="91" t="n"/>
      <c r="B616" s="92" t="n"/>
      <c r="C616" s="92" t="n"/>
      <c r="D616" s="92" t="n"/>
      <c r="E616" s="93" t="n"/>
      <c r="F616" s="92" t="n"/>
    </row>
    <row r="617">
      <c r="A617" s="91" t="n"/>
      <c r="B617" s="92" t="n"/>
      <c r="C617" s="92" t="n"/>
      <c r="D617" s="92" t="n"/>
      <c r="E617" s="93" t="n"/>
      <c r="F617" s="92" t="n"/>
    </row>
    <row r="618">
      <c r="A618" s="91" t="n"/>
      <c r="B618" s="92" t="n"/>
      <c r="C618" s="92" t="n"/>
      <c r="D618" s="92" t="n"/>
      <c r="E618" s="93" t="n"/>
      <c r="F618" s="92" t="n"/>
    </row>
    <row r="619">
      <c r="A619" s="91" t="n"/>
      <c r="B619" s="92" t="n"/>
      <c r="C619" s="92" t="n"/>
      <c r="D619" s="92" t="n"/>
      <c r="E619" s="93" t="n"/>
      <c r="F619" s="92" t="n"/>
    </row>
    <row r="620">
      <c r="A620" s="91" t="n"/>
      <c r="B620" s="92" t="n"/>
      <c r="C620" s="92" t="n"/>
      <c r="D620" s="92" t="n"/>
      <c r="E620" s="93" t="n"/>
      <c r="F620" s="92" t="n"/>
    </row>
    <row r="621">
      <c r="A621" s="91" t="n"/>
      <c r="B621" s="92" t="n"/>
      <c r="C621" s="92" t="n"/>
      <c r="D621" s="92" t="n"/>
      <c r="E621" s="93" t="n"/>
      <c r="F621" s="92" t="n"/>
    </row>
    <row r="622">
      <c r="A622" s="91" t="n"/>
      <c r="B622" s="92" t="n"/>
      <c r="C622" s="92" t="n"/>
      <c r="D622" s="92" t="n"/>
      <c r="E622" s="93" t="n"/>
      <c r="F622" s="92" t="n"/>
    </row>
    <row r="623">
      <c r="A623" s="91" t="n"/>
      <c r="B623" s="92" t="n"/>
      <c r="C623" s="92" t="n"/>
      <c r="D623" s="92" t="n"/>
      <c r="E623" s="93" t="n"/>
      <c r="F623" s="92" t="n"/>
    </row>
    <row r="624">
      <c r="A624" s="91" t="n"/>
      <c r="B624" s="92" t="n"/>
      <c r="C624" s="92" t="n"/>
      <c r="D624" s="92" t="n"/>
      <c r="E624" s="93" t="n"/>
      <c r="F624" s="92" t="n"/>
    </row>
    <row r="625">
      <c r="A625" s="91" t="n"/>
      <c r="B625" s="92" t="n"/>
      <c r="C625" s="92" t="n"/>
      <c r="D625" s="92" t="n"/>
      <c r="E625" s="93" t="n"/>
      <c r="F625" s="92" t="n"/>
    </row>
    <row r="626">
      <c r="A626" s="91" t="n"/>
      <c r="B626" s="92" t="n"/>
      <c r="C626" s="92" t="n"/>
      <c r="D626" s="92" t="n"/>
      <c r="E626" s="93" t="n"/>
      <c r="F626" s="92" t="n"/>
    </row>
    <row r="627">
      <c r="A627" s="91" t="n"/>
      <c r="B627" s="92" t="n"/>
      <c r="C627" s="92" t="n"/>
      <c r="D627" s="92" t="n"/>
      <c r="E627" s="93" t="n"/>
      <c r="F627" s="92" t="n"/>
    </row>
    <row r="628">
      <c r="A628" s="91" t="n"/>
      <c r="B628" s="92" t="n"/>
      <c r="C628" s="92" t="n"/>
      <c r="D628" s="92" t="n"/>
      <c r="E628" s="93" t="n"/>
      <c r="F628" s="92" t="n"/>
    </row>
    <row r="629">
      <c r="A629" s="91" t="n"/>
      <c r="B629" s="92" t="n"/>
      <c r="C629" s="92" t="n"/>
      <c r="D629" s="92" t="n"/>
      <c r="E629" s="93" t="n"/>
      <c r="F629" s="92" t="n"/>
    </row>
    <row r="630">
      <c r="A630" s="91" t="n"/>
      <c r="B630" s="92" t="n"/>
      <c r="C630" s="92" t="n"/>
      <c r="D630" s="92" t="n"/>
      <c r="E630" s="93" t="n"/>
      <c r="F630" s="92" t="n"/>
    </row>
    <row r="631">
      <c r="A631" s="91" t="n"/>
      <c r="B631" s="92" t="n"/>
      <c r="C631" s="92" t="n"/>
      <c r="D631" s="92" t="n"/>
      <c r="E631" s="93" t="n"/>
      <c r="F631" s="92" t="n"/>
    </row>
    <row r="632">
      <c r="A632" s="91" t="n"/>
      <c r="B632" s="92" t="n"/>
      <c r="C632" s="92" t="n"/>
      <c r="D632" s="92" t="n"/>
      <c r="E632" s="93" t="n"/>
      <c r="F632" s="92" t="n"/>
    </row>
    <row r="633">
      <c r="A633" s="91" t="n"/>
      <c r="B633" s="92" t="n"/>
      <c r="C633" s="92" t="n"/>
      <c r="D633" s="92" t="n"/>
      <c r="E633" s="93" t="n"/>
      <c r="F633" s="92" t="n"/>
    </row>
    <row r="634">
      <c r="A634" s="91" t="n"/>
      <c r="B634" s="92" t="n"/>
      <c r="C634" s="92" t="n"/>
      <c r="D634" s="92" t="n"/>
      <c r="E634" s="93" t="n"/>
      <c r="F634" s="92" t="n"/>
    </row>
    <row r="635">
      <c r="A635" s="91" t="n"/>
      <c r="B635" s="92" t="n"/>
      <c r="C635" s="92" t="n"/>
      <c r="D635" s="92" t="n"/>
      <c r="E635" s="93" t="n"/>
      <c r="F635" s="92" t="n"/>
    </row>
    <row r="636">
      <c r="A636" s="91" t="n"/>
      <c r="B636" s="92" t="n"/>
      <c r="C636" s="92" t="n"/>
      <c r="D636" s="92" t="n"/>
      <c r="E636" s="93" t="n"/>
      <c r="F636" s="92" t="n"/>
    </row>
    <row r="637">
      <c r="A637" s="91" t="n"/>
      <c r="B637" s="92" t="n"/>
      <c r="C637" s="92" t="n"/>
      <c r="D637" s="92" t="n"/>
      <c r="E637" s="93" t="n"/>
      <c r="F637" s="92" t="n"/>
    </row>
    <row r="638">
      <c r="A638" s="91" t="n"/>
      <c r="B638" s="92" t="n"/>
      <c r="C638" s="92" t="n"/>
      <c r="D638" s="92" t="n"/>
      <c r="E638" s="93" t="n"/>
      <c r="F638" s="92" t="n"/>
    </row>
    <row r="639">
      <c r="A639" s="91" t="n"/>
      <c r="B639" s="92" t="n"/>
      <c r="C639" s="92" t="n"/>
      <c r="D639" s="92" t="n"/>
      <c r="E639" s="93" t="n"/>
      <c r="F639" s="92" t="n"/>
    </row>
    <row r="640">
      <c r="A640" s="91" t="n"/>
      <c r="B640" s="92" t="n"/>
      <c r="C640" s="92" t="n"/>
      <c r="D640" s="92" t="n"/>
      <c r="E640" s="93" t="n"/>
      <c r="F640" s="92" t="n"/>
    </row>
    <row r="641">
      <c r="A641" s="91" t="n"/>
      <c r="B641" s="92" t="n"/>
      <c r="C641" s="92" t="n"/>
      <c r="D641" s="92" t="n"/>
      <c r="E641" s="93" t="n"/>
      <c r="F641" s="92" t="n"/>
    </row>
    <row r="642">
      <c r="A642" s="91" t="n"/>
      <c r="B642" s="92" t="n"/>
      <c r="C642" s="92" t="n"/>
      <c r="D642" s="92" t="n"/>
      <c r="E642" s="93" t="n"/>
      <c r="F642" s="92" t="n"/>
    </row>
    <row r="643">
      <c r="A643" s="91" t="n"/>
      <c r="B643" s="92" t="n"/>
      <c r="C643" s="92" t="n"/>
      <c r="D643" s="92" t="n"/>
      <c r="E643" s="93" t="n"/>
      <c r="F643" s="92" t="n"/>
    </row>
    <row r="644">
      <c r="A644" s="91" t="n"/>
      <c r="B644" s="92" t="n"/>
      <c r="C644" s="92" t="n"/>
      <c r="D644" s="92" t="n"/>
      <c r="E644" s="93" t="n"/>
      <c r="F644" s="92" t="n"/>
    </row>
    <row r="645">
      <c r="A645" s="91" t="n"/>
      <c r="B645" s="92" t="n"/>
      <c r="C645" s="92" t="n"/>
      <c r="D645" s="92" t="n"/>
      <c r="E645" s="93" t="n"/>
      <c r="F645" s="92" t="n"/>
    </row>
    <row r="646">
      <c r="A646" s="91" t="n"/>
      <c r="B646" s="92" t="n"/>
      <c r="C646" s="92" t="n"/>
      <c r="D646" s="92" t="n"/>
      <c r="E646" s="93" t="n"/>
      <c r="F646" s="92" t="n"/>
    </row>
    <row r="647">
      <c r="A647" s="91" t="n"/>
      <c r="B647" s="92" t="n"/>
      <c r="C647" s="92" t="n"/>
      <c r="D647" s="92" t="n"/>
      <c r="E647" s="93" t="n"/>
      <c r="F647" s="92" t="n"/>
    </row>
    <row r="648">
      <c r="A648" s="91" t="n"/>
      <c r="B648" s="92" t="n"/>
      <c r="C648" s="92" t="n"/>
      <c r="D648" s="92" t="n"/>
      <c r="E648" s="93" t="n"/>
      <c r="F648" s="92" t="n"/>
    </row>
    <row r="649">
      <c r="A649" s="91" t="n"/>
      <c r="B649" s="92" t="n"/>
      <c r="C649" s="92" t="n"/>
      <c r="D649" s="92" t="n"/>
      <c r="E649" s="93" t="n"/>
      <c r="F649" s="92" t="n"/>
    </row>
    <row r="650">
      <c r="A650" s="91" t="n"/>
      <c r="B650" s="92" t="n"/>
      <c r="C650" s="92" t="n"/>
      <c r="D650" s="92" t="n"/>
      <c r="E650" s="93" t="n"/>
      <c r="F650" s="92" t="n"/>
    </row>
    <row r="651">
      <c r="A651" s="91" t="n"/>
      <c r="B651" s="92" t="n"/>
      <c r="C651" s="92" t="n"/>
      <c r="D651" s="92" t="n"/>
      <c r="E651" s="93" t="n"/>
      <c r="F651" s="92" t="n"/>
    </row>
    <row r="652">
      <c r="A652" s="91" t="n"/>
      <c r="B652" s="92" t="n"/>
      <c r="C652" s="92" t="n"/>
      <c r="D652" s="92" t="n"/>
      <c r="E652" s="93" t="n"/>
      <c r="F652" s="92" t="n"/>
    </row>
    <row r="653">
      <c r="A653" s="91" t="n"/>
      <c r="B653" s="92" t="n"/>
      <c r="C653" s="92" t="n"/>
      <c r="D653" s="92" t="n"/>
      <c r="E653" s="93" t="n"/>
      <c r="F653" s="92" t="n"/>
    </row>
    <row r="654">
      <c r="A654" s="91" t="n"/>
      <c r="B654" s="92" t="n"/>
      <c r="C654" s="92" t="n"/>
      <c r="D654" s="92" t="n"/>
      <c r="E654" s="93" t="n"/>
      <c r="F654" s="92" t="n"/>
    </row>
    <row r="655">
      <c r="A655" s="91" t="n"/>
      <c r="B655" s="92" t="n"/>
      <c r="C655" s="92" t="n"/>
      <c r="D655" s="92" t="n"/>
      <c r="E655" s="93" t="n"/>
      <c r="F655" s="92" t="n"/>
    </row>
    <row r="656">
      <c r="A656" s="91" t="n"/>
      <c r="B656" s="92" t="n"/>
      <c r="C656" s="92" t="n"/>
      <c r="D656" s="92" t="n"/>
      <c r="E656" s="93" t="n"/>
      <c r="F656" s="92" t="n"/>
    </row>
    <row r="657">
      <c r="A657" s="91" t="n"/>
      <c r="B657" s="92" t="n"/>
      <c r="C657" s="92" t="n"/>
      <c r="D657" s="92" t="n"/>
      <c r="E657" s="93" t="n"/>
      <c r="F657" s="92" t="n"/>
    </row>
    <row r="658">
      <c r="A658" s="91" t="n"/>
      <c r="B658" s="92" t="n"/>
      <c r="C658" s="92" t="n"/>
      <c r="D658" s="92" t="n"/>
      <c r="E658" s="93" t="n"/>
      <c r="F658" s="92" t="n"/>
    </row>
    <row r="659">
      <c r="A659" s="91" t="n"/>
      <c r="B659" s="92" t="n"/>
      <c r="C659" s="92" t="n"/>
      <c r="D659" s="92" t="n"/>
      <c r="E659" s="93" t="n"/>
      <c r="F659" s="92" t="n"/>
    </row>
    <row r="660">
      <c r="A660" s="91" t="n"/>
      <c r="B660" s="92" t="n"/>
      <c r="C660" s="92" t="n"/>
      <c r="D660" s="92" t="n"/>
      <c r="E660" s="93" t="n"/>
      <c r="F660" s="92" t="n"/>
    </row>
    <row r="661">
      <c r="A661" s="91" t="n"/>
      <c r="B661" s="92" t="n"/>
      <c r="C661" s="92" t="n"/>
      <c r="D661" s="92" t="n"/>
      <c r="E661" s="93" t="n"/>
      <c r="F661" s="92" t="n"/>
    </row>
    <row r="662">
      <c r="A662" s="91" t="n"/>
      <c r="B662" s="92" t="n"/>
      <c r="C662" s="92" t="n"/>
      <c r="D662" s="92" t="n"/>
      <c r="E662" s="93" t="n"/>
      <c r="F662" s="92" t="n"/>
    </row>
    <row r="663">
      <c r="A663" s="91" t="n"/>
      <c r="B663" s="92" t="n"/>
      <c r="C663" s="92" t="n"/>
      <c r="D663" s="92" t="n"/>
      <c r="E663" s="93" t="n"/>
      <c r="F663" s="92" t="n"/>
    </row>
    <row r="664">
      <c r="A664" s="91" t="n"/>
      <c r="B664" s="92" t="n"/>
      <c r="C664" s="92" t="n"/>
      <c r="D664" s="92" t="n"/>
      <c r="E664" s="93" t="n"/>
      <c r="F664" s="92" t="n"/>
    </row>
    <row r="665">
      <c r="A665" s="91" t="n"/>
      <c r="B665" s="92" t="n"/>
      <c r="C665" s="92" t="n"/>
      <c r="D665" s="92" t="n"/>
      <c r="E665" s="93" t="n"/>
      <c r="F665" s="92" t="n"/>
    </row>
    <row r="666">
      <c r="A666" s="91" t="n"/>
      <c r="B666" s="92" t="n"/>
      <c r="C666" s="92" t="n"/>
      <c r="D666" s="92" t="n"/>
      <c r="E666" s="93" t="n"/>
      <c r="F666" s="92" t="n"/>
    </row>
    <row r="667">
      <c r="A667" s="91" t="n"/>
      <c r="B667" s="92" t="n"/>
      <c r="C667" s="92" t="n"/>
      <c r="D667" s="92" t="n"/>
      <c r="E667" s="93" t="n"/>
      <c r="F667" s="92" t="n"/>
    </row>
    <row r="668">
      <c r="A668" s="91" t="n"/>
      <c r="B668" s="92" t="n"/>
      <c r="C668" s="92" t="n"/>
      <c r="D668" s="92" t="n"/>
      <c r="E668" s="93" t="n"/>
      <c r="F668" s="92" t="n"/>
    </row>
    <row r="669">
      <c r="A669" s="91" t="n"/>
      <c r="B669" s="92" t="n"/>
      <c r="C669" s="92" t="n"/>
      <c r="D669" s="92" t="n"/>
      <c r="E669" s="93" t="n"/>
      <c r="F669" s="92" t="n"/>
    </row>
    <row r="670">
      <c r="A670" s="91" t="n"/>
      <c r="B670" s="92" t="n"/>
      <c r="C670" s="92" t="n"/>
      <c r="D670" s="92" t="n"/>
      <c r="E670" s="93" t="n"/>
      <c r="F670" s="92" t="n"/>
    </row>
    <row r="671">
      <c r="A671" s="91" t="n"/>
      <c r="B671" s="92" t="n"/>
      <c r="C671" s="92" t="n"/>
      <c r="D671" s="92" t="n"/>
      <c r="E671" s="93" t="n"/>
      <c r="F671" s="92" t="n"/>
    </row>
    <row r="672">
      <c r="A672" s="91" t="n"/>
      <c r="B672" s="92" t="n"/>
      <c r="C672" s="92" t="n"/>
      <c r="D672" s="92" t="n"/>
      <c r="E672" s="93" t="n"/>
      <c r="F672" s="92" t="n"/>
    </row>
    <row r="673">
      <c r="A673" s="91" t="n"/>
      <c r="B673" s="92" t="n"/>
      <c r="C673" s="92" t="n"/>
      <c r="D673" s="92" t="n"/>
      <c r="E673" s="93" t="n"/>
      <c r="F673" s="92" t="n"/>
    </row>
    <row r="674">
      <c r="A674" s="91" t="n"/>
      <c r="B674" s="92" t="n"/>
      <c r="C674" s="92" t="n"/>
      <c r="D674" s="92" t="n"/>
      <c r="E674" s="93" t="n"/>
      <c r="F674" s="92" t="n"/>
    </row>
    <row r="675">
      <c r="A675" s="91" t="n"/>
      <c r="B675" s="92" t="n"/>
      <c r="C675" s="92" t="n"/>
      <c r="D675" s="92" t="n"/>
      <c r="E675" s="93" t="n"/>
      <c r="F675" s="92" t="n"/>
    </row>
    <row r="676">
      <c r="A676" s="91" t="n"/>
      <c r="B676" s="92" t="n"/>
      <c r="C676" s="92" t="n"/>
      <c r="D676" s="92" t="n"/>
      <c r="E676" s="93" t="n"/>
      <c r="F676" s="92" t="n"/>
    </row>
    <row r="677">
      <c r="A677" s="91" t="n"/>
      <c r="B677" s="92" t="n"/>
      <c r="C677" s="92" t="n"/>
      <c r="D677" s="92" t="n"/>
      <c r="E677" s="93" t="n"/>
      <c r="F677" s="92" t="n"/>
    </row>
    <row r="678">
      <c r="A678" s="91" t="n"/>
      <c r="B678" s="92" t="n"/>
      <c r="C678" s="92" t="n"/>
      <c r="D678" s="92" t="n"/>
      <c r="E678" s="93" t="n"/>
      <c r="F678" s="92" t="n"/>
    </row>
    <row r="679">
      <c r="A679" s="91" t="n"/>
      <c r="B679" s="92" t="n"/>
      <c r="C679" s="92" t="n"/>
      <c r="D679" s="92" t="n"/>
      <c r="E679" s="93" t="n"/>
      <c r="F679" s="92" t="n"/>
    </row>
    <row r="680">
      <c r="A680" s="91" t="n"/>
      <c r="B680" s="92" t="n"/>
      <c r="C680" s="92" t="n"/>
      <c r="D680" s="92" t="n"/>
      <c r="E680" s="93" t="n"/>
      <c r="F680" s="92" t="n"/>
    </row>
    <row r="681">
      <c r="A681" s="91" t="n"/>
      <c r="B681" s="92" t="n"/>
      <c r="C681" s="92" t="n"/>
      <c r="D681" s="92" t="n"/>
      <c r="E681" s="93" t="n"/>
      <c r="F681" s="92" t="n"/>
    </row>
    <row r="682">
      <c r="A682" s="91" t="n"/>
      <c r="B682" s="92" t="n"/>
      <c r="C682" s="92" t="n"/>
      <c r="D682" s="92" t="n"/>
      <c r="E682" s="93" t="n"/>
      <c r="F682" s="92" t="n"/>
    </row>
    <row r="683">
      <c r="A683" s="91" t="n"/>
      <c r="B683" s="92" t="n"/>
      <c r="C683" s="92" t="n"/>
      <c r="D683" s="92" t="n"/>
      <c r="E683" s="93" t="n"/>
      <c r="F683" s="92" t="n"/>
    </row>
    <row r="684">
      <c r="A684" s="91" t="n"/>
      <c r="B684" s="92" t="n"/>
      <c r="C684" s="92" t="n"/>
      <c r="D684" s="92" t="n"/>
      <c r="E684" s="93" t="n"/>
      <c r="F684" s="92" t="n"/>
    </row>
    <row r="685">
      <c r="A685" s="91" t="n"/>
      <c r="B685" s="92" t="n"/>
      <c r="C685" s="92" t="n"/>
      <c r="D685" s="92" t="n"/>
      <c r="E685" s="93" t="n"/>
      <c r="F685" s="92" t="n"/>
    </row>
    <row r="686">
      <c r="A686" s="91" t="n"/>
      <c r="B686" s="92" t="n"/>
      <c r="C686" s="92" t="n"/>
      <c r="D686" s="92" t="n"/>
      <c r="E686" s="93" t="n"/>
      <c r="F686" s="92" t="n"/>
    </row>
    <row r="687">
      <c r="A687" s="91" t="n"/>
      <c r="B687" s="92" t="n"/>
      <c r="C687" s="92" t="n"/>
      <c r="D687" s="92" t="n"/>
      <c r="E687" s="93" t="n"/>
      <c r="F687" s="92" t="n"/>
    </row>
    <row r="688">
      <c r="A688" s="91" t="n"/>
      <c r="B688" s="92" t="n"/>
      <c r="C688" s="92" t="n"/>
      <c r="D688" s="92" t="n"/>
      <c r="E688" s="93" t="n"/>
      <c r="F688" s="92" t="n"/>
    </row>
    <row r="689">
      <c r="A689" s="91" t="n"/>
      <c r="B689" s="92" t="n"/>
      <c r="C689" s="92" t="n"/>
      <c r="D689" s="92" t="n"/>
      <c r="E689" s="93" t="n"/>
      <c r="F689" s="92" t="n"/>
    </row>
    <row r="690">
      <c r="A690" s="91" t="n"/>
      <c r="B690" s="92" t="n"/>
      <c r="C690" s="92" t="n"/>
      <c r="D690" s="92" t="n"/>
      <c r="E690" s="93" t="n"/>
      <c r="F690" s="92" t="n"/>
    </row>
    <row r="691">
      <c r="A691" s="91" t="n"/>
      <c r="B691" s="92" t="n"/>
      <c r="C691" s="92" t="n"/>
      <c r="D691" s="92" t="n"/>
      <c r="E691" s="93" t="n"/>
      <c r="F691" s="92" t="n"/>
    </row>
    <row r="692">
      <c r="A692" s="91" t="n"/>
      <c r="B692" s="92" t="n"/>
      <c r="C692" s="92" t="n"/>
      <c r="D692" s="92" t="n"/>
      <c r="E692" s="93" t="n"/>
      <c r="F692" s="92" t="n"/>
    </row>
    <row r="693">
      <c r="A693" s="91" t="n"/>
      <c r="B693" s="92" t="n"/>
      <c r="C693" s="92" t="n"/>
      <c r="D693" s="92" t="n"/>
      <c r="E693" s="93" t="n"/>
      <c r="F693" s="92" t="n"/>
    </row>
    <row r="694">
      <c r="A694" s="91" t="n"/>
      <c r="B694" s="92" t="n"/>
      <c r="C694" s="92" t="n"/>
      <c r="D694" s="92" t="n"/>
      <c r="E694" s="93" t="n"/>
      <c r="F694" s="92" t="n"/>
    </row>
    <row r="695">
      <c r="A695" s="91" t="n"/>
      <c r="B695" s="92" t="n"/>
      <c r="C695" s="92" t="n"/>
      <c r="D695" s="92" t="n"/>
      <c r="E695" s="93" t="n"/>
      <c r="F695" s="92" t="n"/>
    </row>
    <row r="696">
      <c r="A696" s="91" t="n"/>
      <c r="B696" s="92" t="n"/>
      <c r="C696" s="92" t="n"/>
      <c r="D696" s="92" t="n"/>
      <c r="E696" s="93" t="n"/>
      <c r="F696" s="92" t="n"/>
    </row>
    <row r="697">
      <c r="A697" s="91" t="n"/>
      <c r="B697" s="92" t="n"/>
      <c r="C697" s="92" t="n"/>
      <c r="D697" s="92" t="n"/>
      <c r="E697" s="93" t="n"/>
      <c r="F697" s="92" t="n"/>
    </row>
    <row r="698">
      <c r="A698" s="91" t="n"/>
      <c r="B698" s="92" t="n"/>
      <c r="C698" s="92" t="n"/>
      <c r="D698" s="92" t="n"/>
      <c r="E698" s="93" t="n"/>
      <c r="F698" s="92" t="n"/>
    </row>
    <row r="699">
      <c r="A699" s="91" t="n"/>
      <c r="B699" s="92" t="n"/>
      <c r="C699" s="92" t="n"/>
      <c r="D699" s="92" t="n"/>
      <c r="E699" s="93" t="n"/>
      <c r="F699" s="92" t="n"/>
    </row>
    <row r="700">
      <c r="A700" s="91" t="n"/>
      <c r="B700" s="92" t="n"/>
      <c r="C700" s="92" t="n"/>
      <c r="D700" s="92" t="n"/>
      <c r="E700" s="93" t="n"/>
      <c r="F700" s="92" t="n"/>
    </row>
    <row r="701">
      <c r="A701" s="91" t="n"/>
      <c r="B701" s="92" t="n"/>
      <c r="C701" s="92" t="n"/>
      <c r="D701" s="92" t="n"/>
      <c r="E701" s="93" t="n"/>
      <c r="F701" s="92" t="n"/>
    </row>
    <row r="702">
      <c r="A702" s="91" t="n"/>
      <c r="B702" s="92" t="n"/>
      <c r="C702" s="92" t="n"/>
      <c r="D702" s="92" t="n"/>
      <c r="E702" s="93" t="n"/>
      <c r="F702" s="92" t="n"/>
    </row>
    <row r="703">
      <c r="A703" s="91" t="n"/>
      <c r="B703" s="92" t="n"/>
      <c r="C703" s="92" t="n"/>
      <c r="D703" s="92" t="n"/>
      <c r="E703" s="93" t="n"/>
      <c r="F703" s="92" t="n"/>
    </row>
    <row r="704">
      <c r="A704" s="91" t="n"/>
      <c r="B704" s="92" t="n"/>
      <c r="C704" s="92" t="n"/>
      <c r="D704" s="92" t="n"/>
      <c r="E704" s="93" t="n"/>
      <c r="F704" s="92" t="n"/>
    </row>
    <row r="705">
      <c r="A705" s="91" t="n"/>
      <c r="B705" s="92" t="n"/>
      <c r="C705" s="92" t="n"/>
      <c r="D705" s="92" t="n"/>
      <c r="E705" s="93" t="n"/>
      <c r="F705" s="92" t="n"/>
    </row>
    <row r="706">
      <c r="A706" s="91" t="n"/>
      <c r="B706" s="92" t="n"/>
      <c r="C706" s="92" t="n"/>
      <c r="D706" s="92" t="n"/>
      <c r="E706" s="93" t="n"/>
      <c r="F706" s="92" t="n"/>
    </row>
    <row r="707">
      <c r="A707" s="91" t="n"/>
      <c r="B707" s="92" t="n"/>
      <c r="C707" s="92" t="n"/>
      <c r="D707" s="92" t="n"/>
      <c r="E707" s="93" t="n"/>
      <c r="F707" s="92" t="n"/>
    </row>
    <row r="708">
      <c r="A708" s="91" t="n"/>
      <c r="B708" s="92" t="n"/>
      <c r="C708" s="92" t="n"/>
      <c r="D708" s="92" t="n"/>
      <c r="E708" s="93" t="n"/>
      <c r="F708" s="92" t="n"/>
    </row>
    <row r="709">
      <c r="A709" s="91" t="n"/>
      <c r="B709" s="92" t="n"/>
      <c r="C709" s="92" t="n"/>
      <c r="D709" s="92" t="n"/>
      <c r="E709" s="93" t="n"/>
      <c r="F709" s="92" t="n"/>
    </row>
    <row r="710">
      <c r="A710" s="91" t="n"/>
      <c r="B710" s="92" t="n"/>
      <c r="C710" s="92" t="n"/>
      <c r="D710" s="92" t="n"/>
      <c r="E710" s="93" t="n"/>
      <c r="F710" s="92" t="n"/>
    </row>
    <row r="711">
      <c r="A711" s="91" t="n"/>
      <c r="B711" s="92" t="n"/>
      <c r="C711" s="92" t="n"/>
      <c r="D711" s="92" t="n"/>
      <c r="E711" s="93" t="n"/>
      <c r="F711" s="92" t="n"/>
    </row>
    <row r="712">
      <c r="A712" s="91" t="n"/>
      <c r="B712" s="92" t="n"/>
      <c r="C712" s="92" t="n"/>
      <c r="D712" s="92" t="n"/>
      <c r="E712" s="93" t="n"/>
      <c r="F712" s="92" t="n"/>
    </row>
    <row r="713">
      <c r="A713" s="91" t="n"/>
      <c r="B713" s="92" t="n"/>
      <c r="C713" s="92" t="n"/>
      <c r="D713" s="92" t="n"/>
      <c r="E713" s="93" t="n"/>
      <c r="F713" s="92" t="n"/>
    </row>
    <row r="714">
      <c r="A714" s="91" t="n"/>
      <c r="B714" s="92" t="n"/>
      <c r="C714" s="92" t="n"/>
      <c r="D714" s="92" t="n"/>
      <c r="E714" s="93" t="n"/>
      <c r="F714" s="92" t="n"/>
    </row>
    <row r="715">
      <c r="A715" s="91" t="n"/>
      <c r="B715" s="92" t="n"/>
      <c r="C715" s="92" t="n"/>
      <c r="D715" s="92" t="n"/>
      <c r="E715" s="93" t="n"/>
      <c r="F715" s="92" t="n"/>
    </row>
    <row r="716">
      <c r="A716" s="91" t="n"/>
      <c r="B716" s="92" t="n"/>
      <c r="C716" s="92" t="n"/>
      <c r="D716" s="92" t="n"/>
      <c r="E716" s="93" t="n"/>
      <c r="F716" s="92" t="n"/>
    </row>
    <row r="717">
      <c r="A717" s="91" t="n"/>
      <c r="B717" s="92" t="n"/>
      <c r="C717" s="92" t="n"/>
      <c r="D717" s="92" t="n"/>
      <c r="E717" s="93" t="n"/>
      <c r="F717" s="92" t="n"/>
    </row>
    <row r="718">
      <c r="A718" s="91" t="n"/>
      <c r="B718" s="92" t="n"/>
      <c r="C718" s="92" t="n"/>
      <c r="D718" s="92" t="n"/>
      <c r="E718" s="93" t="n"/>
      <c r="F718" s="92" t="n"/>
    </row>
    <row r="719">
      <c r="A719" s="91" t="n"/>
      <c r="B719" s="92" t="n"/>
      <c r="C719" s="92" t="n"/>
      <c r="D719" s="92" t="n"/>
      <c r="E719" s="93" t="n"/>
      <c r="F719" s="92" t="n"/>
    </row>
    <row r="720">
      <c r="A720" s="91" t="n"/>
      <c r="B720" s="92" t="n"/>
      <c r="C720" s="92" t="n"/>
      <c r="D720" s="92" t="n"/>
      <c r="E720" s="93" t="n"/>
      <c r="F720" s="92" t="n"/>
    </row>
    <row r="721">
      <c r="A721" s="91" t="n"/>
      <c r="B721" s="92" t="n"/>
      <c r="C721" s="92" t="n"/>
      <c r="D721" s="92" t="n"/>
      <c r="E721" s="93" t="n"/>
      <c r="F721" s="92" t="n"/>
    </row>
    <row r="722">
      <c r="A722" s="91" t="n"/>
      <c r="B722" s="92" t="n"/>
      <c r="C722" s="92" t="n"/>
      <c r="D722" s="92" t="n"/>
      <c r="E722" s="93" t="n"/>
      <c r="F722" s="92" t="n"/>
    </row>
    <row r="723">
      <c r="A723" s="91" t="n"/>
      <c r="B723" s="92" t="n"/>
      <c r="C723" s="92" t="n"/>
      <c r="D723" s="92" t="n"/>
      <c r="E723" s="93" t="n"/>
      <c r="F723" s="92" t="n"/>
    </row>
    <row r="724">
      <c r="A724" s="91" t="n"/>
      <c r="B724" s="92" t="n"/>
      <c r="C724" s="92" t="n"/>
      <c r="D724" s="92" t="n"/>
      <c r="E724" s="93" t="n"/>
      <c r="F724" s="92" t="n"/>
    </row>
    <row r="725">
      <c r="A725" s="91" t="n"/>
      <c r="B725" s="92" t="n"/>
      <c r="C725" s="92" t="n"/>
      <c r="D725" s="92" t="n"/>
      <c r="E725" s="93" t="n"/>
      <c r="F725" s="92" t="n"/>
    </row>
    <row r="726">
      <c r="A726" s="91" t="n"/>
      <c r="B726" s="92" t="n"/>
      <c r="C726" s="92" t="n"/>
      <c r="D726" s="92" t="n"/>
      <c r="E726" s="93" t="n"/>
      <c r="F726" s="92" t="n"/>
    </row>
    <row r="727">
      <c r="A727" s="91" t="n"/>
      <c r="B727" s="92" t="n"/>
      <c r="C727" s="92" t="n"/>
      <c r="D727" s="92" t="n"/>
      <c r="E727" s="93" t="n"/>
      <c r="F727" s="92" t="n"/>
    </row>
    <row r="728">
      <c r="A728" s="91" t="n"/>
      <c r="B728" s="92" t="n"/>
      <c r="C728" s="92" t="n"/>
      <c r="D728" s="92" t="n"/>
      <c r="E728" s="93" t="n"/>
      <c r="F728" s="92" t="n"/>
    </row>
    <row r="729">
      <c r="A729" s="91" t="n"/>
      <c r="B729" s="92" t="n"/>
      <c r="C729" s="92" t="n"/>
      <c r="D729" s="92" t="n"/>
      <c r="E729" s="93" t="n"/>
      <c r="F729" s="92" t="n"/>
    </row>
    <row r="730">
      <c r="A730" s="91" t="n"/>
      <c r="B730" s="92" t="n"/>
      <c r="C730" s="92" t="n"/>
      <c r="D730" s="92" t="n"/>
      <c r="E730" s="93" t="n"/>
      <c r="F730" s="92" t="n"/>
    </row>
    <row r="731">
      <c r="A731" s="91" t="n"/>
      <c r="B731" s="92" t="n"/>
      <c r="C731" s="92" t="n"/>
      <c r="D731" s="92" t="n"/>
      <c r="E731" s="93" t="n"/>
      <c r="F731" s="92" t="n"/>
    </row>
    <row r="732">
      <c r="A732" s="91" t="n"/>
      <c r="B732" s="92" t="n"/>
      <c r="C732" s="92" t="n"/>
      <c r="D732" s="92" t="n"/>
      <c r="E732" s="93" t="n"/>
      <c r="F732" s="92" t="n"/>
    </row>
    <row r="733">
      <c r="A733" s="91" t="n"/>
      <c r="B733" s="92" t="n"/>
      <c r="C733" s="92" t="n"/>
      <c r="D733" s="92" t="n"/>
      <c r="E733" s="93" t="n"/>
      <c r="F733" s="92" t="n"/>
    </row>
    <row r="734">
      <c r="A734" s="91" t="n"/>
      <c r="B734" s="92" t="n"/>
      <c r="C734" s="92" t="n"/>
      <c r="D734" s="92" t="n"/>
      <c r="E734" s="93" t="n"/>
      <c r="F734" s="92" t="n"/>
    </row>
    <row r="735">
      <c r="A735" s="91" t="n"/>
      <c r="B735" s="92" t="n"/>
      <c r="C735" s="92" t="n"/>
      <c r="D735" s="92" t="n"/>
      <c r="E735" s="93" t="n"/>
      <c r="F735" s="92" t="n"/>
    </row>
    <row r="736">
      <c r="A736" s="91" t="n"/>
      <c r="B736" s="92" t="n"/>
      <c r="C736" s="92" t="n"/>
      <c r="D736" s="92" t="n"/>
      <c r="E736" s="93" t="n"/>
      <c r="F736" s="92" t="n"/>
    </row>
    <row r="737">
      <c r="A737" s="91" t="n"/>
      <c r="B737" s="92" t="n"/>
      <c r="C737" s="92" t="n"/>
      <c r="D737" s="92" t="n"/>
      <c r="E737" s="93" t="n"/>
      <c r="F737" s="92" t="n"/>
    </row>
    <row r="738">
      <c r="A738" s="91" t="n"/>
      <c r="B738" s="92" t="n"/>
      <c r="C738" s="92" t="n"/>
      <c r="D738" s="92" t="n"/>
      <c r="E738" s="93" t="n"/>
      <c r="F738" s="92" t="n"/>
    </row>
    <row r="739">
      <c r="A739" s="91" t="n"/>
      <c r="B739" s="92" t="n"/>
      <c r="C739" s="92" t="n"/>
      <c r="D739" s="92" t="n"/>
      <c r="E739" s="93" t="n"/>
      <c r="F739" s="92" t="n"/>
    </row>
    <row r="740">
      <c r="A740" s="91" t="n"/>
      <c r="B740" s="92" t="n"/>
      <c r="C740" s="92" t="n"/>
      <c r="D740" s="92" t="n"/>
      <c r="E740" s="93" t="n"/>
      <c r="F740" s="92" t="n"/>
    </row>
    <row r="741">
      <c r="A741" s="91" t="n"/>
      <c r="B741" s="92" t="n"/>
      <c r="C741" s="92" t="n"/>
      <c r="D741" s="92" t="n"/>
      <c r="E741" s="93" t="n"/>
      <c r="F741" s="92" t="n"/>
    </row>
    <row r="742">
      <c r="A742" s="91" t="n"/>
      <c r="B742" s="92" t="n"/>
      <c r="C742" s="92" t="n"/>
      <c r="D742" s="92" t="n"/>
      <c r="E742" s="93" t="n"/>
      <c r="F742" s="92" t="n"/>
    </row>
    <row r="743">
      <c r="A743" s="91" t="n"/>
      <c r="B743" s="92" t="n"/>
      <c r="C743" s="92" t="n"/>
      <c r="D743" s="92" t="n"/>
      <c r="E743" s="93" t="n"/>
      <c r="F743" s="92" t="n"/>
    </row>
    <row r="744">
      <c r="A744" s="91" t="n"/>
      <c r="B744" s="92" t="n"/>
      <c r="C744" s="92" t="n"/>
      <c r="D744" s="92" t="n"/>
      <c r="E744" s="93" t="n"/>
      <c r="F744" s="92" t="n"/>
    </row>
    <row r="745">
      <c r="A745" s="91" t="n"/>
      <c r="B745" s="92" t="n"/>
      <c r="C745" s="92" t="n"/>
      <c r="D745" s="92" t="n"/>
      <c r="E745" s="93" t="n"/>
      <c r="F745" s="92" t="n"/>
    </row>
    <row r="746">
      <c r="A746" s="91" t="n"/>
      <c r="B746" s="92" t="n"/>
      <c r="C746" s="92" t="n"/>
      <c r="D746" s="92" t="n"/>
      <c r="E746" s="93" t="n"/>
      <c r="F746" s="92" t="n"/>
    </row>
    <row r="747">
      <c r="A747" s="91" t="n"/>
      <c r="B747" s="92" t="n"/>
      <c r="C747" s="92" t="n"/>
      <c r="D747" s="92" t="n"/>
      <c r="E747" s="93" t="n"/>
      <c r="F747" s="92" t="n"/>
    </row>
    <row r="748">
      <c r="A748" s="91" t="n"/>
      <c r="B748" s="92" t="n"/>
      <c r="C748" s="92" t="n"/>
      <c r="D748" s="92" t="n"/>
      <c r="E748" s="93" t="n"/>
      <c r="F748" s="92" t="n"/>
    </row>
    <row r="749">
      <c r="A749" s="91" t="n"/>
      <c r="B749" s="92" t="n"/>
      <c r="C749" s="92" t="n"/>
      <c r="D749" s="92" t="n"/>
      <c r="E749" s="93" t="n"/>
      <c r="F749" s="92" t="n"/>
    </row>
    <row r="750">
      <c r="A750" s="91" t="n"/>
      <c r="B750" s="92" t="n"/>
      <c r="C750" s="92" t="n"/>
      <c r="D750" s="92" t="n"/>
      <c r="E750" s="93" t="n"/>
      <c r="F750" s="92" t="n"/>
    </row>
    <row r="751">
      <c r="A751" s="91" t="n"/>
      <c r="B751" s="92" t="n"/>
      <c r="C751" s="92" t="n"/>
      <c r="D751" s="92" t="n"/>
      <c r="E751" s="93" t="n"/>
      <c r="F751" s="92" t="n"/>
    </row>
    <row r="752">
      <c r="A752" s="91" t="n"/>
      <c r="B752" s="92" t="n"/>
      <c r="C752" s="92" t="n"/>
      <c r="D752" s="92" t="n"/>
      <c r="E752" s="93" t="n"/>
      <c r="F752" s="92" t="n"/>
    </row>
    <row r="753">
      <c r="A753" s="91" t="n"/>
      <c r="B753" s="92" t="n"/>
      <c r="C753" s="92" t="n"/>
      <c r="D753" s="92" t="n"/>
      <c r="E753" s="93" t="n"/>
      <c r="F753" s="92" t="n"/>
    </row>
    <row r="754">
      <c r="A754" s="91" t="n"/>
      <c r="B754" s="92" t="n"/>
      <c r="C754" s="92" t="n"/>
      <c r="D754" s="92" t="n"/>
      <c r="E754" s="93" t="n"/>
      <c r="F754" s="92" t="n"/>
    </row>
    <row r="755">
      <c r="A755" s="91" t="n"/>
      <c r="B755" s="92" t="n"/>
      <c r="C755" s="92" t="n"/>
      <c r="D755" s="92" t="n"/>
      <c r="E755" s="93" t="n"/>
      <c r="F755" s="92" t="n"/>
    </row>
    <row r="756">
      <c r="A756" s="91" t="n"/>
      <c r="B756" s="92" t="n"/>
      <c r="C756" s="92" t="n"/>
      <c r="D756" s="92" t="n"/>
      <c r="E756" s="93" t="n"/>
      <c r="F756" s="92" t="n"/>
    </row>
    <row r="757">
      <c r="A757" s="91" t="n"/>
      <c r="B757" s="92" t="n"/>
      <c r="C757" s="92" t="n"/>
      <c r="D757" s="92" t="n"/>
      <c r="E757" s="93" t="n"/>
      <c r="F757" s="92" t="n"/>
    </row>
    <row r="758">
      <c r="A758" s="91" t="n"/>
      <c r="B758" s="92" t="n"/>
      <c r="C758" s="92" t="n"/>
      <c r="D758" s="92" t="n"/>
      <c r="E758" s="93" t="n"/>
      <c r="F758" s="92" t="n"/>
    </row>
    <row r="759">
      <c r="A759" s="91" t="n"/>
      <c r="B759" s="92" t="n"/>
      <c r="C759" s="92" t="n"/>
      <c r="D759" s="92" t="n"/>
      <c r="E759" s="93" t="n"/>
      <c r="F759" s="92" t="n"/>
    </row>
    <row r="760">
      <c r="A760" s="91" t="n"/>
      <c r="B760" s="92" t="n"/>
      <c r="C760" s="92" t="n"/>
      <c r="D760" s="92" t="n"/>
      <c r="E760" s="93" t="n"/>
      <c r="F760" s="92" t="n"/>
    </row>
    <row r="761">
      <c r="A761" s="91" t="n"/>
      <c r="B761" s="92" t="n"/>
      <c r="C761" s="92" t="n"/>
      <c r="D761" s="92" t="n"/>
      <c r="E761" s="93" t="n"/>
      <c r="F761" s="92" t="n"/>
    </row>
    <row r="762">
      <c r="A762" s="91" t="n"/>
      <c r="B762" s="92" t="n"/>
      <c r="C762" s="92" t="n"/>
      <c r="D762" s="92" t="n"/>
      <c r="E762" s="93" t="n"/>
      <c r="F762" s="92" t="n"/>
    </row>
    <row r="763">
      <c r="A763" s="91" t="n"/>
      <c r="B763" s="92" t="n"/>
      <c r="C763" s="92" t="n"/>
      <c r="D763" s="92" t="n"/>
      <c r="E763" s="93" t="n"/>
      <c r="F763" s="92" t="n"/>
    </row>
    <row r="764">
      <c r="A764" s="91" t="n"/>
      <c r="B764" s="92" t="n"/>
      <c r="C764" s="92" t="n"/>
      <c r="D764" s="92" t="n"/>
      <c r="E764" s="93" t="n"/>
      <c r="F764" s="92" t="n"/>
    </row>
    <row r="765">
      <c r="A765" s="91" t="n"/>
      <c r="B765" s="92" t="n"/>
      <c r="C765" s="92" t="n"/>
      <c r="D765" s="92" t="n"/>
      <c r="E765" s="93" t="n"/>
      <c r="F765" s="92" t="n"/>
    </row>
    <row r="766">
      <c r="A766" s="91" t="n"/>
      <c r="B766" s="92" t="n"/>
      <c r="C766" s="92" t="n"/>
      <c r="D766" s="92" t="n"/>
      <c r="E766" s="93" t="n"/>
      <c r="F766" s="92" t="n"/>
    </row>
    <row r="767">
      <c r="A767" s="91" t="n"/>
      <c r="B767" s="92" t="n"/>
      <c r="C767" s="92" t="n"/>
      <c r="D767" s="92" t="n"/>
      <c r="E767" s="93" t="n"/>
      <c r="F767" s="92" t="n"/>
    </row>
    <row r="768">
      <c r="A768" s="91" t="n"/>
      <c r="B768" s="92" t="n"/>
      <c r="C768" s="92" t="n"/>
      <c r="D768" s="92" t="n"/>
      <c r="E768" s="93" t="n"/>
      <c r="F768" s="92" t="n"/>
    </row>
    <row r="769">
      <c r="A769" s="91" t="n"/>
      <c r="B769" s="92" t="n"/>
      <c r="C769" s="92" t="n"/>
      <c r="D769" s="92" t="n"/>
      <c r="E769" s="93" t="n"/>
      <c r="F769" s="92" t="n"/>
    </row>
    <row r="770">
      <c r="A770" s="91" t="n"/>
      <c r="B770" s="92" t="n"/>
      <c r="C770" s="92" t="n"/>
      <c r="D770" s="92" t="n"/>
      <c r="E770" s="93" t="n"/>
      <c r="F770" s="92" t="n"/>
    </row>
    <row r="771">
      <c r="A771" s="91" t="n"/>
      <c r="B771" s="92" t="n"/>
      <c r="C771" s="92" t="n"/>
      <c r="D771" s="92" t="n"/>
      <c r="E771" s="93" t="n"/>
      <c r="F771" s="92" t="n"/>
    </row>
    <row r="772">
      <c r="A772" s="91" t="n"/>
      <c r="B772" s="92" t="n"/>
      <c r="C772" s="92" t="n"/>
      <c r="D772" s="92" t="n"/>
      <c r="E772" s="93" t="n"/>
      <c r="F772" s="92" t="n"/>
    </row>
    <row r="773">
      <c r="A773" s="91" t="n"/>
      <c r="B773" s="92" t="n"/>
      <c r="C773" s="92" t="n"/>
      <c r="D773" s="92" t="n"/>
      <c r="E773" s="93" t="n"/>
      <c r="F773" s="92" t="n"/>
    </row>
    <row r="774">
      <c r="A774" s="91" t="n"/>
      <c r="B774" s="92" t="n"/>
      <c r="C774" s="92" t="n"/>
      <c r="D774" s="92" t="n"/>
      <c r="E774" s="93" t="n"/>
      <c r="F774" s="92" t="n"/>
    </row>
    <row r="775">
      <c r="A775" s="91" t="n"/>
      <c r="B775" s="92" t="n"/>
      <c r="C775" s="92" t="n"/>
      <c r="D775" s="92" t="n"/>
      <c r="E775" s="93" t="n"/>
      <c r="F775" s="92" t="n"/>
    </row>
    <row r="776">
      <c r="A776" s="91" t="n"/>
      <c r="B776" s="92" t="n"/>
      <c r="C776" s="92" t="n"/>
      <c r="D776" s="92" t="n"/>
      <c r="E776" s="93" t="n"/>
      <c r="F776" s="92" t="n"/>
    </row>
    <row r="777">
      <c r="A777" s="91" t="n"/>
      <c r="B777" s="92" t="n"/>
      <c r="C777" s="92" t="n"/>
      <c r="D777" s="92" t="n"/>
      <c r="E777" s="93" t="n"/>
      <c r="F777" s="92" t="n"/>
    </row>
    <row r="778">
      <c r="A778" s="91" t="n"/>
      <c r="B778" s="92" t="n"/>
      <c r="C778" s="92" t="n"/>
      <c r="D778" s="92" t="n"/>
      <c r="E778" s="93" t="n"/>
      <c r="F778" s="92" t="n"/>
    </row>
    <row r="779">
      <c r="A779" s="91" t="n"/>
      <c r="B779" s="92" t="n"/>
      <c r="C779" s="92" t="n"/>
      <c r="D779" s="92" t="n"/>
      <c r="E779" s="93" t="n"/>
      <c r="F779" s="92" t="n"/>
    </row>
    <row r="780">
      <c r="A780" s="91" t="n"/>
      <c r="B780" s="92" t="n"/>
      <c r="C780" s="92" t="n"/>
      <c r="D780" s="92" t="n"/>
      <c r="E780" s="93" t="n"/>
      <c r="F780" s="92" t="n"/>
    </row>
    <row r="781">
      <c r="A781" s="91" t="n"/>
      <c r="B781" s="92" t="n"/>
      <c r="C781" s="92" t="n"/>
      <c r="D781" s="92" t="n"/>
      <c r="E781" s="93" t="n"/>
      <c r="F781" s="92" t="n"/>
    </row>
    <row r="782">
      <c r="A782" s="91" t="n"/>
      <c r="B782" s="92" t="n"/>
      <c r="C782" s="92" t="n"/>
      <c r="D782" s="92" t="n"/>
      <c r="E782" s="93" t="n"/>
      <c r="F782" s="92" t="n"/>
    </row>
    <row r="783">
      <c r="A783" s="91" t="n"/>
      <c r="B783" s="92" t="n"/>
      <c r="C783" s="92" t="n"/>
      <c r="D783" s="92" t="n"/>
      <c r="E783" s="93" t="n"/>
      <c r="F783" s="92" t="n"/>
    </row>
    <row r="784">
      <c r="A784" s="91" t="n"/>
      <c r="B784" s="92" t="n"/>
      <c r="C784" s="92" t="n"/>
      <c r="D784" s="92" t="n"/>
      <c r="E784" s="93" t="n"/>
      <c r="F784" s="92" t="n"/>
    </row>
    <row r="785">
      <c r="A785" s="91" t="n"/>
      <c r="B785" s="92" t="n"/>
      <c r="C785" s="92" t="n"/>
      <c r="D785" s="92" t="n"/>
      <c r="E785" s="93" t="n"/>
      <c r="F785" s="92" t="n"/>
    </row>
    <row r="786">
      <c r="A786" s="91" t="n"/>
      <c r="B786" s="92" t="n"/>
      <c r="C786" s="92" t="n"/>
      <c r="D786" s="92" t="n"/>
      <c r="E786" s="93" t="n"/>
      <c r="F786" s="92" t="n"/>
    </row>
    <row r="787">
      <c r="A787" s="91" t="n"/>
      <c r="B787" s="92" t="n"/>
      <c r="C787" s="92" t="n"/>
      <c r="D787" s="92" t="n"/>
      <c r="E787" s="93" t="n"/>
      <c r="F787" s="92" t="n"/>
    </row>
    <row r="788">
      <c r="A788" s="91" t="n"/>
      <c r="B788" s="92" t="n"/>
      <c r="C788" s="92" t="n"/>
      <c r="D788" s="92" t="n"/>
      <c r="E788" s="93" t="n"/>
      <c r="F788" s="92" t="n"/>
    </row>
    <row r="789">
      <c r="A789" s="91" t="n"/>
      <c r="B789" s="92" t="n"/>
      <c r="C789" s="92" t="n"/>
      <c r="D789" s="92" t="n"/>
      <c r="E789" s="93" t="n"/>
      <c r="F789" s="92" t="n"/>
    </row>
    <row r="790">
      <c r="A790" s="91" t="n"/>
      <c r="B790" s="92" t="n"/>
      <c r="C790" s="92" t="n"/>
      <c r="D790" s="92" t="n"/>
      <c r="E790" s="93" t="n"/>
      <c r="F790" s="92" t="n"/>
    </row>
    <row r="791">
      <c r="A791" s="91" t="n"/>
      <c r="B791" s="92" t="n"/>
      <c r="C791" s="92" t="n"/>
      <c r="D791" s="92" t="n"/>
      <c r="E791" s="93" t="n"/>
      <c r="F791" s="92" t="n"/>
    </row>
    <row r="792">
      <c r="A792" s="91" t="n"/>
      <c r="B792" s="92" t="n"/>
      <c r="C792" s="92" t="n"/>
      <c r="D792" s="92" t="n"/>
      <c r="E792" s="93" t="n"/>
      <c r="F792" s="92" t="n"/>
    </row>
    <row r="793">
      <c r="A793" s="91" t="n"/>
      <c r="B793" s="92" t="n"/>
      <c r="C793" s="92" t="n"/>
      <c r="D793" s="92" t="n"/>
      <c r="E793" s="93" t="n"/>
      <c r="F793" s="92" t="n"/>
    </row>
    <row r="794">
      <c r="A794" s="91" t="n"/>
      <c r="B794" s="92" t="n"/>
      <c r="C794" s="92" t="n"/>
      <c r="D794" s="92" t="n"/>
      <c r="E794" s="93" t="n"/>
      <c r="F794" s="92" t="n"/>
    </row>
    <row r="795">
      <c r="A795" s="91" t="n"/>
      <c r="B795" s="92" t="n"/>
      <c r="C795" s="92" t="n"/>
      <c r="D795" s="92" t="n"/>
      <c r="E795" s="93" t="n"/>
      <c r="F795" s="92" t="n"/>
    </row>
    <row r="796">
      <c r="A796" s="91" t="n"/>
      <c r="B796" s="92" t="n"/>
      <c r="C796" s="92" t="n"/>
      <c r="D796" s="92" t="n"/>
      <c r="E796" s="93" t="n"/>
      <c r="F796" s="92" t="n"/>
    </row>
    <row r="797">
      <c r="A797" s="91" t="n"/>
      <c r="B797" s="92" t="n"/>
      <c r="C797" s="92" t="n"/>
      <c r="D797" s="92" t="n"/>
      <c r="E797" s="93" t="n"/>
      <c r="F797" s="92" t="n"/>
    </row>
    <row r="798">
      <c r="A798" s="91" t="n"/>
      <c r="B798" s="92" t="n"/>
      <c r="C798" s="92" t="n"/>
      <c r="D798" s="92" t="n"/>
      <c r="E798" s="93" t="n"/>
      <c r="F798" s="92" t="n"/>
    </row>
    <row r="799">
      <c r="A799" s="91" t="n"/>
      <c r="B799" s="92" t="n"/>
      <c r="C799" s="92" t="n"/>
      <c r="D799" s="92" t="n"/>
      <c r="E799" s="93" t="n"/>
      <c r="F799" s="92" t="n"/>
    </row>
    <row r="800">
      <c r="A800" s="91" t="n"/>
      <c r="B800" s="92" t="n"/>
      <c r="C800" s="92" t="n"/>
      <c r="D800" s="92" t="n"/>
      <c r="E800" s="93" t="n"/>
      <c r="F800" s="92" t="n"/>
    </row>
    <row r="801">
      <c r="A801" s="91" t="n"/>
      <c r="B801" s="92" t="n"/>
      <c r="C801" s="92" t="n"/>
      <c r="D801" s="92" t="n"/>
      <c r="E801" s="93" t="n"/>
      <c r="F801" s="92" t="n"/>
    </row>
    <row r="802">
      <c r="A802" s="91" t="n"/>
      <c r="B802" s="92" t="n"/>
      <c r="C802" s="92" t="n"/>
      <c r="D802" s="92" t="n"/>
      <c r="E802" s="93" t="n"/>
      <c r="F802" s="92" t="n"/>
    </row>
    <row r="803">
      <c r="A803" s="91" t="n"/>
      <c r="B803" s="92" t="n"/>
      <c r="C803" s="92" t="n"/>
      <c r="D803" s="92" t="n"/>
      <c r="E803" s="93" t="n"/>
      <c r="F803" s="92" t="n"/>
    </row>
    <row r="804">
      <c r="A804" s="91" t="n"/>
      <c r="B804" s="92" t="n"/>
      <c r="C804" s="92" t="n"/>
      <c r="D804" s="92" t="n"/>
      <c r="E804" s="93" t="n"/>
      <c r="F804" s="92" t="n"/>
    </row>
    <row r="805">
      <c r="A805" s="91" t="n"/>
      <c r="B805" s="92" t="n"/>
      <c r="C805" s="92" t="n"/>
      <c r="D805" s="92" t="n"/>
      <c r="E805" s="93" t="n"/>
      <c r="F805" s="92" t="n"/>
    </row>
    <row r="806">
      <c r="A806" s="91" t="n"/>
      <c r="B806" s="92" t="n"/>
      <c r="C806" s="92" t="n"/>
      <c r="D806" s="92" t="n"/>
      <c r="E806" s="93" t="n"/>
      <c r="F806" s="92" t="n"/>
    </row>
    <row r="807">
      <c r="A807" s="91" t="n"/>
      <c r="B807" s="92" t="n"/>
      <c r="C807" s="92" t="n"/>
      <c r="D807" s="92" t="n"/>
      <c r="E807" s="93" t="n"/>
      <c r="F807" s="92" t="n"/>
    </row>
    <row r="808">
      <c r="A808" s="91" t="n"/>
      <c r="B808" s="92" t="n"/>
      <c r="C808" s="92" t="n"/>
      <c r="D808" s="92" t="n"/>
      <c r="E808" s="93" t="n"/>
      <c r="F808" s="92" t="n"/>
    </row>
    <row r="809">
      <c r="A809" s="91" t="n"/>
      <c r="B809" s="92" t="n"/>
      <c r="C809" s="92" t="n"/>
      <c r="D809" s="92" t="n"/>
      <c r="E809" s="93" t="n"/>
      <c r="F809" s="92" t="n"/>
    </row>
    <row r="810">
      <c r="A810" s="91" t="n"/>
      <c r="B810" s="92" t="n"/>
      <c r="C810" s="92" t="n"/>
      <c r="D810" s="92" t="n"/>
      <c r="E810" s="93" t="n"/>
      <c r="F810" s="92" t="n"/>
    </row>
    <row r="811">
      <c r="A811" s="91" t="n"/>
      <c r="B811" s="92" t="n"/>
      <c r="C811" s="92" t="n"/>
      <c r="D811" s="92" t="n"/>
      <c r="E811" s="93" t="n"/>
      <c r="F811" s="92" t="n"/>
    </row>
    <row r="812">
      <c r="A812" s="91" t="n"/>
      <c r="B812" s="92" t="n"/>
      <c r="C812" s="92" t="n"/>
      <c r="D812" s="92" t="n"/>
      <c r="E812" s="93" t="n"/>
      <c r="F812" s="92" t="n"/>
    </row>
    <row r="813">
      <c r="A813" s="91" t="n"/>
      <c r="B813" s="92" t="n"/>
      <c r="C813" s="92" t="n"/>
      <c r="D813" s="92" t="n"/>
      <c r="E813" s="93" t="n"/>
      <c r="F813" s="92" t="n"/>
    </row>
    <row r="814">
      <c r="A814" s="91" t="n"/>
      <c r="B814" s="92" t="n"/>
      <c r="C814" s="92" t="n"/>
      <c r="D814" s="92" t="n"/>
      <c r="E814" s="93" t="n"/>
      <c r="F814" s="92" t="n"/>
    </row>
    <row r="815">
      <c r="A815" s="91" t="n"/>
      <c r="B815" s="92" t="n"/>
      <c r="C815" s="92" t="n"/>
      <c r="D815" s="92" t="n"/>
      <c r="E815" s="93" t="n"/>
      <c r="F815" s="92" t="n"/>
    </row>
    <row r="816">
      <c r="A816" s="91" t="n"/>
      <c r="B816" s="92" t="n"/>
      <c r="C816" s="92" t="n"/>
      <c r="D816" s="92" t="n"/>
      <c r="E816" s="93" t="n"/>
      <c r="F816" s="92" t="n"/>
    </row>
    <row r="817">
      <c r="A817" s="91" t="n"/>
      <c r="B817" s="92" t="n"/>
      <c r="C817" s="92" t="n"/>
      <c r="D817" s="92" t="n"/>
      <c r="E817" s="93" t="n"/>
      <c r="F817" s="92" t="n"/>
    </row>
    <row r="818">
      <c r="A818" s="91" t="n"/>
      <c r="B818" s="92" t="n"/>
      <c r="C818" s="92" t="n"/>
      <c r="D818" s="92" t="n"/>
      <c r="E818" s="93" t="n"/>
      <c r="F818" s="92" t="n"/>
    </row>
    <row r="819">
      <c r="A819" s="91" t="n"/>
      <c r="B819" s="92" t="n"/>
      <c r="C819" s="92" t="n"/>
      <c r="D819" s="92" t="n"/>
      <c r="E819" s="93" t="n"/>
      <c r="F819" s="92" t="n"/>
    </row>
    <row r="820">
      <c r="A820" s="91" t="n"/>
      <c r="B820" s="92" t="n"/>
      <c r="C820" s="92" t="n"/>
      <c r="D820" s="92" t="n"/>
      <c r="E820" s="93" t="n"/>
      <c r="F820" s="92" t="n"/>
    </row>
    <row r="821">
      <c r="A821" s="91" t="n"/>
      <c r="B821" s="92" t="n"/>
      <c r="C821" s="92" t="n"/>
      <c r="D821" s="92" t="n"/>
      <c r="E821" s="93" t="n"/>
      <c r="F821" s="92" t="n"/>
    </row>
    <row r="822">
      <c r="A822" s="91" t="n"/>
      <c r="B822" s="92" t="n"/>
      <c r="C822" s="92" t="n"/>
      <c r="D822" s="92" t="n"/>
      <c r="E822" s="93" t="n"/>
      <c r="F822" s="92" t="n"/>
    </row>
    <row r="823">
      <c r="A823" s="91" t="n"/>
      <c r="B823" s="92" t="n"/>
      <c r="C823" s="92" t="n"/>
      <c r="D823" s="92" t="n"/>
      <c r="E823" s="93" t="n"/>
      <c r="F823" s="92" t="n"/>
    </row>
    <row r="824">
      <c r="A824" s="91" t="n"/>
      <c r="B824" s="92" t="n"/>
      <c r="C824" s="92" t="n"/>
      <c r="D824" s="92" t="n"/>
      <c r="E824" s="93" t="n"/>
      <c r="F824" s="92" t="n"/>
    </row>
    <row r="825">
      <c r="A825" s="91" t="n"/>
      <c r="B825" s="92" t="n"/>
      <c r="C825" s="92" t="n"/>
      <c r="D825" s="92" t="n"/>
      <c r="E825" s="93" t="n"/>
      <c r="F825" s="92" t="n"/>
    </row>
    <row r="826">
      <c r="A826" s="91" t="n"/>
      <c r="B826" s="92" t="n"/>
      <c r="C826" s="92" t="n"/>
      <c r="D826" s="92" t="n"/>
      <c r="E826" s="93" t="n"/>
      <c r="F826" s="92" t="n"/>
    </row>
    <row r="827">
      <c r="A827" s="91" t="n"/>
      <c r="B827" s="92" t="n"/>
      <c r="C827" s="92" t="n"/>
      <c r="D827" s="92" t="n"/>
      <c r="E827" s="93" t="n"/>
      <c r="F827" s="92" t="n"/>
    </row>
    <row r="828">
      <c r="A828" s="91" t="n"/>
      <c r="B828" s="92" t="n"/>
      <c r="C828" s="92" t="n"/>
      <c r="D828" s="92" t="n"/>
      <c r="E828" s="93" t="n"/>
      <c r="F828" s="92" t="n"/>
    </row>
    <row r="829">
      <c r="A829" s="91" t="n"/>
      <c r="B829" s="92" t="n"/>
      <c r="C829" s="92" t="n"/>
      <c r="D829" s="92" t="n"/>
      <c r="E829" s="93" t="n"/>
      <c r="F829" s="92" t="n"/>
    </row>
    <row r="830">
      <c r="A830" s="91" t="n"/>
      <c r="B830" s="92" t="n"/>
      <c r="C830" s="92" t="n"/>
      <c r="D830" s="92" t="n"/>
      <c r="E830" s="93" t="n"/>
      <c r="F830" s="92" t="n"/>
    </row>
    <row r="831">
      <c r="A831" s="91" t="n"/>
      <c r="B831" s="92" t="n"/>
      <c r="C831" s="92" t="n"/>
      <c r="D831" s="92" t="n"/>
      <c r="E831" s="93" t="n"/>
      <c r="F831" s="92" t="n"/>
    </row>
    <row r="832">
      <c r="A832" s="91" t="n"/>
      <c r="B832" s="92" t="n"/>
      <c r="C832" s="92" t="n"/>
      <c r="D832" s="92" t="n"/>
      <c r="E832" s="93" t="n"/>
      <c r="F832" s="92" t="n"/>
    </row>
    <row r="833">
      <c r="A833" s="91" t="n"/>
      <c r="B833" s="92" t="n"/>
      <c r="C833" s="92" t="n"/>
      <c r="D833" s="92" t="n"/>
      <c r="E833" s="93" t="n"/>
      <c r="F833" s="92" t="n"/>
    </row>
    <row r="834">
      <c r="A834" s="91" t="n"/>
      <c r="B834" s="92" t="n"/>
      <c r="C834" s="92" t="n"/>
      <c r="D834" s="92" t="n"/>
      <c r="E834" s="93" t="n"/>
      <c r="F834" s="92" t="n"/>
    </row>
    <row r="835">
      <c r="A835" s="91" t="n"/>
      <c r="B835" s="92" t="n"/>
      <c r="C835" s="92" t="n"/>
      <c r="D835" s="92" t="n"/>
      <c r="E835" s="93" t="n"/>
      <c r="F835" s="92" t="n"/>
    </row>
    <row r="836">
      <c r="A836" s="91" t="n"/>
      <c r="B836" s="92" t="n"/>
      <c r="C836" s="92" t="n"/>
      <c r="D836" s="92" t="n"/>
      <c r="E836" s="93" t="n"/>
      <c r="F836" s="92" t="n"/>
    </row>
    <row r="837">
      <c r="A837" s="91" t="n"/>
      <c r="B837" s="92" t="n"/>
      <c r="C837" s="92" t="n"/>
      <c r="D837" s="92" t="n"/>
      <c r="E837" s="93" t="n"/>
      <c r="F837" s="92" t="n"/>
    </row>
    <row r="838">
      <c r="A838" s="91" t="n"/>
      <c r="B838" s="92" t="n"/>
      <c r="C838" s="92" t="n"/>
      <c r="D838" s="92" t="n"/>
      <c r="E838" s="93" t="n"/>
      <c r="F838" s="92" t="n"/>
    </row>
    <row r="839">
      <c r="A839" s="91" t="n"/>
      <c r="B839" s="92" t="n"/>
      <c r="C839" s="92" t="n"/>
      <c r="D839" s="92" t="n"/>
      <c r="E839" s="93" t="n"/>
      <c r="F839" s="92" t="n"/>
    </row>
    <row r="840">
      <c r="A840" s="91" t="n"/>
      <c r="B840" s="92" t="n"/>
      <c r="C840" s="92" t="n"/>
      <c r="D840" s="92" t="n"/>
      <c r="E840" s="93" t="n"/>
      <c r="F840" s="92" t="n"/>
    </row>
    <row r="841">
      <c r="A841" s="91" t="n"/>
      <c r="B841" s="92" t="n"/>
      <c r="C841" s="92" t="n"/>
      <c r="D841" s="92" t="n"/>
      <c r="E841" s="93" t="n"/>
      <c r="F841" s="92" t="n"/>
    </row>
    <row r="842">
      <c r="A842" s="91" t="n"/>
      <c r="B842" s="92" t="n"/>
      <c r="C842" s="92" t="n"/>
      <c r="D842" s="92" t="n"/>
      <c r="E842" s="93" t="n"/>
      <c r="F842" s="92" t="n"/>
    </row>
    <row r="843">
      <c r="A843" s="91" t="n"/>
      <c r="B843" s="92" t="n"/>
      <c r="C843" s="92" t="n"/>
      <c r="D843" s="92" t="n"/>
      <c r="E843" s="93" t="n"/>
      <c r="F843" s="92" t="n"/>
    </row>
    <row r="844">
      <c r="A844" s="91" t="n"/>
      <c r="B844" s="92" t="n"/>
      <c r="C844" s="92" t="n"/>
      <c r="D844" s="92" t="n"/>
      <c r="E844" s="93" t="n"/>
      <c r="F844" s="92" t="n"/>
    </row>
    <row r="845">
      <c r="A845" s="91" t="n"/>
      <c r="B845" s="92" t="n"/>
      <c r="C845" s="92" t="n"/>
      <c r="D845" s="92" t="n"/>
      <c r="E845" s="93" t="n"/>
      <c r="F845" s="92" t="n"/>
    </row>
    <row r="846">
      <c r="A846" s="91" t="n"/>
      <c r="B846" s="92" t="n"/>
      <c r="C846" s="92" t="n"/>
      <c r="D846" s="92" t="n"/>
      <c r="E846" s="93" t="n"/>
      <c r="F846" s="92" t="n"/>
    </row>
    <row r="847">
      <c r="A847" s="91" t="n"/>
      <c r="B847" s="92" t="n"/>
      <c r="C847" s="92" t="n"/>
      <c r="D847" s="92" t="n"/>
      <c r="E847" s="93" t="n"/>
      <c r="F847" s="92" t="n"/>
    </row>
    <row r="848">
      <c r="A848" s="91" t="n"/>
      <c r="B848" s="92" t="n"/>
      <c r="C848" s="92" t="n"/>
      <c r="D848" s="92" t="n"/>
      <c r="E848" s="93" t="n"/>
      <c r="F848" s="92" t="n"/>
    </row>
    <row r="849">
      <c r="A849" s="91" t="n"/>
      <c r="B849" s="92" t="n"/>
      <c r="C849" s="92" t="n"/>
      <c r="D849" s="92" t="n"/>
      <c r="E849" s="93" t="n"/>
      <c r="F849" s="92" t="n"/>
    </row>
    <row r="850">
      <c r="A850" s="91" t="n"/>
      <c r="B850" s="92" t="n"/>
      <c r="C850" s="92" t="n"/>
      <c r="D850" s="92" t="n"/>
      <c r="E850" s="93" t="n"/>
      <c r="F850" s="92" t="n"/>
    </row>
    <row r="851">
      <c r="A851" s="91" t="n"/>
      <c r="B851" s="92" t="n"/>
      <c r="C851" s="92" t="n"/>
      <c r="D851" s="92" t="n"/>
      <c r="E851" s="93" t="n"/>
      <c r="F851" s="92" t="n"/>
    </row>
    <row r="852">
      <c r="A852" s="91" t="n"/>
      <c r="B852" s="92" t="n"/>
      <c r="C852" s="92" t="n"/>
      <c r="D852" s="92" t="n"/>
      <c r="E852" s="93" t="n"/>
      <c r="F852" s="92" t="n"/>
    </row>
    <row r="853">
      <c r="A853" s="91" t="n"/>
      <c r="B853" s="92" t="n"/>
      <c r="C853" s="92" t="n"/>
      <c r="D853" s="92" t="n"/>
      <c r="E853" s="93" t="n"/>
      <c r="F853" s="92" t="n"/>
    </row>
    <row r="854">
      <c r="A854" s="91" t="n"/>
      <c r="B854" s="92" t="n"/>
      <c r="C854" s="92" t="n"/>
      <c r="D854" s="92" t="n"/>
      <c r="E854" s="93" t="n"/>
      <c r="F854" s="92" t="n"/>
    </row>
    <row r="855">
      <c r="A855" s="91" t="n"/>
      <c r="B855" s="92" t="n"/>
      <c r="C855" s="92" t="n"/>
      <c r="D855" s="92" t="n"/>
      <c r="E855" s="93" t="n"/>
      <c r="F855" s="92" t="n"/>
    </row>
    <row r="856">
      <c r="A856" s="91" t="n"/>
      <c r="B856" s="92" t="n"/>
      <c r="C856" s="92" t="n"/>
      <c r="D856" s="92" t="n"/>
      <c r="E856" s="93" t="n"/>
      <c r="F856" s="92" t="n"/>
    </row>
    <row r="857">
      <c r="A857" s="91" t="n"/>
      <c r="B857" s="92" t="n"/>
      <c r="C857" s="92" t="n"/>
      <c r="D857" s="92" t="n"/>
      <c r="E857" s="93" t="n"/>
      <c r="F857" s="92" t="n"/>
    </row>
    <row r="858">
      <c r="A858" s="91" t="n"/>
      <c r="B858" s="92" t="n"/>
      <c r="C858" s="92" t="n"/>
      <c r="D858" s="92" t="n"/>
      <c r="E858" s="93" t="n"/>
      <c r="F858" s="92" t="n"/>
    </row>
    <row r="859">
      <c r="A859" s="91" t="n"/>
      <c r="B859" s="92" t="n"/>
      <c r="C859" s="92" t="n"/>
      <c r="D859" s="92" t="n"/>
      <c r="E859" s="93" t="n"/>
      <c r="F859" s="92" t="n"/>
    </row>
    <row r="860">
      <c r="A860" s="91" t="n"/>
      <c r="B860" s="92" t="n"/>
      <c r="C860" s="92" t="n"/>
      <c r="D860" s="92" t="n"/>
      <c r="E860" s="93" t="n"/>
      <c r="F860" s="92" t="n"/>
    </row>
    <row r="861">
      <c r="A861" s="91" t="n"/>
      <c r="B861" s="92" t="n"/>
      <c r="C861" s="92" t="n"/>
      <c r="D861" s="92" t="n"/>
      <c r="E861" s="93" t="n"/>
      <c r="F861" s="92" t="n"/>
    </row>
    <row r="862">
      <c r="A862" s="91" t="n"/>
      <c r="B862" s="92" t="n"/>
      <c r="C862" s="92" t="n"/>
      <c r="D862" s="92" t="n"/>
      <c r="E862" s="93" t="n"/>
      <c r="F862" s="92" t="n"/>
    </row>
    <row r="863">
      <c r="A863" s="91" t="n"/>
      <c r="B863" s="92" t="n"/>
      <c r="C863" s="92" t="n"/>
      <c r="D863" s="92" t="n"/>
      <c r="E863" s="93" t="n"/>
      <c r="F863" s="92" t="n"/>
    </row>
    <row r="864">
      <c r="A864" s="91" t="n"/>
      <c r="B864" s="92" t="n"/>
      <c r="C864" s="92" t="n"/>
      <c r="D864" s="92" t="n"/>
      <c r="E864" s="93" t="n"/>
      <c r="F864" s="92" t="n"/>
    </row>
    <row r="865">
      <c r="A865" s="91" t="n"/>
      <c r="B865" s="92" t="n"/>
      <c r="C865" s="92" t="n"/>
      <c r="D865" s="92" t="n"/>
      <c r="E865" s="93" t="n"/>
      <c r="F865" s="92" t="n"/>
    </row>
    <row r="866">
      <c r="A866" s="91" t="n"/>
      <c r="B866" s="92" t="n"/>
      <c r="C866" s="92" t="n"/>
      <c r="D866" s="92" t="n"/>
      <c r="E866" s="93" t="n"/>
      <c r="F866" s="92" t="n"/>
    </row>
    <row r="867">
      <c r="A867" s="91" t="n"/>
      <c r="B867" s="92" t="n"/>
      <c r="C867" s="92" t="n"/>
      <c r="D867" s="92" t="n"/>
      <c r="E867" s="93" t="n"/>
      <c r="F867" s="92" t="n"/>
    </row>
    <row r="868">
      <c r="A868" s="91" t="n"/>
      <c r="B868" s="92" t="n"/>
      <c r="C868" s="92" t="n"/>
      <c r="D868" s="92" t="n"/>
      <c r="E868" s="93" t="n"/>
      <c r="F868" s="92" t="n"/>
    </row>
    <row r="869">
      <c r="A869" s="91" t="n"/>
      <c r="B869" s="92" t="n"/>
      <c r="C869" s="92" t="n"/>
      <c r="D869" s="92" t="n"/>
      <c r="E869" s="93" t="n"/>
      <c r="F869" s="92" t="n"/>
    </row>
    <row r="870">
      <c r="A870" s="91" t="n"/>
      <c r="B870" s="92" t="n"/>
      <c r="C870" s="92" t="n"/>
      <c r="D870" s="92" t="n"/>
      <c r="E870" s="93" t="n"/>
      <c r="F870" s="92" t="n"/>
    </row>
    <row r="871">
      <c r="A871" s="91" t="n"/>
      <c r="B871" s="92" t="n"/>
      <c r="C871" s="92" t="n"/>
      <c r="D871" s="92" t="n"/>
      <c r="E871" s="93" t="n"/>
      <c r="F871" s="92" t="n"/>
    </row>
    <row r="872">
      <c r="A872" s="91" t="n"/>
      <c r="B872" s="92" t="n"/>
      <c r="C872" s="92" t="n"/>
      <c r="D872" s="92" t="n"/>
      <c r="E872" s="93" t="n"/>
      <c r="F872" s="92" t="n"/>
    </row>
    <row r="873">
      <c r="A873" s="91" t="n"/>
      <c r="B873" s="92" t="n"/>
      <c r="C873" s="92" t="n"/>
      <c r="D873" s="92" t="n"/>
      <c r="E873" s="93" t="n"/>
      <c r="F873" s="92" t="n"/>
    </row>
    <row r="874">
      <c r="A874" s="91" t="n"/>
      <c r="B874" s="92" t="n"/>
      <c r="C874" s="92" t="n"/>
      <c r="D874" s="92" t="n"/>
      <c r="E874" s="93" t="n"/>
      <c r="F874" s="92" t="n"/>
    </row>
    <row r="875">
      <c r="A875" s="91" t="n"/>
      <c r="B875" s="92" t="n"/>
      <c r="C875" s="92" t="n"/>
      <c r="D875" s="92" t="n"/>
      <c r="E875" s="93" t="n"/>
      <c r="F875" s="92" t="n"/>
    </row>
    <row r="876">
      <c r="A876" s="91" t="n"/>
      <c r="B876" s="92" t="n"/>
      <c r="C876" s="92" t="n"/>
      <c r="D876" s="92" t="n"/>
      <c r="E876" s="93" t="n"/>
      <c r="F876" s="92" t="n"/>
    </row>
    <row r="877">
      <c r="A877" s="91" t="n"/>
      <c r="B877" s="92" t="n"/>
      <c r="C877" s="92" t="n"/>
      <c r="D877" s="92" t="n"/>
      <c r="E877" s="93" t="n"/>
      <c r="F877" s="92" t="n"/>
    </row>
    <row r="878">
      <c r="A878" s="91" t="n"/>
      <c r="B878" s="92" t="n"/>
      <c r="C878" s="92" t="n"/>
      <c r="D878" s="92" t="n"/>
      <c r="E878" s="93" t="n"/>
      <c r="F878" s="92" t="n"/>
    </row>
    <row r="879">
      <c r="A879" s="91" t="n"/>
      <c r="B879" s="92" t="n"/>
      <c r="C879" s="92" t="n"/>
      <c r="D879" s="92" t="n"/>
      <c r="E879" s="93" t="n"/>
      <c r="F879" s="92" t="n"/>
    </row>
    <row r="880">
      <c r="A880" s="91" t="n"/>
      <c r="B880" s="92" t="n"/>
      <c r="C880" s="92" t="n"/>
      <c r="D880" s="92" t="n"/>
      <c r="E880" s="93" t="n"/>
      <c r="F880" s="92" t="n"/>
    </row>
    <row r="881">
      <c r="A881" s="91" t="n"/>
      <c r="B881" s="92" t="n"/>
      <c r="C881" s="92" t="n"/>
      <c r="D881" s="92" t="n"/>
      <c r="E881" s="93" t="n"/>
      <c r="F881" s="92" t="n"/>
    </row>
    <row r="882">
      <c r="A882" s="91" t="n"/>
      <c r="B882" s="92" t="n"/>
      <c r="C882" s="92" t="n"/>
      <c r="D882" s="92" t="n"/>
      <c r="E882" s="93" t="n"/>
      <c r="F882" s="92" t="n"/>
    </row>
    <row r="883">
      <c r="A883" s="91" t="n"/>
      <c r="B883" s="92" t="n"/>
      <c r="C883" s="92" t="n"/>
      <c r="D883" s="92" t="n"/>
      <c r="E883" s="93" t="n"/>
      <c r="F883" s="92" t="n"/>
    </row>
    <row r="884">
      <c r="A884" s="91" t="n"/>
      <c r="B884" s="92" t="n"/>
      <c r="C884" s="92" t="n"/>
      <c r="D884" s="92" t="n"/>
      <c r="E884" s="93" t="n"/>
      <c r="F884" s="92" t="n"/>
    </row>
    <row r="885">
      <c r="A885" s="91" t="n"/>
      <c r="B885" s="92" t="n"/>
      <c r="C885" s="92" t="n"/>
      <c r="D885" s="92" t="n"/>
      <c r="E885" s="93" t="n"/>
      <c r="F885" s="92" t="n"/>
    </row>
    <row r="886">
      <c r="A886" s="91" t="n"/>
      <c r="B886" s="92" t="n"/>
      <c r="C886" s="92" t="n"/>
      <c r="D886" s="92" t="n"/>
      <c r="E886" s="93" t="n"/>
      <c r="F886" s="92" t="n"/>
    </row>
    <row r="887">
      <c r="A887" s="91" t="n"/>
      <c r="B887" s="92" t="n"/>
      <c r="C887" s="92" t="n"/>
      <c r="D887" s="92" t="n"/>
      <c r="E887" s="93" t="n"/>
      <c r="F887" s="92" t="n"/>
    </row>
    <row r="888">
      <c r="A888" s="91" t="n"/>
      <c r="B888" s="92" t="n"/>
      <c r="C888" s="92" t="n"/>
      <c r="D888" s="92" t="n"/>
      <c r="E888" s="93" t="n"/>
      <c r="F888" s="92" t="n"/>
    </row>
    <row r="889">
      <c r="A889" s="91" t="n"/>
      <c r="B889" s="92" t="n"/>
      <c r="C889" s="92" t="n"/>
      <c r="D889" s="92" t="n"/>
      <c r="E889" s="93" t="n"/>
      <c r="F889" s="92" t="n"/>
    </row>
    <row r="890">
      <c r="A890" s="91" t="n"/>
      <c r="B890" s="92" t="n"/>
      <c r="C890" s="92" t="n"/>
      <c r="D890" s="92" t="n"/>
      <c r="E890" s="93" t="n"/>
      <c r="F890" s="92" t="n"/>
    </row>
    <row r="891">
      <c r="A891" s="91" t="n"/>
      <c r="B891" s="92" t="n"/>
      <c r="C891" s="92" t="n"/>
      <c r="D891" s="92" t="n"/>
      <c r="E891" s="93" t="n"/>
      <c r="F891" s="92" t="n"/>
    </row>
    <row r="892">
      <c r="A892" s="91" t="n"/>
      <c r="B892" s="92" t="n"/>
      <c r="C892" s="92" t="n"/>
      <c r="D892" s="92" t="n"/>
      <c r="E892" s="93" t="n"/>
      <c r="F892" s="92" t="n"/>
    </row>
    <row r="893">
      <c r="A893" s="91" t="n"/>
      <c r="B893" s="92" t="n"/>
      <c r="C893" s="92" t="n"/>
      <c r="D893" s="92" t="n"/>
      <c r="E893" s="93" t="n"/>
      <c r="F893" s="92" t="n"/>
    </row>
    <row r="894">
      <c r="A894" s="91" t="n"/>
      <c r="B894" s="92" t="n"/>
      <c r="C894" s="92" t="n"/>
      <c r="D894" s="92" t="n"/>
      <c r="E894" s="93" t="n"/>
      <c r="F894" s="92" t="n"/>
    </row>
    <row r="895">
      <c r="A895" s="91" t="n"/>
      <c r="B895" s="92" t="n"/>
      <c r="C895" s="92" t="n"/>
      <c r="D895" s="92" t="n"/>
      <c r="E895" s="93" t="n"/>
      <c r="F895" s="92" t="n"/>
    </row>
    <row r="896">
      <c r="A896" s="91" t="n"/>
      <c r="B896" s="92" t="n"/>
      <c r="C896" s="92" t="n"/>
      <c r="D896" s="92" t="n"/>
      <c r="E896" s="93" t="n"/>
      <c r="F896" s="92" t="n"/>
    </row>
    <row r="897">
      <c r="A897" s="91" t="n"/>
      <c r="B897" s="92" t="n"/>
      <c r="C897" s="92" t="n"/>
      <c r="D897" s="92" t="n"/>
      <c r="E897" s="93" t="n"/>
      <c r="F897" s="92" t="n"/>
    </row>
    <row r="898">
      <c r="A898" s="91" t="n"/>
      <c r="B898" s="92" t="n"/>
      <c r="C898" s="92" t="n"/>
      <c r="D898" s="92" t="n"/>
      <c r="E898" s="93" t="n"/>
      <c r="F898" s="92" t="n"/>
    </row>
    <row r="899">
      <c r="A899" s="91" t="n"/>
      <c r="B899" s="92" t="n"/>
      <c r="C899" s="92" t="n"/>
      <c r="D899" s="92" t="n"/>
      <c r="E899" s="93" t="n"/>
      <c r="F899" s="92" t="n"/>
    </row>
    <row r="900">
      <c r="A900" s="91" t="n"/>
      <c r="B900" s="92" t="n"/>
      <c r="C900" s="92" t="n"/>
      <c r="D900" s="92" t="n"/>
      <c r="E900" s="93" t="n"/>
      <c r="F900" s="92" t="n"/>
    </row>
    <row r="901">
      <c r="A901" s="91" t="n"/>
      <c r="B901" s="92" t="n"/>
      <c r="C901" s="92" t="n"/>
      <c r="D901" s="92" t="n"/>
      <c r="E901" s="93" t="n"/>
      <c r="F901" s="92" t="n"/>
    </row>
    <row r="902">
      <c r="A902" s="91" t="n"/>
      <c r="B902" s="92" t="n"/>
      <c r="C902" s="92" t="n"/>
      <c r="D902" s="92" t="n"/>
      <c r="E902" s="93" t="n"/>
      <c r="F902" s="92" t="n"/>
    </row>
    <row r="903">
      <c r="A903" s="91" t="n"/>
      <c r="B903" s="92" t="n"/>
      <c r="C903" s="92" t="n"/>
      <c r="D903" s="92" t="n"/>
      <c r="E903" s="93" t="n"/>
      <c r="F903" s="92" t="n"/>
    </row>
    <row r="904">
      <c r="A904" s="91" t="n"/>
      <c r="B904" s="92" t="n"/>
      <c r="C904" s="92" t="n"/>
      <c r="D904" s="92" t="n"/>
      <c r="E904" s="93" t="n"/>
      <c r="F904" s="92" t="n"/>
    </row>
    <row r="905">
      <c r="A905" s="91" t="n"/>
      <c r="B905" s="92" t="n"/>
      <c r="C905" s="92" t="n"/>
      <c r="D905" s="92" t="n"/>
      <c r="E905" s="93" t="n"/>
      <c r="F905" s="92" t="n"/>
    </row>
    <row r="906">
      <c r="A906" s="91" t="n"/>
      <c r="B906" s="92" t="n"/>
      <c r="C906" s="92" t="n"/>
      <c r="D906" s="92" t="n"/>
      <c r="E906" s="93" t="n"/>
      <c r="F906" s="92" t="n"/>
    </row>
    <row r="907">
      <c r="A907" s="91" t="n"/>
      <c r="B907" s="92" t="n"/>
      <c r="C907" s="92" t="n"/>
      <c r="D907" s="92" t="n"/>
      <c r="E907" s="93" t="n"/>
      <c r="F907" s="92" t="n"/>
    </row>
    <row r="908">
      <c r="A908" s="91" t="n"/>
      <c r="B908" s="92" t="n"/>
      <c r="C908" s="92" t="n"/>
      <c r="D908" s="92" t="n"/>
      <c r="E908" s="93" t="n"/>
      <c r="F908" s="92" t="n"/>
    </row>
    <row r="909">
      <c r="A909" s="91" t="n"/>
      <c r="B909" s="92" t="n"/>
      <c r="C909" s="92" t="n"/>
      <c r="D909" s="92" t="n"/>
      <c r="E909" s="93" t="n"/>
      <c r="F909" s="92" t="n"/>
    </row>
    <row r="910">
      <c r="A910" s="91" t="n"/>
      <c r="B910" s="92" t="n"/>
      <c r="C910" s="92" t="n"/>
      <c r="D910" s="92" t="n"/>
      <c r="E910" s="93" t="n"/>
      <c r="F910" s="92" t="n"/>
    </row>
    <row r="911">
      <c r="A911" s="91" t="n"/>
      <c r="B911" s="92" t="n"/>
      <c r="C911" s="92" t="n"/>
      <c r="D911" s="92" t="n"/>
      <c r="E911" s="93" t="n"/>
      <c r="F911" s="92" t="n"/>
    </row>
    <row r="912">
      <c r="A912" s="91" t="n"/>
      <c r="B912" s="92" t="n"/>
      <c r="C912" s="92" t="n"/>
      <c r="D912" s="92" t="n"/>
      <c r="E912" s="93" t="n"/>
      <c r="F912" s="92" t="n"/>
    </row>
    <row r="913">
      <c r="A913" s="91" t="n"/>
      <c r="B913" s="92" t="n"/>
      <c r="C913" s="92" t="n"/>
      <c r="D913" s="92" t="n"/>
      <c r="E913" s="93" t="n"/>
      <c r="F913" s="92" t="n"/>
    </row>
    <row r="914">
      <c r="A914" s="91" t="n"/>
      <c r="B914" s="92" t="n"/>
      <c r="C914" s="92" t="n"/>
      <c r="D914" s="92" t="n"/>
      <c r="E914" s="93" t="n"/>
      <c r="F914" s="92" t="n"/>
    </row>
    <row r="915">
      <c r="A915" s="91" t="n"/>
      <c r="B915" s="92" t="n"/>
      <c r="C915" s="92" t="n"/>
      <c r="D915" s="92" t="n"/>
      <c r="E915" s="93" t="n"/>
      <c r="F915" s="92" t="n"/>
    </row>
    <row r="916">
      <c r="A916" s="91" t="n"/>
      <c r="B916" s="92" t="n"/>
      <c r="C916" s="92" t="n"/>
      <c r="D916" s="92" t="n"/>
      <c r="E916" s="93" t="n"/>
      <c r="F916" s="92" t="n"/>
    </row>
    <row r="917">
      <c r="A917" s="91" t="n"/>
      <c r="B917" s="92" t="n"/>
      <c r="C917" s="92" t="n"/>
      <c r="D917" s="92" t="n"/>
      <c r="E917" s="93" t="n"/>
      <c r="F917" s="92" t="n"/>
    </row>
    <row r="918">
      <c r="A918" s="91" t="n"/>
      <c r="B918" s="92" t="n"/>
      <c r="C918" s="92" t="n"/>
      <c r="D918" s="92" t="n"/>
      <c r="E918" s="93" t="n"/>
      <c r="F918" s="92" t="n"/>
    </row>
    <row r="919">
      <c r="A919" s="91" t="n"/>
      <c r="B919" s="92" t="n"/>
      <c r="C919" s="92" t="n"/>
      <c r="D919" s="92" t="n"/>
      <c r="E919" s="93" t="n"/>
      <c r="F919" s="92" t="n"/>
    </row>
    <row r="920">
      <c r="A920" s="91" t="n"/>
      <c r="B920" s="92" t="n"/>
      <c r="C920" s="92" t="n"/>
      <c r="D920" s="92" t="n"/>
      <c r="E920" s="93" t="n"/>
      <c r="F920" s="92" t="n"/>
    </row>
    <row r="921">
      <c r="A921" s="91" t="n"/>
      <c r="B921" s="92" t="n"/>
      <c r="C921" s="92" t="n"/>
      <c r="D921" s="92" t="n"/>
      <c r="E921" s="93" t="n"/>
      <c r="F921" s="92" t="n"/>
    </row>
    <row r="922">
      <c r="A922" s="91" t="n"/>
      <c r="B922" s="92" t="n"/>
      <c r="C922" s="92" t="n"/>
      <c r="D922" s="92" t="n"/>
      <c r="E922" s="93" t="n"/>
      <c r="F922" s="92" t="n"/>
    </row>
    <row r="923">
      <c r="A923" s="91" t="n"/>
      <c r="B923" s="92" t="n"/>
      <c r="C923" s="92" t="n"/>
      <c r="D923" s="92" t="n"/>
      <c r="E923" s="93" t="n"/>
      <c r="F923" s="92" t="n"/>
    </row>
    <row r="924">
      <c r="A924" s="91" t="n"/>
      <c r="B924" s="92" t="n"/>
      <c r="C924" s="92" t="n"/>
      <c r="D924" s="92" t="n"/>
      <c r="E924" s="93" t="n"/>
      <c r="F924" s="92" t="n"/>
    </row>
    <row r="925">
      <c r="A925" s="91" t="n"/>
      <c r="B925" s="92" t="n"/>
      <c r="C925" s="92" t="n"/>
      <c r="D925" s="92" t="n"/>
      <c r="E925" s="93" t="n"/>
      <c r="F925" s="92" t="n"/>
    </row>
    <row r="926">
      <c r="A926" s="91" t="n"/>
      <c r="B926" s="92" t="n"/>
      <c r="C926" s="92" t="n"/>
      <c r="D926" s="92" t="n"/>
      <c r="E926" s="93" t="n"/>
      <c r="F926" s="92" t="n"/>
    </row>
    <row r="927">
      <c r="A927" s="91" t="n"/>
      <c r="B927" s="92" t="n"/>
      <c r="C927" s="92" t="n"/>
      <c r="D927" s="92" t="n"/>
      <c r="E927" s="93" t="n"/>
      <c r="F927" s="92" t="n"/>
    </row>
    <row r="928">
      <c r="A928" s="91" t="n"/>
      <c r="B928" s="92" t="n"/>
      <c r="C928" s="92" t="n"/>
      <c r="D928" s="92" t="n"/>
      <c r="E928" s="93" t="n"/>
      <c r="F928" s="92" t="n"/>
    </row>
    <row r="929">
      <c r="A929" s="91" t="n"/>
      <c r="B929" s="92" t="n"/>
      <c r="C929" s="92" t="n"/>
      <c r="D929" s="92" t="n"/>
      <c r="E929" s="93" t="n"/>
      <c r="F929" s="92" t="n"/>
    </row>
    <row r="930">
      <c r="A930" s="91" t="n"/>
      <c r="B930" s="92" t="n"/>
      <c r="C930" s="92" t="n"/>
      <c r="D930" s="92" t="n"/>
      <c r="E930" s="93" t="n"/>
      <c r="F930" s="92" t="n"/>
    </row>
    <row r="931">
      <c r="A931" s="91" t="n"/>
      <c r="B931" s="92" t="n"/>
      <c r="C931" s="92" t="n"/>
      <c r="D931" s="92" t="n"/>
      <c r="E931" s="93" t="n"/>
      <c r="F931" s="92" t="n"/>
    </row>
    <row r="932">
      <c r="A932" s="91" t="n"/>
      <c r="B932" s="92" t="n"/>
      <c r="C932" s="92" t="n"/>
      <c r="D932" s="92" t="n"/>
      <c r="E932" s="93" t="n"/>
      <c r="F932" s="92" t="n"/>
    </row>
    <row r="933">
      <c r="A933" s="91" t="n"/>
      <c r="B933" s="92" t="n"/>
      <c r="C933" s="92" t="n"/>
      <c r="D933" s="92" t="n"/>
      <c r="E933" s="93" t="n"/>
      <c r="F933" s="92" t="n"/>
    </row>
    <row r="934">
      <c r="A934" s="91" t="n"/>
      <c r="B934" s="92" t="n"/>
      <c r="C934" s="92" t="n"/>
      <c r="D934" s="92" t="n"/>
      <c r="E934" s="93" t="n"/>
      <c r="F934" s="92" t="n"/>
    </row>
    <row r="935">
      <c r="A935" s="91" t="n"/>
      <c r="B935" s="92" t="n"/>
      <c r="C935" s="92" t="n"/>
      <c r="D935" s="92" t="n"/>
      <c r="E935" s="93" t="n"/>
      <c r="F935" s="92" t="n"/>
    </row>
    <row r="936">
      <c r="A936" s="91" t="n"/>
      <c r="B936" s="92" t="n"/>
      <c r="C936" s="92" t="n"/>
      <c r="D936" s="92" t="n"/>
      <c r="E936" s="93" t="n"/>
      <c r="F936" s="92" t="n"/>
    </row>
    <row r="937">
      <c r="A937" s="91" t="n"/>
      <c r="B937" s="92" t="n"/>
      <c r="C937" s="92" t="n"/>
      <c r="D937" s="92" t="n"/>
      <c r="E937" s="93" t="n"/>
      <c r="F937" s="92" t="n"/>
    </row>
    <row r="938">
      <c r="A938" s="91" t="n"/>
      <c r="B938" s="92" t="n"/>
      <c r="C938" s="92" t="n"/>
      <c r="D938" s="92" t="n"/>
      <c r="E938" s="93" t="n"/>
      <c r="F938" s="92" t="n"/>
    </row>
    <row r="939">
      <c r="A939" s="91" t="n"/>
      <c r="B939" s="92" t="n"/>
      <c r="C939" s="92" t="n"/>
      <c r="D939" s="92" t="n"/>
      <c r="E939" s="93" t="n"/>
      <c r="F939" s="92" t="n"/>
    </row>
    <row r="940">
      <c r="A940" s="91" t="n"/>
      <c r="B940" s="92" t="n"/>
      <c r="C940" s="92" t="n"/>
      <c r="D940" s="92" t="n"/>
      <c r="E940" s="93" t="n"/>
      <c r="F940" s="92" t="n"/>
    </row>
    <row r="941">
      <c r="A941" s="91" t="n"/>
      <c r="B941" s="92" t="n"/>
      <c r="C941" s="92" t="n"/>
      <c r="D941" s="92" t="n"/>
      <c r="E941" s="93" t="n"/>
      <c r="F941" s="92" t="n"/>
    </row>
    <row r="942">
      <c r="A942" s="91" t="n"/>
      <c r="B942" s="92" t="n"/>
      <c r="C942" s="92" t="n"/>
      <c r="D942" s="92" t="n"/>
      <c r="E942" s="93" t="n"/>
      <c r="F942" s="92" t="n"/>
    </row>
    <row r="943">
      <c r="A943" s="91" t="n"/>
      <c r="B943" s="92" t="n"/>
      <c r="C943" s="92" t="n"/>
      <c r="D943" s="92" t="n"/>
      <c r="E943" s="93" t="n"/>
      <c r="F943" s="92" t="n"/>
    </row>
    <row r="944">
      <c r="A944" s="91" t="n"/>
      <c r="B944" s="92" t="n"/>
      <c r="C944" s="92" t="n"/>
      <c r="D944" s="92" t="n"/>
      <c r="E944" s="93" t="n"/>
      <c r="F944" s="92" t="n"/>
    </row>
    <row r="945">
      <c r="A945" s="91" t="n"/>
      <c r="B945" s="92" t="n"/>
      <c r="C945" s="92" t="n"/>
      <c r="D945" s="92" t="n"/>
      <c r="E945" s="93" t="n"/>
      <c r="F945" s="92" t="n"/>
    </row>
    <row r="946">
      <c r="A946" s="91" t="n"/>
      <c r="B946" s="92" t="n"/>
      <c r="C946" s="92" t="n"/>
      <c r="D946" s="92" t="n"/>
      <c r="E946" s="93" t="n"/>
      <c r="F946" s="92" t="n"/>
    </row>
    <row r="947">
      <c r="A947" s="91" t="n"/>
      <c r="B947" s="92" t="n"/>
      <c r="C947" s="92" t="n"/>
      <c r="D947" s="92" t="n"/>
      <c r="E947" s="93" t="n"/>
      <c r="F947" s="92" t="n"/>
    </row>
    <row r="948">
      <c r="A948" s="91" t="n"/>
      <c r="B948" s="92" t="n"/>
      <c r="C948" s="92" t="n"/>
      <c r="D948" s="92" t="n"/>
      <c r="E948" s="93" t="n"/>
      <c r="F948" s="92" t="n"/>
    </row>
    <row r="949">
      <c r="A949" s="91" t="n"/>
      <c r="B949" s="92" t="n"/>
      <c r="C949" s="92" t="n"/>
      <c r="D949" s="92" t="n"/>
      <c r="E949" s="93" t="n"/>
      <c r="F949" s="92" t="n"/>
    </row>
    <row r="950">
      <c r="A950" s="91" t="n"/>
      <c r="B950" s="92" t="n"/>
      <c r="C950" s="92" t="n"/>
      <c r="D950" s="92" t="n"/>
      <c r="E950" s="93" t="n"/>
      <c r="F950" s="92" t="n"/>
    </row>
    <row r="951">
      <c r="A951" s="91" t="n"/>
      <c r="B951" s="92" t="n"/>
      <c r="C951" s="92" t="n"/>
      <c r="D951" s="92" t="n"/>
      <c r="E951" s="93" t="n"/>
      <c r="F951" s="92" t="n"/>
    </row>
    <row r="952">
      <c r="A952" s="91" t="n"/>
      <c r="B952" s="92" t="n"/>
      <c r="C952" s="92" t="n"/>
      <c r="D952" s="92" t="n"/>
      <c r="E952" s="93" t="n"/>
      <c r="F952" s="92" t="n"/>
    </row>
    <row r="953">
      <c r="A953" s="91" t="n"/>
      <c r="B953" s="92" t="n"/>
      <c r="C953" s="92" t="n"/>
      <c r="D953" s="92" t="n"/>
      <c r="E953" s="93" t="n"/>
      <c r="F953" s="92" t="n"/>
    </row>
    <row r="954">
      <c r="A954" s="91" t="n"/>
      <c r="B954" s="92" t="n"/>
      <c r="C954" s="92" t="n"/>
      <c r="D954" s="92" t="n"/>
      <c r="E954" s="93" t="n"/>
      <c r="F954" s="92" t="n"/>
    </row>
    <row r="955">
      <c r="A955" s="91" t="n"/>
      <c r="B955" s="92" t="n"/>
      <c r="C955" s="92" t="n"/>
      <c r="D955" s="92" t="n"/>
      <c r="E955" s="93" t="n"/>
      <c r="F955" s="92" t="n"/>
    </row>
    <row r="956">
      <c r="A956" s="91" t="n"/>
      <c r="B956" s="92" t="n"/>
      <c r="C956" s="92" t="n"/>
      <c r="D956" s="92" t="n"/>
      <c r="E956" s="93" t="n"/>
      <c r="F956" s="92" t="n"/>
    </row>
    <row r="957">
      <c r="A957" s="91" t="n"/>
      <c r="B957" s="92" t="n"/>
      <c r="C957" s="92" t="n"/>
      <c r="D957" s="92" t="n"/>
      <c r="E957" s="93" t="n"/>
      <c r="F957" s="92" t="n"/>
    </row>
    <row r="958">
      <c r="A958" s="91" t="n"/>
      <c r="B958" s="92" t="n"/>
      <c r="C958" s="92" t="n"/>
      <c r="D958" s="92" t="n"/>
      <c r="E958" s="93" t="n"/>
      <c r="F958" s="92" t="n"/>
    </row>
    <row r="959">
      <c r="A959" s="91" t="n"/>
      <c r="B959" s="92" t="n"/>
      <c r="C959" s="92" t="n"/>
      <c r="D959" s="92" t="n"/>
      <c r="E959" s="93" t="n"/>
      <c r="F959" s="92" t="n"/>
    </row>
    <row r="960">
      <c r="A960" s="91" t="n"/>
      <c r="B960" s="92" t="n"/>
      <c r="C960" s="92" t="n"/>
      <c r="D960" s="92" t="n"/>
      <c r="E960" s="93" t="n"/>
      <c r="F960" s="92" t="n"/>
    </row>
    <row r="961">
      <c r="A961" s="91" t="n"/>
      <c r="B961" s="92" t="n"/>
      <c r="C961" s="92" t="n"/>
      <c r="D961" s="92" t="n"/>
      <c r="E961" s="93" t="n"/>
      <c r="F961" s="92" t="n"/>
    </row>
    <row r="962">
      <c r="A962" s="91" t="n"/>
      <c r="B962" s="92" t="n"/>
      <c r="C962" s="92" t="n"/>
      <c r="D962" s="92" t="n"/>
      <c r="E962" s="93" t="n"/>
      <c r="F962" s="92" t="n"/>
    </row>
    <row r="963">
      <c r="A963" s="91" t="n"/>
      <c r="B963" s="92" t="n"/>
      <c r="C963" s="92" t="n"/>
      <c r="D963" s="92" t="n"/>
      <c r="E963" s="93" t="n"/>
      <c r="F963" s="92" t="n"/>
    </row>
    <row r="964">
      <c r="A964" s="91" t="n"/>
      <c r="B964" s="92" t="n"/>
      <c r="C964" s="92" t="n"/>
      <c r="D964" s="92" t="n"/>
      <c r="E964" s="93" t="n"/>
      <c r="F964" s="92" t="n"/>
    </row>
    <row r="965">
      <c r="A965" s="91" t="n"/>
      <c r="B965" s="92" t="n"/>
      <c r="C965" s="92" t="n"/>
      <c r="D965" s="92" t="n"/>
      <c r="E965" s="93" t="n"/>
      <c r="F965" s="92" t="n"/>
    </row>
    <row r="966">
      <c r="A966" s="91" t="n"/>
      <c r="B966" s="92" t="n"/>
      <c r="C966" s="92" t="n"/>
      <c r="D966" s="92" t="n"/>
      <c r="E966" s="93" t="n"/>
      <c r="F966" s="92" t="n"/>
    </row>
    <row r="967">
      <c r="A967" s="91" t="n"/>
      <c r="B967" s="92" t="n"/>
      <c r="C967" s="92" t="n"/>
      <c r="D967" s="92" t="n"/>
      <c r="E967" s="93" t="n"/>
      <c r="F967" s="92" t="n"/>
    </row>
    <row r="968">
      <c r="A968" s="91" t="n"/>
      <c r="B968" s="92" t="n"/>
      <c r="C968" s="92" t="n"/>
      <c r="D968" s="92" t="n"/>
      <c r="E968" s="93" t="n"/>
      <c r="F968" s="92" t="n"/>
    </row>
    <row r="969">
      <c r="A969" s="91" t="n"/>
      <c r="B969" s="92" t="n"/>
      <c r="C969" s="92" t="n"/>
      <c r="D969" s="92" t="n"/>
      <c r="E969" s="93" t="n"/>
      <c r="F969" s="92" t="n"/>
    </row>
    <row r="970">
      <c r="A970" s="91" t="n"/>
      <c r="B970" s="92" t="n"/>
      <c r="C970" s="92" t="n"/>
      <c r="D970" s="92" t="n"/>
      <c r="E970" s="93" t="n"/>
      <c r="F970" s="92" t="n"/>
    </row>
    <row r="971">
      <c r="A971" s="91" t="n"/>
      <c r="B971" s="92" t="n"/>
      <c r="C971" s="92" t="n"/>
      <c r="D971" s="92" t="n"/>
      <c r="E971" s="93" t="n"/>
      <c r="F971" s="92" t="n"/>
    </row>
    <row r="972">
      <c r="A972" s="91" t="n"/>
      <c r="B972" s="92" t="n"/>
      <c r="C972" s="92" t="n"/>
      <c r="D972" s="92" t="n"/>
      <c r="E972" s="93" t="n"/>
      <c r="F972" s="92" t="n"/>
    </row>
    <row r="973">
      <c r="A973" s="91" t="n"/>
      <c r="B973" s="92" t="n"/>
      <c r="C973" s="92" t="n"/>
      <c r="D973" s="92" t="n"/>
      <c r="E973" s="93" t="n"/>
      <c r="F973" s="92" t="n"/>
    </row>
    <row r="974">
      <c r="A974" s="91" t="n"/>
      <c r="B974" s="92" t="n"/>
      <c r="C974" s="92" t="n"/>
      <c r="D974" s="92" t="n"/>
      <c r="E974" s="93" t="n"/>
      <c r="F974" s="92" t="n"/>
    </row>
    <row r="975">
      <c r="A975" s="91" t="n"/>
      <c r="B975" s="92" t="n"/>
      <c r="C975" s="92" t="n"/>
      <c r="D975" s="92" t="n"/>
      <c r="E975" s="93" t="n"/>
      <c r="F975" s="92" t="n"/>
    </row>
    <row r="976">
      <c r="A976" s="91" t="n"/>
      <c r="B976" s="92" t="n"/>
      <c r="C976" s="92" t="n"/>
      <c r="D976" s="92" t="n"/>
      <c r="E976" s="93" t="n"/>
      <c r="F976" s="92" t="n"/>
    </row>
    <row r="977">
      <c r="A977" s="91" t="n"/>
      <c r="B977" s="92" t="n"/>
      <c r="C977" s="92" t="n"/>
      <c r="D977" s="92" t="n"/>
      <c r="E977" s="93" t="n"/>
      <c r="F977" s="92" t="n"/>
    </row>
    <row r="978">
      <c r="A978" s="91" t="n"/>
      <c r="B978" s="92" t="n"/>
      <c r="C978" s="92" t="n"/>
      <c r="D978" s="92" t="n"/>
      <c r="E978" s="93" t="n"/>
      <c r="F978" s="92" t="n"/>
    </row>
    <row r="979">
      <c r="A979" s="91" t="n"/>
      <c r="B979" s="92" t="n"/>
      <c r="C979" s="92" t="n"/>
      <c r="D979" s="92" t="n"/>
      <c r="E979" s="93" t="n"/>
      <c r="F979" s="92" t="n"/>
    </row>
    <row r="980">
      <c r="A980" s="91" t="n"/>
      <c r="B980" s="92" t="n"/>
      <c r="C980" s="92" t="n"/>
      <c r="D980" s="92" t="n"/>
      <c r="E980" s="93" t="n"/>
      <c r="F980" s="92" t="n"/>
    </row>
    <row r="981">
      <c r="A981" s="91" t="n"/>
      <c r="B981" s="92" t="n"/>
      <c r="C981" s="92" t="n"/>
      <c r="D981" s="92" t="n"/>
      <c r="E981" s="93" t="n"/>
      <c r="F981" s="92" t="n"/>
    </row>
    <row r="982">
      <c r="A982" s="91" t="n"/>
      <c r="B982" s="92" t="n"/>
      <c r="C982" s="92" t="n"/>
      <c r="D982" s="92" t="n"/>
      <c r="E982" s="93" t="n"/>
      <c r="F982" s="92" t="n"/>
    </row>
    <row r="983">
      <c r="A983" s="91" t="n"/>
      <c r="B983" s="92" t="n"/>
      <c r="C983" s="92" t="n"/>
      <c r="D983" s="92" t="n"/>
      <c r="E983" s="93" t="n"/>
      <c r="F983" s="92" t="n"/>
    </row>
    <row r="984">
      <c r="A984" s="91" t="n"/>
      <c r="B984" s="92" t="n"/>
      <c r="C984" s="92" t="n"/>
      <c r="D984" s="92" t="n"/>
      <c r="E984" s="93" t="n"/>
      <c r="F984" s="92" t="n"/>
    </row>
    <row r="985">
      <c r="A985" s="91" t="n"/>
      <c r="B985" s="92" t="n"/>
      <c r="C985" s="92" t="n"/>
      <c r="D985" s="92" t="n"/>
      <c r="E985" s="93" t="n"/>
      <c r="F985" s="92" t="n"/>
    </row>
    <row r="986">
      <c r="A986" s="91" t="n"/>
      <c r="B986" s="92" t="n"/>
      <c r="C986" s="92" t="n"/>
      <c r="D986" s="92" t="n"/>
      <c r="E986" s="93" t="n"/>
      <c r="F986" s="92" t="n"/>
    </row>
    <row r="987">
      <c r="A987" s="91" t="n"/>
      <c r="B987" s="92" t="n"/>
      <c r="C987" s="92" t="n"/>
      <c r="D987" s="92" t="n"/>
      <c r="E987" s="93" t="n"/>
      <c r="F987" s="92" t="n"/>
    </row>
    <row r="988">
      <c r="A988" s="91" t="n"/>
      <c r="B988" s="92" t="n"/>
      <c r="C988" s="92" t="n"/>
      <c r="D988" s="92" t="n"/>
      <c r="E988" s="93" t="n"/>
      <c r="F988" s="92" t="n"/>
    </row>
    <row r="989">
      <c r="A989" s="91" t="n"/>
      <c r="B989" s="92" t="n"/>
      <c r="C989" s="92" t="n"/>
      <c r="D989" s="92" t="n"/>
      <c r="E989" s="93" t="n"/>
      <c r="F989" s="92" t="n"/>
    </row>
    <row r="990">
      <c r="A990" s="91" t="n"/>
      <c r="B990" s="92" t="n"/>
      <c r="C990" s="92" t="n"/>
      <c r="D990" s="92" t="n"/>
      <c r="E990" s="93" t="n"/>
      <c r="F990" s="92" t="n"/>
    </row>
    <row r="991">
      <c r="A991" s="91" t="n"/>
      <c r="B991" s="92" t="n"/>
      <c r="C991" s="92" t="n"/>
      <c r="D991" s="92" t="n"/>
      <c r="E991" s="93" t="n"/>
      <c r="F991" s="92" t="n"/>
    </row>
    <row r="992">
      <c r="A992" s="91" t="n"/>
      <c r="B992" s="92" t="n"/>
      <c r="C992" s="92" t="n"/>
      <c r="D992" s="92" t="n"/>
      <c r="E992" s="93" t="n"/>
      <c r="F992" s="92" t="n"/>
    </row>
    <row r="993">
      <c r="A993" s="91" t="n"/>
      <c r="B993" s="92" t="n"/>
      <c r="C993" s="92" t="n"/>
      <c r="D993" s="92" t="n"/>
      <c r="E993" s="93" t="n"/>
      <c r="F993" s="92" t="n"/>
    </row>
    <row r="994">
      <c r="A994" s="91" t="n"/>
      <c r="B994" s="92" t="n"/>
      <c r="C994" s="92" t="n"/>
      <c r="D994" s="92" t="n"/>
      <c r="E994" s="93" t="n"/>
      <c r="F994" s="92" t="n"/>
    </row>
    <row r="995">
      <c r="A995" s="91" t="n"/>
      <c r="B995" s="92" t="n"/>
      <c r="C995" s="92" t="n"/>
      <c r="D995" s="92" t="n"/>
      <c r="E995" s="93" t="n"/>
      <c r="F995" s="92" t="n"/>
    </row>
    <row r="996">
      <c r="A996" s="91" t="n"/>
      <c r="B996" s="92" t="n"/>
      <c r="C996" s="92" t="n"/>
      <c r="D996" s="92" t="n"/>
      <c r="E996" s="93" t="n"/>
      <c r="F996" s="92" t="n"/>
    </row>
    <row r="997">
      <c r="A997" s="91" t="n"/>
      <c r="B997" s="92" t="n"/>
      <c r="C997" s="92" t="n"/>
      <c r="D997" s="92" t="n"/>
      <c r="E997" s="93" t="n"/>
      <c r="F997" s="92" t="n"/>
    </row>
    <row r="998">
      <c r="A998" s="91" t="n"/>
      <c r="B998" s="92" t="n"/>
      <c r="C998" s="92" t="n"/>
      <c r="D998" s="92" t="n"/>
      <c r="E998" s="93" t="n"/>
      <c r="F998" s="92" t="n"/>
    </row>
    <row r="999">
      <c r="A999" s="91" t="n"/>
      <c r="B999" s="92" t="n"/>
      <c r="C999" s="92" t="n"/>
      <c r="D999" s="92" t="n"/>
      <c r="E999" s="93" t="n"/>
      <c r="F999" s="92" t="n"/>
    </row>
    <row r="1000">
      <c r="A1000" s="91" t="n"/>
      <c r="B1000" s="92" t="n"/>
      <c r="C1000" s="92" t="n"/>
      <c r="D1000" s="92" t="n"/>
      <c r="E1000" s="93" t="n"/>
      <c r="F1000" s="92" t="n"/>
    </row>
    <row r="1001">
      <c r="A1001" s="91" t="n"/>
      <c r="B1001" s="92" t="n"/>
      <c r="C1001" s="92" t="n"/>
      <c r="D1001" s="92" t="n"/>
      <c r="E1001" s="93" t="n"/>
      <c r="F1001" s="92" t="n"/>
    </row>
    <row r="1002">
      <c r="A1002" s="91" t="n"/>
      <c r="B1002" s="92" t="n"/>
      <c r="C1002" s="92" t="n"/>
      <c r="D1002" s="92" t="n"/>
      <c r="E1002" s="93" t="n"/>
      <c r="F1002" s="92" t="n"/>
    </row>
    <row r="1003">
      <c r="A1003" s="91" t="n"/>
      <c r="B1003" s="92" t="n"/>
      <c r="C1003" s="92" t="n"/>
      <c r="D1003" s="92" t="n"/>
      <c r="E1003" s="93" t="n"/>
      <c r="F1003" s="92" t="n"/>
    </row>
    <row r="1004">
      <c r="A1004" s="91" t="n"/>
      <c r="B1004" s="92" t="n"/>
      <c r="C1004" s="92" t="n"/>
      <c r="D1004" s="92" t="n"/>
      <c r="E1004" s="93" t="n"/>
      <c r="F1004" s="92" t="n"/>
    </row>
  </sheetData>
  <mergeCells count="1">
    <mergeCell ref="A3:F3"/>
  </mergeCells>
  <dataValidations count="1">
    <dataValidation sqref="D5:D1004" showDropDown="0" showInputMessage="0" showErrorMessage="0" allowBlank="1" errorTitle="Not in the list" error="Pick a value from the list." type="list">
      <formula1>=Lists!$C$4:$C$10</formula1>
    </dataValidation>
  </dataValidations>
  <pageMargins left="0.75" right="0.75" top="1" bottom="1" header="0.5" footer="0.5"/>
</worksheet>
</file>

<file path=xl/worksheets/sheet14.xml><?xml version="1.0" encoding="utf-8"?>
<worksheet xmlns="http://schemas.openxmlformats.org/spreadsheetml/2006/main">
  <sheetPr>
    <tabColor rgb="008FB98B"/>
    <outlinePr summaryBelow="1" summaryRight="1"/>
    <pageSetUpPr/>
  </sheetPr>
  <dimension ref="A1:X509"/>
  <sheetViews>
    <sheetView zoomScale="90" workbookViewId="0">
      <pane ySplit="9" topLeftCell="A10" activePane="bottomLeft" state="frozen"/>
      <selection pane="bottomLeft" activeCell="A1" sqref="A1"/>
    </sheetView>
  </sheetViews>
  <sheetFormatPr baseColWidth="8" defaultRowHeight="15"/>
  <cols>
    <col width="30" customWidth="1" min="2" max="2"/>
    <col width="16" customWidth="1" min="3" max="3"/>
    <col width="8" customWidth="1" min="4" max="4"/>
    <col width="20" customWidth="1" min="5" max="5"/>
    <col width="12" customWidth="1" min="18" max="18"/>
    <col width="10" customWidth="1" min="19" max="19"/>
    <col width="20" customWidth="1" min="20" max="20"/>
    <col width="8" customWidth="1" min="21" max="21"/>
    <col width="44" customWidth="1" min="23" max="23"/>
    <col width="10" customWidth="1" min="24" max="24"/>
  </cols>
  <sheetData>
    <row r="1">
      <c r="A1" s="1" t="inlineStr">
        <is>
          <t>Toggl import (optional)</t>
        </is>
      </c>
    </row>
    <row r="2">
      <c r="A2" s="2" t="inlineStr">
        <is>
          <t>Paste a Toggl time-entry export with its header row in row 9, columns A to P. Name each Toggl project after the drop (DRP-001) and tag each entry with one activity key.</t>
        </is>
      </c>
    </row>
    <row r="3">
      <c r="B3" s="8" t="inlineStr">
        <is>
          <t>Header text in your export for:</t>
        </is>
      </c>
      <c r="G3" s="7" t="inlineStr">
        <is>
          <t>Toggl's own help says CSV and Excel exports are a paid-plan feature (Starter from $9 per license a month; support.toggl.com, opened 2026-10-23). Do not upgrade without a written yes. On the free plan, type hours into Hours_Log instead. The header names in C4:C7 are unverified; edit them to match your export.</t>
        </is>
      </c>
    </row>
    <row r="4">
      <c r="B4" t="inlineStr">
        <is>
          <t>date</t>
        </is>
      </c>
      <c r="C4" s="58" t="inlineStr">
        <is>
          <t>Start date</t>
        </is>
      </c>
      <c r="D4" s="18">
        <f>IFERROR(MATCH(C4,$A$9:$P$9,0),"")</f>
        <v/>
      </c>
      <c r="E4" s="28">
        <f>IF(D4="","not found in row 9","column found")</f>
        <v/>
      </c>
    </row>
    <row r="5">
      <c r="B5" t="inlineStr">
        <is>
          <t>duration (hh:mm:ss)</t>
        </is>
      </c>
      <c r="C5" s="58" t="inlineStr">
        <is>
          <t>Duration</t>
        </is>
      </c>
      <c r="D5" s="18">
        <f>IFERROR(MATCH(C5,$A$9:$P$9,0),"")</f>
        <v/>
      </c>
      <c r="E5" s="28">
        <f>IF(D5="","not found in row 9","column found")</f>
        <v/>
      </c>
    </row>
    <row r="6">
      <c r="B6" t="inlineStr">
        <is>
          <t>project (drop_id)</t>
        </is>
      </c>
      <c r="C6" s="58" t="inlineStr">
        <is>
          <t>Project</t>
        </is>
      </c>
      <c r="D6" s="18">
        <f>IFERROR(MATCH(C6,$A$9:$P$9,0),"")</f>
        <v/>
      </c>
      <c r="E6" s="28">
        <f>IF(D6="","not found in row 9","column found")</f>
        <v/>
      </c>
    </row>
    <row r="7">
      <c r="B7" t="inlineStr">
        <is>
          <t>activity key</t>
        </is>
      </c>
      <c r="C7" s="58" t="inlineStr">
        <is>
          <t>Tags</t>
        </is>
      </c>
      <c r="D7" s="18">
        <f>IFERROR(MATCH(C7,$A$9:$P$9,0),"")</f>
        <v/>
      </c>
      <c r="E7" s="28">
        <f>IF(D7="","not found in row 9","column found")</f>
        <v/>
      </c>
    </row>
    <row r="8">
      <c r="B8" s="8" t="inlineStr">
        <is>
          <t>Paste area (row 9 = Toggl header)</t>
        </is>
      </c>
    </row>
    <row r="9" ht="30" customHeight="1">
      <c r="A9" s="92" t="n"/>
      <c r="B9" s="92" t="n"/>
      <c r="C9" s="92" t="n"/>
      <c r="D9" s="92" t="n"/>
      <c r="E9" s="92" t="n"/>
      <c r="F9" s="92" t="n"/>
      <c r="G9" s="92" t="n"/>
      <c r="H9" s="92" t="n"/>
      <c r="I9" s="92" t="n"/>
      <c r="J9" s="92" t="n"/>
      <c r="K9" s="92" t="n"/>
      <c r="L9" s="92" t="n"/>
      <c r="M9" s="92" t="n"/>
      <c r="N9" s="92" t="n"/>
      <c r="O9" s="92" t="n"/>
      <c r="P9" s="92" t="n"/>
      <c r="R9" s="10" t="inlineStr">
        <is>
          <t>date</t>
        </is>
      </c>
      <c r="S9" s="10" t="inlineStr">
        <is>
          <t>drop_id</t>
        </is>
      </c>
      <c r="T9" s="10" t="inlineStr">
        <is>
          <t>activity</t>
        </is>
      </c>
      <c r="U9" s="10" t="inlineStr">
        <is>
          <t>hours</t>
        </is>
      </c>
      <c r="W9" s="8" t="inlineStr">
        <is>
          <t>Checks</t>
        </is>
      </c>
    </row>
    <row r="10">
      <c r="R10" s="17">
        <f>IF($D$4="","",IF(INDEX($A10:$P10,$D$4)="","",IF(ISNUMBER(INDEX($A10:$P10,$D$4)),INDEX($A10:$P10,$D$4),IFERROR(DATEVALUE(INDEX($A10:$P10,$D$4)),""))))</f>
        <v/>
      </c>
      <c r="S10">
        <f>IF(OR(R10="",$D$6=""),"",IF(LEFT(INDEX($A10:$P10,$D$6),LEN(Inputs!$C$24))=Inputs!$C$24,INDEX($A10:$P10,$D$6),""))</f>
        <v/>
      </c>
      <c r="T10">
        <f>IF(OR(R10="",$D$7=""),"",TRIM(IFERROR(LEFT(INDEX($A10:$P10,$D$7),FIND(",",INDEX($A10:$P10,$D$7))-1),INDEX($A10:$P10,$D$7))))</f>
        <v/>
      </c>
      <c r="U10" s="32">
        <f>IF(OR(R10="",$D$5=""),0,IFERROR(IF(ISNUMBER(INDEX($A10:$P10,$D$5)),INDEX($A10:$P10,$D$5),TIMEVALUE(INDEX($A10:$P10,$D$5)))*Inputs!$C$22,0))</f>
        <v/>
      </c>
      <c r="W10" t="inlineStr">
        <is>
          <t>Rows with a date but zero hours</t>
        </is>
      </c>
      <c r="X10" s="18">
        <f>COUNTIFS(Toggl_Import!$R$10:$R$509,"&gt;0",Toggl_Import!$U$10:$U$509,0)</f>
        <v/>
      </c>
    </row>
    <row r="11">
      <c r="R11" s="17">
        <f>IF($D$4="","",IF(INDEX($A11:$P11,$D$4)="","",IF(ISNUMBER(INDEX($A11:$P11,$D$4)),INDEX($A11:$P11,$D$4),IFERROR(DATEVALUE(INDEX($A11:$P11,$D$4)),""))))</f>
        <v/>
      </c>
      <c r="S11">
        <f>IF(OR(R11="",$D$6=""),"",IF(LEFT(INDEX($A11:$P11,$D$6),LEN(Inputs!$C$24))=Inputs!$C$24,INDEX($A11:$P11,$D$6),""))</f>
        <v/>
      </c>
      <c r="T11">
        <f>IF(OR(R11="",$D$7=""),"",TRIM(IFERROR(LEFT(INDEX($A11:$P11,$D$7),FIND(",",INDEX($A11:$P11,$D$7))-1),INDEX($A11:$P11,$D$7))))</f>
        <v/>
      </c>
      <c r="U11" s="32">
        <f>IF(OR(R11="",$D$5=""),0,IFERROR(IF(ISNUMBER(INDEX($A11:$P11,$D$5)),INDEX($A11:$P11,$D$5),TIMEVALUE(INDEX($A11:$P11,$D$5)))*Inputs!$C$22,0))</f>
        <v/>
      </c>
      <c r="W11" t="inlineStr">
        <is>
          <t>Rows whose activity is not one of the seven keys</t>
        </is>
      </c>
      <c r="X11" s="18">
        <f>COUNTIF(Toggl_Import!$R$10:$R$509,"&gt;0")-SUMPRODUCT(COUNTIF(Toggl_Import!$T$10:$T$509,Lists!$C$4:$C$10))</f>
        <v/>
      </c>
    </row>
    <row r="12">
      <c r="R12" s="17">
        <f>IF($D$4="","",IF(INDEX($A12:$P12,$D$4)="","",IF(ISNUMBER(INDEX($A12:$P12,$D$4)),INDEX($A12:$P12,$D$4),IFERROR(DATEVALUE(INDEX($A12:$P12,$D$4)),""))))</f>
        <v/>
      </c>
      <c r="S12">
        <f>IF(OR(R12="",$D$6=""),"",IF(LEFT(INDEX($A12:$P12,$D$6),LEN(Inputs!$C$24))=Inputs!$C$24,INDEX($A12:$P12,$D$6),""))</f>
        <v/>
      </c>
      <c r="T12">
        <f>IF(OR(R12="",$D$7=""),"",TRIM(IFERROR(LEFT(INDEX($A12:$P12,$D$7),FIND(",",INDEX($A12:$P12,$D$7))-1),INDEX($A12:$P12,$D$7))))</f>
        <v/>
      </c>
      <c r="U12" s="32">
        <f>IF(OR(R12="",$D$5=""),0,IFERROR(IF(ISNUMBER(INDEX($A12:$P12,$D$5)),INDEX($A12:$P12,$D$5),TIMEVALUE(INDEX($A12:$P12,$D$5)))*Inputs!$C$22,0))</f>
        <v/>
      </c>
      <c r="W12" t="inlineStr">
        <is>
          <t>Total Toggl hours read</t>
        </is>
      </c>
      <c r="X12" s="32">
        <f>SUM(Toggl_Import!$U$10:$U$509)</f>
        <v/>
      </c>
    </row>
    <row r="13">
      <c r="R13" s="17">
        <f>IF($D$4="","",IF(INDEX($A13:$P13,$D$4)="","",IF(ISNUMBER(INDEX($A13:$P13,$D$4)),INDEX($A13:$P13,$D$4),IFERROR(DATEVALUE(INDEX($A13:$P13,$D$4)),""))))</f>
        <v/>
      </c>
      <c r="S13">
        <f>IF(OR(R13="",$D$6=""),"",IF(LEFT(INDEX($A13:$P13,$D$6),LEN(Inputs!$C$24))=Inputs!$C$24,INDEX($A13:$P13,$D$6),""))</f>
        <v/>
      </c>
      <c r="T13">
        <f>IF(OR(R13="",$D$7=""),"",TRIM(IFERROR(LEFT(INDEX($A13:$P13,$D$7),FIND(",",INDEX($A13:$P13,$D$7))-1),INDEX($A13:$P13,$D$7))))</f>
        <v/>
      </c>
      <c r="U13" s="32">
        <f>IF(OR(R13="",$D$5=""),0,IFERROR(IF(ISNUMBER(INDEX($A13:$P13,$D$5)),INDEX($A13:$P13,$D$5),TIMEVALUE(INDEX($A13:$P13,$D$5)))*Inputs!$C$22,0))</f>
        <v/>
      </c>
    </row>
    <row r="14">
      <c r="R14" s="17">
        <f>IF($D$4="","",IF(INDEX($A14:$P14,$D$4)="","",IF(ISNUMBER(INDEX($A14:$P14,$D$4)),INDEX($A14:$P14,$D$4),IFERROR(DATEVALUE(INDEX($A14:$P14,$D$4)),""))))</f>
        <v/>
      </c>
      <c r="S14">
        <f>IF(OR(R14="",$D$6=""),"",IF(LEFT(INDEX($A14:$P14,$D$6),LEN(Inputs!$C$24))=Inputs!$C$24,INDEX($A14:$P14,$D$6),""))</f>
        <v/>
      </c>
      <c r="T14">
        <f>IF(OR(R14="",$D$7=""),"",TRIM(IFERROR(LEFT(INDEX($A14:$P14,$D$7),FIND(",",INDEX($A14:$P14,$D$7))-1),INDEX($A14:$P14,$D$7))))</f>
        <v/>
      </c>
      <c r="U14" s="32">
        <f>IF(OR(R14="",$D$5=""),0,IFERROR(IF(ISNUMBER(INDEX($A14:$P14,$D$5)),INDEX($A14:$P14,$D$5),TIMEVALUE(INDEX($A14:$P14,$D$5)))*Inputs!$C$22,0))</f>
        <v/>
      </c>
    </row>
    <row r="15">
      <c r="R15" s="17">
        <f>IF($D$4="","",IF(INDEX($A15:$P15,$D$4)="","",IF(ISNUMBER(INDEX($A15:$P15,$D$4)),INDEX($A15:$P15,$D$4),IFERROR(DATEVALUE(INDEX($A15:$P15,$D$4)),""))))</f>
        <v/>
      </c>
      <c r="S15">
        <f>IF(OR(R15="",$D$6=""),"",IF(LEFT(INDEX($A15:$P15,$D$6),LEN(Inputs!$C$24))=Inputs!$C$24,INDEX($A15:$P15,$D$6),""))</f>
        <v/>
      </c>
      <c r="T15">
        <f>IF(OR(R15="",$D$7=""),"",TRIM(IFERROR(LEFT(INDEX($A15:$P15,$D$7),FIND(",",INDEX($A15:$P15,$D$7))-1),INDEX($A15:$P15,$D$7))))</f>
        <v/>
      </c>
      <c r="U15" s="32">
        <f>IF(OR(R15="",$D$5=""),0,IFERROR(IF(ISNUMBER(INDEX($A15:$P15,$D$5)),INDEX($A15:$P15,$D$5),TIMEVALUE(INDEX($A15:$P15,$D$5)))*Inputs!$C$22,0))</f>
        <v/>
      </c>
    </row>
    <row r="16">
      <c r="R16" s="17">
        <f>IF($D$4="","",IF(INDEX($A16:$P16,$D$4)="","",IF(ISNUMBER(INDEX($A16:$P16,$D$4)),INDEX($A16:$P16,$D$4),IFERROR(DATEVALUE(INDEX($A16:$P16,$D$4)),""))))</f>
        <v/>
      </c>
      <c r="S16">
        <f>IF(OR(R16="",$D$6=""),"",IF(LEFT(INDEX($A16:$P16,$D$6),LEN(Inputs!$C$24))=Inputs!$C$24,INDEX($A16:$P16,$D$6),""))</f>
        <v/>
      </c>
      <c r="T16">
        <f>IF(OR(R16="",$D$7=""),"",TRIM(IFERROR(LEFT(INDEX($A16:$P16,$D$7),FIND(",",INDEX($A16:$P16,$D$7))-1),INDEX($A16:$P16,$D$7))))</f>
        <v/>
      </c>
      <c r="U16" s="32">
        <f>IF(OR(R16="",$D$5=""),0,IFERROR(IF(ISNUMBER(INDEX($A16:$P16,$D$5)),INDEX($A16:$P16,$D$5),TIMEVALUE(INDEX($A16:$P16,$D$5)))*Inputs!$C$22,0))</f>
        <v/>
      </c>
    </row>
    <row r="17">
      <c r="R17" s="17">
        <f>IF($D$4="","",IF(INDEX($A17:$P17,$D$4)="","",IF(ISNUMBER(INDEX($A17:$P17,$D$4)),INDEX($A17:$P17,$D$4),IFERROR(DATEVALUE(INDEX($A17:$P17,$D$4)),""))))</f>
        <v/>
      </c>
      <c r="S17">
        <f>IF(OR(R17="",$D$6=""),"",IF(LEFT(INDEX($A17:$P17,$D$6),LEN(Inputs!$C$24))=Inputs!$C$24,INDEX($A17:$P17,$D$6),""))</f>
        <v/>
      </c>
      <c r="T17">
        <f>IF(OR(R17="",$D$7=""),"",TRIM(IFERROR(LEFT(INDEX($A17:$P17,$D$7),FIND(",",INDEX($A17:$P17,$D$7))-1),INDEX($A17:$P17,$D$7))))</f>
        <v/>
      </c>
      <c r="U17" s="32">
        <f>IF(OR(R17="",$D$5=""),0,IFERROR(IF(ISNUMBER(INDEX($A17:$P17,$D$5)),INDEX($A17:$P17,$D$5),TIMEVALUE(INDEX($A17:$P17,$D$5)))*Inputs!$C$22,0))</f>
        <v/>
      </c>
    </row>
    <row r="18">
      <c r="R18" s="17">
        <f>IF($D$4="","",IF(INDEX($A18:$P18,$D$4)="","",IF(ISNUMBER(INDEX($A18:$P18,$D$4)),INDEX($A18:$P18,$D$4),IFERROR(DATEVALUE(INDEX($A18:$P18,$D$4)),""))))</f>
        <v/>
      </c>
      <c r="S18">
        <f>IF(OR(R18="",$D$6=""),"",IF(LEFT(INDEX($A18:$P18,$D$6),LEN(Inputs!$C$24))=Inputs!$C$24,INDEX($A18:$P18,$D$6),""))</f>
        <v/>
      </c>
      <c r="T18">
        <f>IF(OR(R18="",$D$7=""),"",TRIM(IFERROR(LEFT(INDEX($A18:$P18,$D$7),FIND(",",INDEX($A18:$P18,$D$7))-1),INDEX($A18:$P18,$D$7))))</f>
        <v/>
      </c>
      <c r="U18" s="32">
        <f>IF(OR(R18="",$D$5=""),0,IFERROR(IF(ISNUMBER(INDEX($A18:$P18,$D$5)),INDEX($A18:$P18,$D$5),TIMEVALUE(INDEX($A18:$P18,$D$5)))*Inputs!$C$22,0))</f>
        <v/>
      </c>
    </row>
    <row r="19">
      <c r="R19" s="17">
        <f>IF($D$4="","",IF(INDEX($A19:$P19,$D$4)="","",IF(ISNUMBER(INDEX($A19:$P19,$D$4)),INDEX($A19:$P19,$D$4),IFERROR(DATEVALUE(INDEX($A19:$P19,$D$4)),""))))</f>
        <v/>
      </c>
      <c r="S19">
        <f>IF(OR(R19="",$D$6=""),"",IF(LEFT(INDEX($A19:$P19,$D$6),LEN(Inputs!$C$24))=Inputs!$C$24,INDEX($A19:$P19,$D$6),""))</f>
        <v/>
      </c>
      <c r="T19">
        <f>IF(OR(R19="",$D$7=""),"",TRIM(IFERROR(LEFT(INDEX($A19:$P19,$D$7),FIND(",",INDEX($A19:$P19,$D$7))-1),INDEX($A19:$P19,$D$7))))</f>
        <v/>
      </c>
      <c r="U19" s="32">
        <f>IF(OR(R19="",$D$5=""),0,IFERROR(IF(ISNUMBER(INDEX($A19:$P19,$D$5)),INDEX($A19:$P19,$D$5),TIMEVALUE(INDEX($A19:$P19,$D$5)))*Inputs!$C$22,0))</f>
        <v/>
      </c>
    </row>
    <row r="20">
      <c r="R20" s="17">
        <f>IF($D$4="","",IF(INDEX($A20:$P20,$D$4)="","",IF(ISNUMBER(INDEX($A20:$P20,$D$4)),INDEX($A20:$P20,$D$4),IFERROR(DATEVALUE(INDEX($A20:$P20,$D$4)),""))))</f>
        <v/>
      </c>
      <c r="S20">
        <f>IF(OR(R20="",$D$6=""),"",IF(LEFT(INDEX($A20:$P20,$D$6),LEN(Inputs!$C$24))=Inputs!$C$24,INDEX($A20:$P20,$D$6),""))</f>
        <v/>
      </c>
      <c r="T20">
        <f>IF(OR(R20="",$D$7=""),"",TRIM(IFERROR(LEFT(INDEX($A20:$P20,$D$7),FIND(",",INDEX($A20:$P20,$D$7))-1),INDEX($A20:$P20,$D$7))))</f>
        <v/>
      </c>
      <c r="U20" s="32">
        <f>IF(OR(R20="",$D$5=""),0,IFERROR(IF(ISNUMBER(INDEX($A20:$P20,$D$5)),INDEX($A20:$P20,$D$5),TIMEVALUE(INDEX($A20:$P20,$D$5)))*Inputs!$C$22,0))</f>
        <v/>
      </c>
    </row>
    <row r="21">
      <c r="R21" s="17">
        <f>IF($D$4="","",IF(INDEX($A21:$P21,$D$4)="","",IF(ISNUMBER(INDEX($A21:$P21,$D$4)),INDEX($A21:$P21,$D$4),IFERROR(DATEVALUE(INDEX($A21:$P21,$D$4)),""))))</f>
        <v/>
      </c>
      <c r="S21">
        <f>IF(OR(R21="",$D$6=""),"",IF(LEFT(INDEX($A21:$P21,$D$6),LEN(Inputs!$C$24))=Inputs!$C$24,INDEX($A21:$P21,$D$6),""))</f>
        <v/>
      </c>
      <c r="T21">
        <f>IF(OR(R21="",$D$7=""),"",TRIM(IFERROR(LEFT(INDEX($A21:$P21,$D$7),FIND(",",INDEX($A21:$P21,$D$7))-1),INDEX($A21:$P21,$D$7))))</f>
        <v/>
      </c>
      <c r="U21" s="32">
        <f>IF(OR(R21="",$D$5=""),0,IFERROR(IF(ISNUMBER(INDEX($A21:$P21,$D$5)),INDEX($A21:$P21,$D$5),TIMEVALUE(INDEX($A21:$P21,$D$5)))*Inputs!$C$22,0))</f>
        <v/>
      </c>
    </row>
    <row r="22">
      <c r="R22" s="17">
        <f>IF($D$4="","",IF(INDEX($A22:$P22,$D$4)="","",IF(ISNUMBER(INDEX($A22:$P22,$D$4)),INDEX($A22:$P22,$D$4),IFERROR(DATEVALUE(INDEX($A22:$P22,$D$4)),""))))</f>
        <v/>
      </c>
      <c r="S22">
        <f>IF(OR(R22="",$D$6=""),"",IF(LEFT(INDEX($A22:$P22,$D$6),LEN(Inputs!$C$24))=Inputs!$C$24,INDEX($A22:$P22,$D$6),""))</f>
        <v/>
      </c>
      <c r="T22">
        <f>IF(OR(R22="",$D$7=""),"",TRIM(IFERROR(LEFT(INDEX($A22:$P22,$D$7),FIND(",",INDEX($A22:$P22,$D$7))-1),INDEX($A22:$P22,$D$7))))</f>
        <v/>
      </c>
      <c r="U22" s="32">
        <f>IF(OR(R22="",$D$5=""),0,IFERROR(IF(ISNUMBER(INDEX($A22:$P22,$D$5)),INDEX($A22:$P22,$D$5),TIMEVALUE(INDEX($A22:$P22,$D$5)))*Inputs!$C$22,0))</f>
        <v/>
      </c>
    </row>
    <row r="23">
      <c r="R23" s="17">
        <f>IF($D$4="","",IF(INDEX($A23:$P23,$D$4)="","",IF(ISNUMBER(INDEX($A23:$P23,$D$4)),INDEX($A23:$P23,$D$4),IFERROR(DATEVALUE(INDEX($A23:$P23,$D$4)),""))))</f>
        <v/>
      </c>
      <c r="S23">
        <f>IF(OR(R23="",$D$6=""),"",IF(LEFT(INDEX($A23:$P23,$D$6),LEN(Inputs!$C$24))=Inputs!$C$24,INDEX($A23:$P23,$D$6),""))</f>
        <v/>
      </c>
      <c r="T23">
        <f>IF(OR(R23="",$D$7=""),"",TRIM(IFERROR(LEFT(INDEX($A23:$P23,$D$7),FIND(",",INDEX($A23:$P23,$D$7))-1),INDEX($A23:$P23,$D$7))))</f>
        <v/>
      </c>
      <c r="U23" s="32">
        <f>IF(OR(R23="",$D$5=""),0,IFERROR(IF(ISNUMBER(INDEX($A23:$P23,$D$5)),INDEX($A23:$P23,$D$5),TIMEVALUE(INDEX($A23:$P23,$D$5)))*Inputs!$C$22,0))</f>
        <v/>
      </c>
    </row>
    <row r="24">
      <c r="R24" s="17">
        <f>IF($D$4="","",IF(INDEX($A24:$P24,$D$4)="","",IF(ISNUMBER(INDEX($A24:$P24,$D$4)),INDEX($A24:$P24,$D$4),IFERROR(DATEVALUE(INDEX($A24:$P24,$D$4)),""))))</f>
        <v/>
      </c>
      <c r="S24">
        <f>IF(OR(R24="",$D$6=""),"",IF(LEFT(INDEX($A24:$P24,$D$6),LEN(Inputs!$C$24))=Inputs!$C$24,INDEX($A24:$P24,$D$6),""))</f>
        <v/>
      </c>
      <c r="T24">
        <f>IF(OR(R24="",$D$7=""),"",TRIM(IFERROR(LEFT(INDEX($A24:$P24,$D$7),FIND(",",INDEX($A24:$P24,$D$7))-1),INDEX($A24:$P24,$D$7))))</f>
        <v/>
      </c>
      <c r="U24" s="32">
        <f>IF(OR(R24="",$D$5=""),0,IFERROR(IF(ISNUMBER(INDEX($A24:$P24,$D$5)),INDEX($A24:$P24,$D$5),TIMEVALUE(INDEX($A24:$P24,$D$5)))*Inputs!$C$22,0))</f>
        <v/>
      </c>
    </row>
    <row r="25">
      <c r="R25" s="17">
        <f>IF($D$4="","",IF(INDEX($A25:$P25,$D$4)="","",IF(ISNUMBER(INDEX($A25:$P25,$D$4)),INDEX($A25:$P25,$D$4),IFERROR(DATEVALUE(INDEX($A25:$P25,$D$4)),""))))</f>
        <v/>
      </c>
      <c r="S25">
        <f>IF(OR(R25="",$D$6=""),"",IF(LEFT(INDEX($A25:$P25,$D$6),LEN(Inputs!$C$24))=Inputs!$C$24,INDEX($A25:$P25,$D$6),""))</f>
        <v/>
      </c>
      <c r="T25">
        <f>IF(OR(R25="",$D$7=""),"",TRIM(IFERROR(LEFT(INDEX($A25:$P25,$D$7),FIND(",",INDEX($A25:$P25,$D$7))-1),INDEX($A25:$P25,$D$7))))</f>
        <v/>
      </c>
      <c r="U25" s="32">
        <f>IF(OR(R25="",$D$5=""),0,IFERROR(IF(ISNUMBER(INDEX($A25:$P25,$D$5)),INDEX($A25:$P25,$D$5),TIMEVALUE(INDEX($A25:$P25,$D$5)))*Inputs!$C$22,0))</f>
        <v/>
      </c>
    </row>
    <row r="26">
      <c r="R26" s="17">
        <f>IF($D$4="","",IF(INDEX($A26:$P26,$D$4)="","",IF(ISNUMBER(INDEX($A26:$P26,$D$4)),INDEX($A26:$P26,$D$4),IFERROR(DATEVALUE(INDEX($A26:$P26,$D$4)),""))))</f>
        <v/>
      </c>
      <c r="S26">
        <f>IF(OR(R26="",$D$6=""),"",IF(LEFT(INDEX($A26:$P26,$D$6),LEN(Inputs!$C$24))=Inputs!$C$24,INDEX($A26:$P26,$D$6),""))</f>
        <v/>
      </c>
      <c r="T26">
        <f>IF(OR(R26="",$D$7=""),"",TRIM(IFERROR(LEFT(INDEX($A26:$P26,$D$7),FIND(",",INDEX($A26:$P26,$D$7))-1),INDEX($A26:$P26,$D$7))))</f>
        <v/>
      </c>
      <c r="U26" s="32">
        <f>IF(OR(R26="",$D$5=""),0,IFERROR(IF(ISNUMBER(INDEX($A26:$P26,$D$5)),INDEX($A26:$P26,$D$5),TIMEVALUE(INDEX($A26:$P26,$D$5)))*Inputs!$C$22,0))</f>
        <v/>
      </c>
    </row>
    <row r="27">
      <c r="R27" s="17">
        <f>IF($D$4="","",IF(INDEX($A27:$P27,$D$4)="","",IF(ISNUMBER(INDEX($A27:$P27,$D$4)),INDEX($A27:$P27,$D$4),IFERROR(DATEVALUE(INDEX($A27:$P27,$D$4)),""))))</f>
        <v/>
      </c>
      <c r="S27">
        <f>IF(OR(R27="",$D$6=""),"",IF(LEFT(INDEX($A27:$P27,$D$6),LEN(Inputs!$C$24))=Inputs!$C$24,INDEX($A27:$P27,$D$6),""))</f>
        <v/>
      </c>
      <c r="T27">
        <f>IF(OR(R27="",$D$7=""),"",TRIM(IFERROR(LEFT(INDEX($A27:$P27,$D$7),FIND(",",INDEX($A27:$P27,$D$7))-1),INDEX($A27:$P27,$D$7))))</f>
        <v/>
      </c>
      <c r="U27" s="32">
        <f>IF(OR(R27="",$D$5=""),0,IFERROR(IF(ISNUMBER(INDEX($A27:$P27,$D$5)),INDEX($A27:$P27,$D$5),TIMEVALUE(INDEX($A27:$P27,$D$5)))*Inputs!$C$22,0))</f>
        <v/>
      </c>
    </row>
    <row r="28">
      <c r="R28" s="17">
        <f>IF($D$4="","",IF(INDEX($A28:$P28,$D$4)="","",IF(ISNUMBER(INDEX($A28:$P28,$D$4)),INDEX($A28:$P28,$D$4),IFERROR(DATEVALUE(INDEX($A28:$P28,$D$4)),""))))</f>
        <v/>
      </c>
      <c r="S28">
        <f>IF(OR(R28="",$D$6=""),"",IF(LEFT(INDEX($A28:$P28,$D$6),LEN(Inputs!$C$24))=Inputs!$C$24,INDEX($A28:$P28,$D$6),""))</f>
        <v/>
      </c>
      <c r="T28">
        <f>IF(OR(R28="",$D$7=""),"",TRIM(IFERROR(LEFT(INDEX($A28:$P28,$D$7),FIND(",",INDEX($A28:$P28,$D$7))-1),INDEX($A28:$P28,$D$7))))</f>
        <v/>
      </c>
      <c r="U28" s="32">
        <f>IF(OR(R28="",$D$5=""),0,IFERROR(IF(ISNUMBER(INDEX($A28:$P28,$D$5)),INDEX($A28:$P28,$D$5),TIMEVALUE(INDEX($A28:$P28,$D$5)))*Inputs!$C$22,0))</f>
        <v/>
      </c>
    </row>
    <row r="29">
      <c r="R29" s="17">
        <f>IF($D$4="","",IF(INDEX($A29:$P29,$D$4)="","",IF(ISNUMBER(INDEX($A29:$P29,$D$4)),INDEX($A29:$P29,$D$4),IFERROR(DATEVALUE(INDEX($A29:$P29,$D$4)),""))))</f>
        <v/>
      </c>
      <c r="S29">
        <f>IF(OR(R29="",$D$6=""),"",IF(LEFT(INDEX($A29:$P29,$D$6),LEN(Inputs!$C$24))=Inputs!$C$24,INDEX($A29:$P29,$D$6),""))</f>
        <v/>
      </c>
      <c r="T29">
        <f>IF(OR(R29="",$D$7=""),"",TRIM(IFERROR(LEFT(INDEX($A29:$P29,$D$7),FIND(",",INDEX($A29:$P29,$D$7))-1),INDEX($A29:$P29,$D$7))))</f>
        <v/>
      </c>
      <c r="U29" s="32">
        <f>IF(OR(R29="",$D$5=""),0,IFERROR(IF(ISNUMBER(INDEX($A29:$P29,$D$5)),INDEX($A29:$P29,$D$5),TIMEVALUE(INDEX($A29:$P29,$D$5)))*Inputs!$C$22,0))</f>
        <v/>
      </c>
    </row>
    <row r="30">
      <c r="R30" s="17">
        <f>IF($D$4="","",IF(INDEX($A30:$P30,$D$4)="","",IF(ISNUMBER(INDEX($A30:$P30,$D$4)),INDEX($A30:$P30,$D$4),IFERROR(DATEVALUE(INDEX($A30:$P30,$D$4)),""))))</f>
        <v/>
      </c>
      <c r="S30">
        <f>IF(OR(R30="",$D$6=""),"",IF(LEFT(INDEX($A30:$P30,$D$6),LEN(Inputs!$C$24))=Inputs!$C$24,INDEX($A30:$P30,$D$6),""))</f>
        <v/>
      </c>
      <c r="T30">
        <f>IF(OR(R30="",$D$7=""),"",TRIM(IFERROR(LEFT(INDEX($A30:$P30,$D$7),FIND(",",INDEX($A30:$P30,$D$7))-1),INDEX($A30:$P30,$D$7))))</f>
        <v/>
      </c>
      <c r="U30" s="32">
        <f>IF(OR(R30="",$D$5=""),0,IFERROR(IF(ISNUMBER(INDEX($A30:$P30,$D$5)),INDEX($A30:$P30,$D$5),TIMEVALUE(INDEX($A30:$P30,$D$5)))*Inputs!$C$22,0))</f>
        <v/>
      </c>
    </row>
    <row r="31">
      <c r="R31" s="17">
        <f>IF($D$4="","",IF(INDEX($A31:$P31,$D$4)="","",IF(ISNUMBER(INDEX($A31:$P31,$D$4)),INDEX($A31:$P31,$D$4),IFERROR(DATEVALUE(INDEX($A31:$P31,$D$4)),""))))</f>
        <v/>
      </c>
      <c r="S31">
        <f>IF(OR(R31="",$D$6=""),"",IF(LEFT(INDEX($A31:$P31,$D$6),LEN(Inputs!$C$24))=Inputs!$C$24,INDEX($A31:$P31,$D$6),""))</f>
        <v/>
      </c>
      <c r="T31">
        <f>IF(OR(R31="",$D$7=""),"",TRIM(IFERROR(LEFT(INDEX($A31:$P31,$D$7),FIND(",",INDEX($A31:$P31,$D$7))-1),INDEX($A31:$P31,$D$7))))</f>
        <v/>
      </c>
      <c r="U31" s="32">
        <f>IF(OR(R31="",$D$5=""),0,IFERROR(IF(ISNUMBER(INDEX($A31:$P31,$D$5)),INDEX($A31:$P31,$D$5),TIMEVALUE(INDEX($A31:$P31,$D$5)))*Inputs!$C$22,0))</f>
        <v/>
      </c>
    </row>
    <row r="32">
      <c r="R32" s="17">
        <f>IF($D$4="","",IF(INDEX($A32:$P32,$D$4)="","",IF(ISNUMBER(INDEX($A32:$P32,$D$4)),INDEX($A32:$P32,$D$4),IFERROR(DATEVALUE(INDEX($A32:$P32,$D$4)),""))))</f>
        <v/>
      </c>
      <c r="S32">
        <f>IF(OR(R32="",$D$6=""),"",IF(LEFT(INDEX($A32:$P32,$D$6),LEN(Inputs!$C$24))=Inputs!$C$24,INDEX($A32:$P32,$D$6),""))</f>
        <v/>
      </c>
      <c r="T32">
        <f>IF(OR(R32="",$D$7=""),"",TRIM(IFERROR(LEFT(INDEX($A32:$P32,$D$7),FIND(",",INDEX($A32:$P32,$D$7))-1),INDEX($A32:$P32,$D$7))))</f>
        <v/>
      </c>
      <c r="U32" s="32">
        <f>IF(OR(R32="",$D$5=""),0,IFERROR(IF(ISNUMBER(INDEX($A32:$P32,$D$5)),INDEX($A32:$P32,$D$5),TIMEVALUE(INDEX($A32:$P32,$D$5)))*Inputs!$C$22,0))</f>
        <v/>
      </c>
    </row>
    <row r="33">
      <c r="R33" s="17">
        <f>IF($D$4="","",IF(INDEX($A33:$P33,$D$4)="","",IF(ISNUMBER(INDEX($A33:$P33,$D$4)),INDEX($A33:$P33,$D$4),IFERROR(DATEVALUE(INDEX($A33:$P33,$D$4)),""))))</f>
        <v/>
      </c>
      <c r="S33">
        <f>IF(OR(R33="",$D$6=""),"",IF(LEFT(INDEX($A33:$P33,$D$6),LEN(Inputs!$C$24))=Inputs!$C$24,INDEX($A33:$P33,$D$6),""))</f>
        <v/>
      </c>
      <c r="T33">
        <f>IF(OR(R33="",$D$7=""),"",TRIM(IFERROR(LEFT(INDEX($A33:$P33,$D$7),FIND(",",INDEX($A33:$P33,$D$7))-1),INDEX($A33:$P33,$D$7))))</f>
        <v/>
      </c>
      <c r="U33" s="32">
        <f>IF(OR(R33="",$D$5=""),0,IFERROR(IF(ISNUMBER(INDEX($A33:$P33,$D$5)),INDEX($A33:$P33,$D$5),TIMEVALUE(INDEX($A33:$P33,$D$5)))*Inputs!$C$22,0))</f>
        <v/>
      </c>
    </row>
    <row r="34">
      <c r="R34" s="17">
        <f>IF($D$4="","",IF(INDEX($A34:$P34,$D$4)="","",IF(ISNUMBER(INDEX($A34:$P34,$D$4)),INDEX($A34:$P34,$D$4),IFERROR(DATEVALUE(INDEX($A34:$P34,$D$4)),""))))</f>
        <v/>
      </c>
      <c r="S34">
        <f>IF(OR(R34="",$D$6=""),"",IF(LEFT(INDEX($A34:$P34,$D$6),LEN(Inputs!$C$24))=Inputs!$C$24,INDEX($A34:$P34,$D$6),""))</f>
        <v/>
      </c>
      <c r="T34">
        <f>IF(OR(R34="",$D$7=""),"",TRIM(IFERROR(LEFT(INDEX($A34:$P34,$D$7),FIND(",",INDEX($A34:$P34,$D$7))-1),INDEX($A34:$P34,$D$7))))</f>
        <v/>
      </c>
      <c r="U34" s="32">
        <f>IF(OR(R34="",$D$5=""),0,IFERROR(IF(ISNUMBER(INDEX($A34:$P34,$D$5)),INDEX($A34:$P34,$D$5),TIMEVALUE(INDEX($A34:$P34,$D$5)))*Inputs!$C$22,0))</f>
        <v/>
      </c>
    </row>
    <row r="35">
      <c r="R35" s="17">
        <f>IF($D$4="","",IF(INDEX($A35:$P35,$D$4)="","",IF(ISNUMBER(INDEX($A35:$P35,$D$4)),INDEX($A35:$P35,$D$4),IFERROR(DATEVALUE(INDEX($A35:$P35,$D$4)),""))))</f>
        <v/>
      </c>
      <c r="S35">
        <f>IF(OR(R35="",$D$6=""),"",IF(LEFT(INDEX($A35:$P35,$D$6),LEN(Inputs!$C$24))=Inputs!$C$24,INDEX($A35:$P35,$D$6),""))</f>
        <v/>
      </c>
      <c r="T35">
        <f>IF(OR(R35="",$D$7=""),"",TRIM(IFERROR(LEFT(INDEX($A35:$P35,$D$7),FIND(",",INDEX($A35:$P35,$D$7))-1),INDEX($A35:$P35,$D$7))))</f>
        <v/>
      </c>
      <c r="U35" s="32">
        <f>IF(OR(R35="",$D$5=""),0,IFERROR(IF(ISNUMBER(INDEX($A35:$P35,$D$5)),INDEX($A35:$P35,$D$5),TIMEVALUE(INDEX($A35:$P35,$D$5)))*Inputs!$C$22,0))</f>
        <v/>
      </c>
    </row>
    <row r="36">
      <c r="R36" s="17">
        <f>IF($D$4="","",IF(INDEX($A36:$P36,$D$4)="","",IF(ISNUMBER(INDEX($A36:$P36,$D$4)),INDEX($A36:$P36,$D$4),IFERROR(DATEVALUE(INDEX($A36:$P36,$D$4)),""))))</f>
        <v/>
      </c>
      <c r="S36">
        <f>IF(OR(R36="",$D$6=""),"",IF(LEFT(INDEX($A36:$P36,$D$6),LEN(Inputs!$C$24))=Inputs!$C$24,INDEX($A36:$P36,$D$6),""))</f>
        <v/>
      </c>
      <c r="T36">
        <f>IF(OR(R36="",$D$7=""),"",TRIM(IFERROR(LEFT(INDEX($A36:$P36,$D$7),FIND(",",INDEX($A36:$P36,$D$7))-1),INDEX($A36:$P36,$D$7))))</f>
        <v/>
      </c>
      <c r="U36" s="32">
        <f>IF(OR(R36="",$D$5=""),0,IFERROR(IF(ISNUMBER(INDEX($A36:$P36,$D$5)),INDEX($A36:$P36,$D$5),TIMEVALUE(INDEX($A36:$P36,$D$5)))*Inputs!$C$22,0))</f>
        <v/>
      </c>
    </row>
    <row r="37">
      <c r="R37" s="17">
        <f>IF($D$4="","",IF(INDEX($A37:$P37,$D$4)="","",IF(ISNUMBER(INDEX($A37:$P37,$D$4)),INDEX($A37:$P37,$D$4),IFERROR(DATEVALUE(INDEX($A37:$P37,$D$4)),""))))</f>
        <v/>
      </c>
      <c r="S37">
        <f>IF(OR(R37="",$D$6=""),"",IF(LEFT(INDEX($A37:$P37,$D$6),LEN(Inputs!$C$24))=Inputs!$C$24,INDEX($A37:$P37,$D$6),""))</f>
        <v/>
      </c>
      <c r="T37">
        <f>IF(OR(R37="",$D$7=""),"",TRIM(IFERROR(LEFT(INDEX($A37:$P37,$D$7),FIND(",",INDEX($A37:$P37,$D$7))-1),INDEX($A37:$P37,$D$7))))</f>
        <v/>
      </c>
      <c r="U37" s="32">
        <f>IF(OR(R37="",$D$5=""),0,IFERROR(IF(ISNUMBER(INDEX($A37:$P37,$D$5)),INDEX($A37:$P37,$D$5),TIMEVALUE(INDEX($A37:$P37,$D$5)))*Inputs!$C$22,0))</f>
        <v/>
      </c>
    </row>
    <row r="38">
      <c r="R38" s="17">
        <f>IF($D$4="","",IF(INDEX($A38:$P38,$D$4)="","",IF(ISNUMBER(INDEX($A38:$P38,$D$4)),INDEX($A38:$P38,$D$4),IFERROR(DATEVALUE(INDEX($A38:$P38,$D$4)),""))))</f>
        <v/>
      </c>
      <c r="S38">
        <f>IF(OR(R38="",$D$6=""),"",IF(LEFT(INDEX($A38:$P38,$D$6),LEN(Inputs!$C$24))=Inputs!$C$24,INDEX($A38:$P38,$D$6),""))</f>
        <v/>
      </c>
      <c r="T38">
        <f>IF(OR(R38="",$D$7=""),"",TRIM(IFERROR(LEFT(INDEX($A38:$P38,$D$7),FIND(",",INDEX($A38:$P38,$D$7))-1),INDEX($A38:$P38,$D$7))))</f>
        <v/>
      </c>
      <c r="U38" s="32">
        <f>IF(OR(R38="",$D$5=""),0,IFERROR(IF(ISNUMBER(INDEX($A38:$P38,$D$5)),INDEX($A38:$P38,$D$5),TIMEVALUE(INDEX($A38:$P38,$D$5)))*Inputs!$C$22,0))</f>
        <v/>
      </c>
    </row>
    <row r="39">
      <c r="R39" s="17">
        <f>IF($D$4="","",IF(INDEX($A39:$P39,$D$4)="","",IF(ISNUMBER(INDEX($A39:$P39,$D$4)),INDEX($A39:$P39,$D$4),IFERROR(DATEVALUE(INDEX($A39:$P39,$D$4)),""))))</f>
        <v/>
      </c>
      <c r="S39">
        <f>IF(OR(R39="",$D$6=""),"",IF(LEFT(INDEX($A39:$P39,$D$6),LEN(Inputs!$C$24))=Inputs!$C$24,INDEX($A39:$P39,$D$6),""))</f>
        <v/>
      </c>
      <c r="T39">
        <f>IF(OR(R39="",$D$7=""),"",TRIM(IFERROR(LEFT(INDEX($A39:$P39,$D$7),FIND(",",INDEX($A39:$P39,$D$7))-1),INDEX($A39:$P39,$D$7))))</f>
        <v/>
      </c>
      <c r="U39" s="32">
        <f>IF(OR(R39="",$D$5=""),0,IFERROR(IF(ISNUMBER(INDEX($A39:$P39,$D$5)),INDEX($A39:$P39,$D$5),TIMEVALUE(INDEX($A39:$P39,$D$5)))*Inputs!$C$22,0))</f>
        <v/>
      </c>
    </row>
    <row r="40">
      <c r="R40" s="17">
        <f>IF($D$4="","",IF(INDEX($A40:$P40,$D$4)="","",IF(ISNUMBER(INDEX($A40:$P40,$D$4)),INDEX($A40:$P40,$D$4),IFERROR(DATEVALUE(INDEX($A40:$P40,$D$4)),""))))</f>
        <v/>
      </c>
      <c r="S40">
        <f>IF(OR(R40="",$D$6=""),"",IF(LEFT(INDEX($A40:$P40,$D$6),LEN(Inputs!$C$24))=Inputs!$C$24,INDEX($A40:$P40,$D$6),""))</f>
        <v/>
      </c>
      <c r="T40">
        <f>IF(OR(R40="",$D$7=""),"",TRIM(IFERROR(LEFT(INDEX($A40:$P40,$D$7),FIND(",",INDEX($A40:$P40,$D$7))-1),INDEX($A40:$P40,$D$7))))</f>
        <v/>
      </c>
      <c r="U40" s="32">
        <f>IF(OR(R40="",$D$5=""),0,IFERROR(IF(ISNUMBER(INDEX($A40:$P40,$D$5)),INDEX($A40:$P40,$D$5),TIMEVALUE(INDEX($A40:$P40,$D$5)))*Inputs!$C$22,0))</f>
        <v/>
      </c>
    </row>
    <row r="41">
      <c r="R41" s="17">
        <f>IF($D$4="","",IF(INDEX($A41:$P41,$D$4)="","",IF(ISNUMBER(INDEX($A41:$P41,$D$4)),INDEX($A41:$P41,$D$4),IFERROR(DATEVALUE(INDEX($A41:$P41,$D$4)),""))))</f>
        <v/>
      </c>
      <c r="S41">
        <f>IF(OR(R41="",$D$6=""),"",IF(LEFT(INDEX($A41:$P41,$D$6),LEN(Inputs!$C$24))=Inputs!$C$24,INDEX($A41:$P41,$D$6),""))</f>
        <v/>
      </c>
      <c r="T41">
        <f>IF(OR(R41="",$D$7=""),"",TRIM(IFERROR(LEFT(INDEX($A41:$P41,$D$7),FIND(",",INDEX($A41:$P41,$D$7))-1),INDEX($A41:$P41,$D$7))))</f>
        <v/>
      </c>
      <c r="U41" s="32">
        <f>IF(OR(R41="",$D$5=""),0,IFERROR(IF(ISNUMBER(INDEX($A41:$P41,$D$5)),INDEX($A41:$P41,$D$5),TIMEVALUE(INDEX($A41:$P41,$D$5)))*Inputs!$C$22,0))</f>
        <v/>
      </c>
    </row>
    <row r="42">
      <c r="R42" s="17">
        <f>IF($D$4="","",IF(INDEX($A42:$P42,$D$4)="","",IF(ISNUMBER(INDEX($A42:$P42,$D$4)),INDEX($A42:$P42,$D$4),IFERROR(DATEVALUE(INDEX($A42:$P42,$D$4)),""))))</f>
        <v/>
      </c>
      <c r="S42">
        <f>IF(OR(R42="",$D$6=""),"",IF(LEFT(INDEX($A42:$P42,$D$6),LEN(Inputs!$C$24))=Inputs!$C$24,INDEX($A42:$P42,$D$6),""))</f>
        <v/>
      </c>
      <c r="T42">
        <f>IF(OR(R42="",$D$7=""),"",TRIM(IFERROR(LEFT(INDEX($A42:$P42,$D$7),FIND(",",INDEX($A42:$P42,$D$7))-1),INDEX($A42:$P42,$D$7))))</f>
        <v/>
      </c>
      <c r="U42" s="32">
        <f>IF(OR(R42="",$D$5=""),0,IFERROR(IF(ISNUMBER(INDEX($A42:$P42,$D$5)),INDEX($A42:$P42,$D$5),TIMEVALUE(INDEX($A42:$P42,$D$5)))*Inputs!$C$22,0))</f>
        <v/>
      </c>
    </row>
    <row r="43">
      <c r="R43" s="17">
        <f>IF($D$4="","",IF(INDEX($A43:$P43,$D$4)="","",IF(ISNUMBER(INDEX($A43:$P43,$D$4)),INDEX($A43:$P43,$D$4),IFERROR(DATEVALUE(INDEX($A43:$P43,$D$4)),""))))</f>
        <v/>
      </c>
      <c r="S43">
        <f>IF(OR(R43="",$D$6=""),"",IF(LEFT(INDEX($A43:$P43,$D$6),LEN(Inputs!$C$24))=Inputs!$C$24,INDEX($A43:$P43,$D$6),""))</f>
        <v/>
      </c>
      <c r="T43">
        <f>IF(OR(R43="",$D$7=""),"",TRIM(IFERROR(LEFT(INDEX($A43:$P43,$D$7),FIND(",",INDEX($A43:$P43,$D$7))-1),INDEX($A43:$P43,$D$7))))</f>
        <v/>
      </c>
      <c r="U43" s="32">
        <f>IF(OR(R43="",$D$5=""),0,IFERROR(IF(ISNUMBER(INDEX($A43:$P43,$D$5)),INDEX($A43:$P43,$D$5),TIMEVALUE(INDEX($A43:$P43,$D$5)))*Inputs!$C$22,0))</f>
        <v/>
      </c>
    </row>
    <row r="44">
      <c r="R44" s="17">
        <f>IF($D$4="","",IF(INDEX($A44:$P44,$D$4)="","",IF(ISNUMBER(INDEX($A44:$P44,$D$4)),INDEX($A44:$P44,$D$4),IFERROR(DATEVALUE(INDEX($A44:$P44,$D$4)),""))))</f>
        <v/>
      </c>
      <c r="S44">
        <f>IF(OR(R44="",$D$6=""),"",IF(LEFT(INDEX($A44:$P44,$D$6),LEN(Inputs!$C$24))=Inputs!$C$24,INDEX($A44:$P44,$D$6),""))</f>
        <v/>
      </c>
      <c r="T44">
        <f>IF(OR(R44="",$D$7=""),"",TRIM(IFERROR(LEFT(INDEX($A44:$P44,$D$7),FIND(",",INDEX($A44:$P44,$D$7))-1),INDEX($A44:$P44,$D$7))))</f>
        <v/>
      </c>
      <c r="U44" s="32">
        <f>IF(OR(R44="",$D$5=""),0,IFERROR(IF(ISNUMBER(INDEX($A44:$P44,$D$5)),INDEX($A44:$P44,$D$5),TIMEVALUE(INDEX($A44:$P44,$D$5)))*Inputs!$C$22,0))</f>
        <v/>
      </c>
    </row>
    <row r="45">
      <c r="R45" s="17">
        <f>IF($D$4="","",IF(INDEX($A45:$P45,$D$4)="","",IF(ISNUMBER(INDEX($A45:$P45,$D$4)),INDEX($A45:$P45,$D$4),IFERROR(DATEVALUE(INDEX($A45:$P45,$D$4)),""))))</f>
        <v/>
      </c>
      <c r="S45">
        <f>IF(OR(R45="",$D$6=""),"",IF(LEFT(INDEX($A45:$P45,$D$6),LEN(Inputs!$C$24))=Inputs!$C$24,INDEX($A45:$P45,$D$6),""))</f>
        <v/>
      </c>
      <c r="T45">
        <f>IF(OR(R45="",$D$7=""),"",TRIM(IFERROR(LEFT(INDEX($A45:$P45,$D$7),FIND(",",INDEX($A45:$P45,$D$7))-1),INDEX($A45:$P45,$D$7))))</f>
        <v/>
      </c>
      <c r="U45" s="32">
        <f>IF(OR(R45="",$D$5=""),0,IFERROR(IF(ISNUMBER(INDEX($A45:$P45,$D$5)),INDEX($A45:$P45,$D$5),TIMEVALUE(INDEX($A45:$P45,$D$5)))*Inputs!$C$22,0))</f>
        <v/>
      </c>
    </row>
    <row r="46">
      <c r="R46" s="17">
        <f>IF($D$4="","",IF(INDEX($A46:$P46,$D$4)="","",IF(ISNUMBER(INDEX($A46:$P46,$D$4)),INDEX($A46:$P46,$D$4),IFERROR(DATEVALUE(INDEX($A46:$P46,$D$4)),""))))</f>
        <v/>
      </c>
      <c r="S46">
        <f>IF(OR(R46="",$D$6=""),"",IF(LEFT(INDEX($A46:$P46,$D$6),LEN(Inputs!$C$24))=Inputs!$C$24,INDEX($A46:$P46,$D$6),""))</f>
        <v/>
      </c>
      <c r="T46">
        <f>IF(OR(R46="",$D$7=""),"",TRIM(IFERROR(LEFT(INDEX($A46:$P46,$D$7),FIND(",",INDEX($A46:$P46,$D$7))-1),INDEX($A46:$P46,$D$7))))</f>
        <v/>
      </c>
      <c r="U46" s="32">
        <f>IF(OR(R46="",$D$5=""),0,IFERROR(IF(ISNUMBER(INDEX($A46:$P46,$D$5)),INDEX($A46:$P46,$D$5),TIMEVALUE(INDEX($A46:$P46,$D$5)))*Inputs!$C$22,0))</f>
        <v/>
      </c>
    </row>
    <row r="47">
      <c r="R47" s="17">
        <f>IF($D$4="","",IF(INDEX($A47:$P47,$D$4)="","",IF(ISNUMBER(INDEX($A47:$P47,$D$4)),INDEX($A47:$P47,$D$4),IFERROR(DATEVALUE(INDEX($A47:$P47,$D$4)),""))))</f>
        <v/>
      </c>
      <c r="S47">
        <f>IF(OR(R47="",$D$6=""),"",IF(LEFT(INDEX($A47:$P47,$D$6),LEN(Inputs!$C$24))=Inputs!$C$24,INDEX($A47:$P47,$D$6),""))</f>
        <v/>
      </c>
      <c r="T47">
        <f>IF(OR(R47="",$D$7=""),"",TRIM(IFERROR(LEFT(INDEX($A47:$P47,$D$7),FIND(",",INDEX($A47:$P47,$D$7))-1),INDEX($A47:$P47,$D$7))))</f>
        <v/>
      </c>
      <c r="U47" s="32">
        <f>IF(OR(R47="",$D$5=""),0,IFERROR(IF(ISNUMBER(INDEX($A47:$P47,$D$5)),INDEX($A47:$P47,$D$5),TIMEVALUE(INDEX($A47:$P47,$D$5)))*Inputs!$C$22,0))</f>
        <v/>
      </c>
    </row>
    <row r="48">
      <c r="R48" s="17">
        <f>IF($D$4="","",IF(INDEX($A48:$P48,$D$4)="","",IF(ISNUMBER(INDEX($A48:$P48,$D$4)),INDEX($A48:$P48,$D$4),IFERROR(DATEVALUE(INDEX($A48:$P48,$D$4)),""))))</f>
        <v/>
      </c>
      <c r="S48">
        <f>IF(OR(R48="",$D$6=""),"",IF(LEFT(INDEX($A48:$P48,$D$6),LEN(Inputs!$C$24))=Inputs!$C$24,INDEX($A48:$P48,$D$6),""))</f>
        <v/>
      </c>
      <c r="T48">
        <f>IF(OR(R48="",$D$7=""),"",TRIM(IFERROR(LEFT(INDEX($A48:$P48,$D$7),FIND(",",INDEX($A48:$P48,$D$7))-1),INDEX($A48:$P48,$D$7))))</f>
        <v/>
      </c>
      <c r="U48" s="32">
        <f>IF(OR(R48="",$D$5=""),0,IFERROR(IF(ISNUMBER(INDEX($A48:$P48,$D$5)),INDEX($A48:$P48,$D$5),TIMEVALUE(INDEX($A48:$P48,$D$5)))*Inputs!$C$22,0))</f>
        <v/>
      </c>
    </row>
    <row r="49">
      <c r="R49" s="17">
        <f>IF($D$4="","",IF(INDEX($A49:$P49,$D$4)="","",IF(ISNUMBER(INDEX($A49:$P49,$D$4)),INDEX($A49:$P49,$D$4),IFERROR(DATEVALUE(INDEX($A49:$P49,$D$4)),""))))</f>
        <v/>
      </c>
      <c r="S49">
        <f>IF(OR(R49="",$D$6=""),"",IF(LEFT(INDEX($A49:$P49,$D$6),LEN(Inputs!$C$24))=Inputs!$C$24,INDEX($A49:$P49,$D$6),""))</f>
        <v/>
      </c>
      <c r="T49">
        <f>IF(OR(R49="",$D$7=""),"",TRIM(IFERROR(LEFT(INDEX($A49:$P49,$D$7),FIND(",",INDEX($A49:$P49,$D$7))-1),INDEX($A49:$P49,$D$7))))</f>
        <v/>
      </c>
      <c r="U49" s="32">
        <f>IF(OR(R49="",$D$5=""),0,IFERROR(IF(ISNUMBER(INDEX($A49:$P49,$D$5)),INDEX($A49:$P49,$D$5),TIMEVALUE(INDEX($A49:$P49,$D$5)))*Inputs!$C$22,0))</f>
        <v/>
      </c>
    </row>
    <row r="50">
      <c r="R50" s="17">
        <f>IF($D$4="","",IF(INDEX($A50:$P50,$D$4)="","",IF(ISNUMBER(INDEX($A50:$P50,$D$4)),INDEX($A50:$P50,$D$4),IFERROR(DATEVALUE(INDEX($A50:$P50,$D$4)),""))))</f>
        <v/>
      </c>
      <c r="S50">
        <f>IF(OR(R50="",$D$6=""),"",IF(LEFT(INDEX($A50:$P50,$D$6),LEN(Inputs!$C$24))=Inputs!$C$24,INDEX($A50:$P50,$D$6),""))</f>
        <v/>
      </c>
      <c r="T50">
        <f>IF(OR(R50="",$D$7=""),"",TRIM(IFERROR(LEFT(INDEX($A50:$P50,$D$7),FIND(",",INDEX($A50:$P50,$D$7))-1),INDEX($A50:$P50,$D$7))))</f>
        <v/>
      </c>
      <c r="U50" s="32">
        <f>IF(OR(R50="",$D$5=""),0,IFERROR(IF(ISNUMBER(INDEX($A50:$P50,$D$5)),INDEX($A50:$P50,$D$5),TIMEVALUE(INDEX($A50:$P50,$D$5)))*Inputs!$C$22,0))</f>
        <v/>
      </c>
    </row>
    <row r="51">
      <c r="R51" s="17">
        <f>IF($D$4="","",IF(INDEX($A51:$P51,$D$4)="","",IF(ISNUMBER(INDEX($A51:$P51,$D$4)),INDEX($A51:$P51,$D$4),IFERROR(DATEVALUE(INDEX($A51:$P51,$D$4)),""))))</f>
        <v/>
      </c>
      <c r="S51">
        <f>IF(OR(R51="",$D$6=""),"",IF(LEFT(INDEX($A51:$P51,$D$6),LEN(Inputs!$C$24))=Inputs!$C$24,INDEX($A51:$P51,$D$6),""))</f>
        <v/>
      </c>
      <c r="T51">
        <f>IF(OR(R51="",$D$7=""),"",TRIM(IFERROR(LEFT(INDEX($A51:$P51,$D$7),FIND(",",INDEX($A51:$P51,$D$7))-1),INDEX($A51:$P51,$D$7))))</f>
        <v/>
      </c>
      <c r="U51" s="32">
        <f>IF(OR(R51="",$D$5=""),0,IFERROR(IF(ISNUMBER(INDEX($A51:$P51,$D$5)),INDEX($A51:$P51,$D$5),TIMEVALUE(INDEX($A51:$P51,$D$5)))*Inputs!$C$22,0))</f>
        <v/>
      </c>
    </row>
    <row r="52">
      <c r="R52" s="17">
        <f>IF($D$4="","",IF(INDEX($A52:$P52,$D$4)="","",IF(ISNUMBER(INDEX($A52:$P52,$D$4)),INDEX($A52:$P52,$D$4),IFERROR(DATEVALUE(INDEX($A52:$P52,$D$4)),""))))</f>
        <v/>
      </c>
      <c r="S52">
        <f>IF(OR(R52="",$D$6=""),"",IF(LEFT(INDEX($A52:$P52,$D$6),LEN(Inputs!$C$24))=Inputs!$C$24,INDEX($A52:$P52,$D$6),""))</f>
        <v/>
      </c>
      <c r="T52">
        <f>IF(OR(R52="",$D$7=""),"",TRIM(IFERROR(LEFT(INDEX($A52:$P52,$D$7),FIND(",",INDEX($A52:$P52,$D$7))-1),INDEX($A52:$P52,$D$7))))</f>
        <v/>
      </c>
      <c r="U52" s="32">
        <f>IF(OR(R52="",$D$5=""),0,IFERROR(IF(ISNUMBER(INDEX($A52:$P52,$D$5)),INDEX($A52:$P52,$D$5),TIMEVALUE(INDEX($A52:$P52,$D$5)))*Inputs!$C$22,0))</f>
        <v/>
      </c>
    </row>
    <row r="53">
      <c r="R53" s="17">
        <f>IF($D$4="","",IF(INDEX($A53:$P53,$D$4)="","",IF(ISNUMBER(INDEX($A53:$P53,$D$4)),INDEX($A53:$P53,$D$4),IFERROR(DATEVALUE(INDEX($A53:$P53,$D$4)),""))))</f>
        <v/>
      </c>
      <c r="S53">
        <f>IF(OR(R53="",$D$6=""),"",IF(LEFT(INDEX($A53:$P53,$D$6),LEN(Inputs!$C$24))=Inputs!$C$24,INDEX($A53:$P53,$D$6),""))</f>
        <v/>
      </c>
      <c r="T53">
        <f>IF(OR(R53="",$D$7=""),"",TRIM(IFERROR(LEFT(INDEX($A53:$P53,$D$7),FIND(",",INDEX($A53:$P53,$D$7))-1),INDEX($A53:$P53,$D$7))))</f>
        <v/>
      </c>
      <c r="U53" s="32">
        <f>IF(OR(R53="",$D$5=""),0,IFERROR(IF(ISNUMBER(INDEX($A53:$P53,$D$5)),INDEX($A53:$P53,$D$5),TIMEVALUE(INDEX($A53:$P53,$D$5)))*Inputs!$C$22,0))</f>
        <v/>
      </c>
    </row>
    <row r="54">
      <c r="R54" s="17">
        <f>IF($D$4="","",IF(INDEX($A54:$P54,$D$4)="","",IF(ISNUMBER(INDEX($A54:$P54,$D$4)),INDEX($A54:$P54,$D$4),IFERROR(DATEVALUE(INDEX($A54:$P54,$D$4)),""))))</f>
        <v/>
      </c>
      <c r="S54">
        <f>IF(OR(R54="",$D$6=""),"",IF(LEFT(INDEX($A54:$P54,$D$6),LEN(Inputs!$C$24))=Inputs!$C$24,INDEX($A54:$P54,$D$6),""))</f>
        <v/>
      </c>
      <c r="T54">
        <f>IF(OR(R54="",$D$7=""),"",TRIM(IFERROR(LEFT(INDEX($A54:$P54,$D$7),FIND(",",INDEX($A54:$P54,$D$7))-1),INDEX($A54:$P54,$D$7))))</f>
        <v/>
      </c>
      <c r="U54" s="32">
        <f>IF(OR(R54="",$D$5=""),0,IFERROR(IF(ISNUMBER(INDEX($A54:$P54,$D$5)),INDEX($A54:$P54,$D$5),TIMEVALUE(INDEX($A54:$P54,$D$5)))*Inputs!$C$22,0))</f>
        <v/>
      </c>
    </row>
    <row r="55">
      <c r="R55" s="17">
        <f>IF($D$4="","",IF(INDEX($A55:$P55,$D$4)="","",IF(ISNUMBER(INDEX($A55:$P55,$D$4)),INDEX($A55:$P55,$D$4),IFERROR(DATEVALUE(INDEX($A55:$P55,$D$4)),""))))</f>
        <v/>
      </c>
      <c r="S55">
        <f>IF(OR(R55="",$D$6=""),"",IF(LEFT(INDEX($A55:$P55,$D$6),LEN(Inputs!$C$24))=Inputs!$C$24,INDEX($A55:$P55,$D$6),""))</f>
        <v/>
      </c>
      <c r="T55">
        <f>IF(OR(R55="",$D$7=""),"",TRIM(IFERROR(LEFT(INDEX($A55:$P55,$D$7),FIND(",",INDEX($A55:$P55,$D$7))-1),INDEX($A55:$P55,$D$7))))</f>
        <v/>
      </c>
      <c r="U55" s="32">
        <f>IF(OR(R55="",$D$5=""),0,IFERROR(IF(ISNUMBER(INDEX($A55:$P55,$D$5)),INDEX($A55:$P55,$D$5),TIMEVALUE(INDEX($A55:$P55,$D$5)))*Inputs!$C$22,0))</f>
        <v/>
      </c>
    </row>
    <row r="56">
      <c r="R56" s="17">
        <f>IF($D$4="","",IF(INDEX($A56:$P56,$D$4)="","",IF(ISNUMBER(INDEX($A56:$P56,$D$4)),INDEX($A56:$P56,$D$4),IFERROR(DATEVALUE(INDEX($A56:$P56,$D$4)),""))))</f>
        <v/>
      </c>
      <c r="S56">
        <f>IF(OR(R56="",$D$6=""),"",IF(LEFT(INDEX($A56:$P56,$D$6),LEN(Inputs!$C$24))=Inputs!$C$24,INDEX($A56:$P56,$D$6),""))</f>
        <v/>
      </c>
      <c r="T56">
        <f>IF(OR(R56="",$D$7=""),"",TRIM(IFERROR(LEFT(INDEX($A56:$P56,$D$7),FIND(",",INDEX($A56:$P56,$D$7))-1),INDEX($A56:$P56,$D$7))))</f>
        <v/>
      </c>
      <c r="U56" s="32">
        <f>IF(OR(R56="",$D$5=""),0,IFERROR(IF(ISNUMBER(INDEX($A56:$P56,$D$5)),INDEX($A56:$P56,$D$5),TIMEVALUE(INDEX($A56:$P56,$D$5)))*Inputs!$C$22,0))</f>
        <v/>
      </c>
    </row>
    <row r="57">
      <c r="R57" s="17">
        <f>IF($D$4="","",IF(INDEX($A57:$P57,$D$4)="","",IF(ISNUMBER(INDEX($A57:$P57,$D$4)),INDEX($A57:$P57,$D$4),IFERROR(DATEVALUE(INDEX($A57:$P57,$D$4)),""))))</f>
        <v/>
      </c>
      <c r="S57">
        <f>IF(OR(R57="",$D$6=""),"",IF(LEFT(INDEX($A57:$P57,$D$6),LEN(Inputs!$C$24))=Inputs!$C$24,INDEX($A57:$P57,$D$6),""))</f>
        <v/>
      </c>
      <c r="T57">
        <f>IF(OR(R57="",$D$7=""),"",TRIM(IFERROR(LEFT(INDEX($A57:$P57,$D$7),FIND(",",INDEX($A57:$P57,$D$7))-1),INDEX($A57:$P57,$D$7))))</f>
        <v/>
      </c>
      <c r="U57" s="32">
        <f>IF(OR(R57="",$D$5=""),0,IFERROR(IF(ISNUMBER(INDEX($A57:$P57,$D$5)),INDEX($A57:$P57,$D$5),TIMEVALUE(INDEX($A57:$P57,$D$5)))*Inputs!$C$22,0))</f>
        <v/>
      </c>
    </row>
    <row r="58">
      <c r="R58" s="17">
        <f>IF($D$4="","",IF(INDEX($A58:$P58,$D$4)="","",IF(ISNUMBER(INDEX($A58:$P58,$D$4)),INDEX($A58:$P58,$D$4),IFERROR(DATEVALUE(INDEX($A58:$P58,$D$4)),""))))</f>
        <v/>
      </c>
      <c r="S58">
        <f>IF(OR(R58="",$D$6=""),"",IF(LEFT(INDEX($A58:$P58,$D$6),LEN(Inputs!$C$24))=Inputs!$C$24,INDEX($A58:$P58,$D$6),""))</f>
        <v/>
      </c>
      <c r="T58">
        <f>IF(OR(R58="",$D$7=""),"",TRIM(IFERROR(LEFT(INDEX($A58:$P58,$D$7),FIND(",",INDEX($A58:$P58,$D$7))-1),INDEX($A58:$P58,$D$7))))</f>
        <v/>
      </c>
      <c r="U58" s="32">
        <f>IF(OR(R58="",$D$5=""),0,IFERROR(IF(ISNUMBER(INDEX($A58:$P58,$D$5)),INDEX($A58:$P58,$D$5),TIMEVALUE(INDEX($A58:$P58,$D$5)))*Inputs!$C$22,0))</f>
        <v/>
      </c>
    </row>
    <row r="59">
      <c r="R59" s="17">
        <f>IF($D$4="","",IF(INDEX($A59:$P59,$D$4)="","",IF(ISNUMBER(INDEX($A59:$P59,$D$4)),INDEX($A59:$P59,$D$4),IFERROR(DATEVALUE(INDEX($A59:$P59,$D$4)),""))))</f>
        <v/>
      </c>
      <c r="S59">
        <f>IF(OR(R59="",$D$6=""),"",IF(LEFT(INDEX($A59:$P59,$D$6),LEN(Inputs!$C$24))=Inputs!$C$24,INDEX($A59:$P59,$D$6),""))</f>
        <v/>
      </c>
      <c r="T59">
        <f>IF(OR(R59="",$D$7=""),"",TRIM(IFERROR(LEFT(INDEX($A59:$P59,$D$7),FIND(",",INDEX($A59:$P59,$D$7))-1),INDEX($A59:$P59,$D$7))))</f>
        <v/>
      </c>
      <c r="U59" s="32">
        <f>IF(OR(R59="",$D$5=""),0,IFERROR(IF(ISNUMBER(INDEX($A59:$P59,$D$5)),INDEX($A59:$P59,$D$5),TIMEVALUE(INDEX($A59:$P59,$D$5)))*Inputs!$C$22,0))</f>
        <v/>
      </c>
    </row>
    <row r="60">
      <c r="R60" s="17">
        <f>IF($D$4="","",IF(INDEX($A60:$P60,$D$4)="","",IF(ISNUMBER(INDEX($A60:$P60,$D$4)),INDEX($A60:$P60,$D$4),IFERROR(DATEVALUE(INDEX($A60:$P60,$D$4)),""))))</f>
        <v/>
      </c>
      <c r="S60">
        <f>IF(OR(R60="",$D$6=""),"",IF(LEFT(INDEX($A60:$P60,$D$6),LEN(Inputs!$C$24))=Inputs!$C$24,INDEX($A60:$P60,$D$6),""))</f>
        <v/>
      </c>
      <c r="T60">
        <f>IF(OR(R60="",$D$7=""),"",TRIM(IFERROR(LEFT(INDEX($A60:$P60,$D$7),FIND(",",INDEX($A60:$P60,$D$7))-1),INDEX($A60:$P60,$D$7))))</f>
        <v/>
      </c>
      <c r="U60" s="32">
        <f>IF(OR(R60="",$D$5=""),0,IFERROR(IF(ISNUMBER(INDEX($A60:$P60,$D$5)),INDEX($A60:$P60,$D$5),TIMEVALUE(INDEX($A60:$P60,$D$5)))*Inputs!$C$22,0))</f>
        <v/>
      </c>
    </row>
    <row r="61">
      <c r="R61" s="17">
        <f>IF($D$4="","",IF(INDEX($A61:$P61,$D$4)="","",IF(ISNUMBER(INDEX($A61:$P61,$D$4)),INDEX($A61:$P61,$D$4),IFERROR(DATEVALUE(INDEX($A61:$P61,$D$4)),""))))</f>
        <v/>
      </c>
      <c r="S61">
        <f>IF(OR(R61="",$D$6=""),"",IF(LEFT(INDEX($A61:$P61,$D$6),LEN(Inputs!$C$24))=Inputs!$C$24,INDEX($A61:$P61,$D$6),""))</f>
        <v/>
      </c>
      <c r="T61">
        <f>IF(OR(R61="",$D$7=""),"",TRIM(IFERROR(LEFT(INDEX($A61:$P61,$D$7),FIND(",",INDEX($A61:$P61,$D$7))-1),INDEX($A61:$P61,$D$7))))</f>
        <v/>
      </c>
      <c r="U61" s="32">
        <f>IF(OR(R61="",$D$5=""),0,IFERROR(IF(ISNUMBER(INDEX($A61:$P61,$D$5)),INDEX($A61:$P61,$D$5),TIMEVALUE(INDEX($A61:$P61,$D$5)))*Inputs!$C$22,0))</f>
        <v/>
      </c>
    </row>
    <row r="62">
      <c r="R62" s="17">
        <f>IF($D$4="","",IF(INDEX($A62:$P62,$D$4)="","",IF(ISNUMBER(INDEX($A62:$P62,$D$4)),INDEX($A62:$P62,$D$4),IFERROR(DATEVALUE(INDEX($A62:$P62,$D$4)),""))))</f>
        <v/>
      </c>
      <c r="S62">
        <f>IF(OR(R62="",$D$6=""),"",IF(LEFT(INDEX($A62:$P62,$D$6),LEN(Inputs!$C$24))=Inputs!$C$24,INDEX($A62:$P62,$D$6),""))</f>
        <v/>
      </c>
      <c r="T62">
        <f>IF(OR(R62="",$D$7=""),"",TRIM(IFERROR(LEFT(INDEX($A62:$P62,$D$7),FIND(",",INDEX($A62:$P62,$D$7))-1),INDEX($A62:$P62,$D$7))))</f>
        <v/>
      </c>
      <c r="U62" s="32">
        <f>IF(OR(R62="",$D$5=""),0,IFERROR(IF(ISNUMBER(INDEX($A62:$P62,$D$5)),INDEX($A62:$P62,$D$5),TIMEVALUE(INDEX($A62:$P62,$D$5)))*Inputs!$C$22,0))</f>
        <v/>
      </c>
    </row>
    <row r="63">
      <c r="R63" s="17">
        <f>IF($D$4="","",IF(INDEX($A63:$P63,$D$4)="","",IF(ISNUMBER(INDEX($A63:$P63,$D$4)),INDEX($A63:$P63,$D$4),IFERROR(DATEVALUE(INDEX($A63:$P63,$D$4)),""))))</f>
        <v/>
      </c>
      <c r="S63">
        <f>IF(OR(R63="",$D$6=""),"",IF(LEFT(INDEX($A63:$P63,$D$6),LEN(Inputs!$C$24))=Inputs!$C$24,INDEX($A63:$P63,$D$6),""))</f>
        <v/>
      </c>
      <c r="T63">
        <f>IF(OR(R63="",$D$7=""),"",TRIM(IFERROR(LEFT(INDEX($A63:$P63,$D$7),FIND(",",INDEX($A63:$P63,$D$7))-1),INDEX($A63:$P63,$D$7))))</f>
        <v/>
      </c>
      <c r="U63" s="32">
        <f>IF(OR(R63="",$D$5=""),0,IFERROR(IF(ISNUMBER(INDEX($A63:$P63,$D$5)),INDEX($A63:$P63,$D$5),TIMEVALUE(INDEX($A63:$P63,$D$5)))*Inputs!$C$22,0))</f>
        <v/>
      </c>
    </row>
    <row r="64">
      <c r="R64" s="17">
        <f>IF($D$4="","",IF(INDEX($A64:$P64,$D$4)="","",IF(ISNUMBER(INDEX($A64:$P64,$D$4)),INDEX($A64:$P64,$D$4),IFERROR(DATEVALUE(INDEX($A64:$P64,$D$4)),""))))</f>
        <v/>
      </c>
      <c r="S64">
        <f>IF(OR(R64="",$D$6=""),"",IF(LEFT(INDEX($A64:$P64,$D$6),LEN(Inputs!$C$24))=Inputs!$C$24,INDEX($A64:$P64,$D$6),""))</f>
        <v/>
      </c>
      <c r="T64">
        <f>IF(OR(R64="",$D$7=""),"",TRIM(IFERROR(LEFT(INDEX($A64:$P64,$D$7),FIND(",",INDEX($A64:$P64,$D$7))-1),INDEX($A64:$P64,$D$7))))</f>
        <v/>
      </c>
      <c r="U64" s="32">
        <f>IF(OR(R64="",$D$5=""),0,IFERROR(IF(ISNUMBER(INDEX($A64:$P64,$D$5)),INDEX($A64:$P64,$D$5),TIMEVALUE(INDEX($A64:$P64,$D$5)))*Inputs!$C$22,0))</f>
        <v/>
      </c>
    </row>
    <row r="65">
      <c r="R65" s="17">
        <f>IF($D$4="","",IF(INDEX($A65:$P65,$D$4)="","",IF(ISNUMBER(INDEX($A65:$P65,$D$4)),INDEX($A65:$P65,$D$4),IFERROR(DATEVALUE(INDEX($A65:$P65,$D$4)),""))))</f>
        <v/>
      </c>
      <c r="S65">
        <f>IF(OR(R65="",$D$6=""),"",IF(LEFT(INDEX($A65:$P65,$D$6),LEN(Inputs!$C$24))=Inputs!$C$24,INDEX($A65:$P65,$D$6),""))</f>
        <v/>
      </c>
      <c r="T65">
        <f>IF(OR(R65="",$D$7=""),"",TRIM(IFERROR(LEFT(INDEX($A65:$P65,$D$7),FIND(",",INDEX($A65:$P65,$D$7))-1),INDEX($A65:$P65,$D$7))))</f>
        <v/>
      </c>
      <c r="U65" s="32">
        <f>IF(OR(R65="",$D$5=""),0,IFERROR(IF(ISNUMBER(INDEX($A65:$P65,$D$5)),INDEX($A65:$P65,$D$5),TIMEVALUE(INDEX($A65:$P65,$D$5)))*Inputs!$C$22,0))</f>
        <v/>
      </c>
    </row>
    <row r="66">
      <c r="R66" s="17">
        <f>IF($D$4="","",IF(INDEX($A66:$P66,$D$4)="","",IF(ISNUMBER(INDEX($A66:$P66,$D$4)),INDEX($A66:$P66,$D$4),IFERROR(DATEVALUE(INDEX($A66:$P66,$D$4)),""))))</f>
        <v/>
      </c>
      <c r="S66">
        <f>IF(OR(R66="",$D$6=""),"",IF(LEFT(INDEX($A66:$P66,$D$6),LEN(Inputs!$C$24))=Inputs!$C$24,INDEX($A66:$P66,$D$6),""))</f>
        <v/>
      </c>
      <c r="T66">
        <f>IF(OR(R66="",$D$7=""),"",TRIM(IFERROR(LEFT(INDEX($A66:$P66,$D$7),FIND(",",INDEX($A66:$P66,$D$7))-1),INDEX($A66:$P66,$D$7))))</f>
        <v/>
      </c>
      <c r="U66" s="32">
        <f>IF(OR(R66="",$D$5=""),0,IFERROR(IF(ISNUMBER(INDEX($A66:$P66,$D$5)),INDEX($A66:$P66,$D$5),TIMEVALUE(INDEX($A66:$P66,$D$5)))*Inputs!$C$22,0))</f>
        <v/>
      </c>
    </row>
    <row r="67">
      <c r="R67" s="17">
        <f>IF($D$4="","",IF(INDEX($A67:$P67,$D$4)="","",IF(ISNUMBER(INDEX($A67:$P67,$D$4)),INDEX($A67:$P67,$D$4),IFERROR(DATEVALUE(INDEX($A67:$P67,$D$4)),""))))</f>
        <v/>
      </c>
      <c r="S67">
        <f>IF(OR(R67="",$D$6=""),"",IF(LEFT(INDEX($A67:$P67,$D$6),LEN(Inputs!$C$24))=Inputs!$C$24,INDEX($A67:$P67,$D$6),""))</f>
        <v/>
      </c>
      <c r="T67">
        <f>IF(OR(R67="",$D$7=""),"",TRIM(IFERROR(LEFT(INDEX($A67:$P67,$D$7),FIND(",",INDEX($A67:$P67,$D$7))-1),INDEX($A67:$P67,$D$7))))</f>
        <v/>
      </c>
      <c r="U67" s="32">
        <f>IF(OR(R67="",$D$5=""),0,IFERROR(IF(ISNUMBER(INDEX($A67:$P67,$D$5)),INDEX($A67:$P67,$D$5),TIMEVALUE(INDEX($A67:$P67,$D$5)))*Inputs!$C$22,0))</f>
        <v/>
      </c>
    </row>
    <row r="68">
      <c r="R68" s="17">
        <f>IF($D$4="","",IF(INDEX($A68:$P68,$D$4)="","",IF(ISNUMBER(INDEX($A68:$P68,$D$4)),INDEX($A68:$P68,$D$4),IFERROR(DATEVALUE(INDEX($A68:$P68,$D$4)),""))))</f>
        <v/>
      </c>
      <c r="S68">
        <f>IF(OR(R68="",$D$6=""),"",IF(LEFT(INDEX($A68:$P68,$D$6),LEN(Inputs!$C$24))=Inputs!$C$24,INDEX($A68:$P68,$D$6),""))</f>
        <v/>
      </c>
      <c r="T68">
        <f>IF(OR(R68="",$D$7=""),"",TRIM(IFERROR(LEFT(INDEX($A68:$P68,$D$7),FIND(",",INDEX($A68:$P68,$D$7))-1),INDEX($A68:$P68,$D$7))))</f>
        <v/>
      </c>
      <c r="U68" s="32">
        <f>IF(OR(R68="",$D$5=""),0,IFERROR(IF(ISNUMBER(INDEX($A68:$P68,$D$5)),INDEX($A68:$P68,$D$5),TIMEVALUE(INDEX($A68:$P68,$D$5)))*Inputs!$C$22,0))</f>
        <v/>
      </c>
    </row>
    <row r="69">
      <c r="R69" s="17">
        <f>IF($D$4="","",IF(INDEX($A69:$P69,$D$4)="","",IF(ISNUMBER(INDEX($A69:$P69,$D$4)),INDEX($A69:$P69,$D$4),IFERROR(DATEVALUE(INDEX($A69:$P69,$D$4)),""))))</f>
        <v/>
      </c>
      <c r="S69">
        <f>IF(OR(R69="",$D$6=""),"",IF(LEFT(INDEX($A69:$P69,$D$6),LEN(Inputs!$C$24))=Inputs!$C$24,INDEX($A69:$P69,$D$6),""))</f>
        <v/>
      </c>
      <c r="T69">
        <f>IF(OR(R69="",$D$7=""),"",TRIM(IFERROR(LEFT(INDEX($A69:$P69,$D$7),FIND(",",INDEX($A69:$P69,$D$7))-1),INDEX($A69:$P69,$D$7))))</f>
        <v/>
      </c>
      <c r="U69" s="32">
        <f>IF(OR(R69="",$D$5=""),0,IFERROR(IF(ISNUMBER(INDEX($A69:$P69,$D$5)),INDEX($A69:$P69,$D$5),TIMEVALUE(INDEX($A69:$P69,$D$5)))*Inputs!$C$22,0))</f>
        <v/>
      </c>
    </row>
    <row r="70">
      <c r="R70" s="17">
        <f>IF($D$4="","",IF(INDEX($A70:$P70,$D$4)="","",IF(ISNUMBER(INDEX($A70:$P70,$D$4)),INDEX($A70:$P70,$D$4),IFERROR(DATEVALUE(INDEX($A70:$P70,$D$4)),""))))</f>
        <v/>
      </c>
      <c r="S70">
        <f>IF(OR(R70="",$D$6=""),"",IF(LEFT(INDEX($A70:$P70,$D$6),LEN(Inputs!$C$24))=Inputs!$C$24,INDEX($A70:$P70,$D$6),""))</f>
        <v/>
      </c>
      <c r="T70">
        <f>IF(OR(R70="",$D$7=""),"",TRIM(IFERROR(LEFT(INDEX($A70:$P70,$D$7),FIND(",",INDEX($A70:$P70,$D$7))-1),INDEX($A70:$P70,$D$7))))</f>
        <v/>
      </c>
      <c r="U70" s="32">
        <f>IF(OR(R70="",$D$5=""),0,IFERROR(IF(ISNUMBER(INDEX($A70:$P70,$D$5)),INDEX($A70:$P70,$D$5),TIMEVALUE(INDEX($A70:$P70,$D$5)))*Inputs!$C$22,0))</f>
        <v/>
      </c>
    </row>
    <row r="71">
      <c r="R71" s="17">
        <f>IF($D$4="","",IF(INDEX($A71:$P71,$D$4)="","",IF(ISNUMBER(INDEX($A71:$P71,$D$4)),INDEX($A71:$P71,$D$4),IFERROR(DATEVALUE(INDEX($A71:$P71,$D$4)),""))))</f>
        <v/>
      </c>
      <c r="S71">
        <f>IF(OR(R71="",$D$6=""),"",IF(LEFT(INDEX($A71:$P71,$D$6),LEN(Inputs!$C$24))=Inputs!$C$24,INDEX($A71:$P71,$D$6),""))</f>
        <v/>
      </c>
      <c r="T71">
        <f>IF(OR(R71="",$D$7=""),"",TRIM(IFERROR(LEFT(INDEX($A71:$P71,$D$7),FIND(",",INDEX($A71:$P71,$D$7))-1),INDEX($A71:$P71,$D$7))))</f>
        <v/>
      </c>
      <c r="U71" s="32">
        <f>IF(OR(R71="",$D$5=""),0,IFERROR(IF(ISNUMBER(INDEX($A71:$P71,$D$5)),INDEX($A71:$P71,$D$5),TIMEVALUE(INDEX($A71:$P71,$D$5)))*Inputs!$C$22,0))</f>
        <v/>
      </c>
    </row>
    <row r="72">
      <c r="R72" s="17">
        <f>IF($D$4="","",IF(INDEX($A72:$P72,$D$4)="","",IF(ISNUMBER(INDEX($A72:$P72,$D$4)),INDEX($A72:$P72,$D$4),IFERROR(DATEVALUE(INDEX($A72:$P72,$D$4)),""))))</f>
        <v/>
      </c>
      <c r="S72">
        <f>IF(OR(R72="",$D$6=""),"",IF(LEFT(INDEX($A72:$P72,$D$6),LEN(Inputs!$C$24))=Inputs!$C$24,INDEX($A72:$P72,$D$6),""))</f>
        <v/>
      </c>
      <c r="T72">
        <f>IF(OR(R72="",$D$7=""),"",TRIM(IFERROR(LEFT(INDEX($A72:$P72,$D$7),FIND(",",INDEX($A72:$P72,$D$7))-1),INDEX($A72:$P72,$D$7))))</f>
        <v/>
      </c>
      <c r="U72" s="32">
        <f>IF(OR(R72="",$D$5=""),0,IFERROR(IF(ISNUMBER(INDEX($A72:$P72,$D$5)),INDEX($A72:$P72,$D$5),TIMEVALUE(INDEX($A72:$P72,$D$5)))*Inputs!$C$22,0))</f>
        <v/>
      </c>
    </row>
    <row r="73">
      <c r="R73" s="17">
        <f>IF($D$4="","",IF(INDEX($A73:$P73,$D$4)="","",IF(ISNUMBER(INDEX($A73:$P73,$D$4)),INDEX($A73:$P73,$D$4),IFERROR(DATEVALUE(INDEX($A73:$P73,$D$4)),""))))</f>
        <v/>
      </c>
      <c r="S73">
        <f>IF(OR(R73="",$D$6=""),"",IF(LEFT(INDEX($A73:$P73,$D$6),LEN(Inputs!$C$24))=Inputs!$C$24,INDEX($A73:$P73,$D$6),""))</f>
        <v/>
      </c>
      <c r="T73">
        <f>IF(OR(R73="",$D$7=""),"",TRIM(IFERROR(LEFT(INDEX($A73:$P73,$D$7),FIND(",",INDEX($A73:$P73,$D$7))-1),INDEX($A73:$P73,$D$7))))</f>
        <v/>
      </c>
      <c r="U73" s="32">
        <f>IF(OR(R73="",$D$5=""),0,IFERROR(IF(ISNUMBER(INDEX($A73:$P73,$D$5)),INDEX($A73:$P73,$D$5),TIMEVALUE(INDEX($A73:$P73,$D$5)))*Inputs!$C$22,0))</f>
        <v/>
      </c>
    </row>
    <row r="74">
      <c r="R74" s="17">
        <f>IF($D$4="","",IF(INDEX($A74:$P74,$D$4)="","",IF(ISNUMBER(INDEX($A74:$P74,$D$4)),INDEX($A74:$P74,$D$4),IFERROR(DATEVALUE(INDEX($A74:$P74,$D$4)),""))))</f>
        <v/>
      </c>
      <c r="S74">
        <f>IF(OR(R74="",$D$6=""),"",IF(LEFT(INDEX($A74:$P74,$D$6),LEN(Inputs!$C$24))=Inputs!$C$24,INDEX($A74:$P74,$D$6),""))</f>
        <v/>
      </c>
      <c r="T74">
        <f>IF(OR(R74="",$D$7=""),"",TRIM(IFERROR(LEFT(INDEX($A74:$P74,$D$7),FIND(",",INDEX($A74:$P74,$D$7))-1),INDEX($A74:$P74,$D$7))))</f>
        <v/>
      </c>
      <c r="U74" s="32">
        <f>IF(OR(R74="",$D$5=""),0,IFERROR(IF(ISNUMBER(INDEX($A74:$P74,$D$5)),INDEX($A74:$P74,$D$5),TIMEVALUE(INDEX($A74:$P74,$D$5)))*Inputs!$C$22,0))</f>
        <v/>
      </c>
    </row>
    <row r="75">
      <c r="R75" s="17">
        <f>IF($D$4="","",IF(INDEX($A75:$P75,$D$4)="","",IF(ISNUMBER(INDEX($A75:$P75,$D$4)),INDEX($A75:$P75,$D$4),IFERROR(DATEVALUE(INDEX($A75:$P75,$D$4)),""))))</f>
        <v/>
      </c>
      <c r="S75">
        <f>IF(OR(R75="",$D$6=""),"",IF(LEFT(INDEX($A75:$P75,$D$6),LEN(Inputs!$C$24))=Inputs!$C$24,INDEX($A75:$P75,$D$6),""))</f>
        <v/>
      </c>
      <c r="T75">
        <f>IF(OR(R75="",$D$7=""),"",TRIM(IFERROR(LEFT(INDEX($A75:$P75,$D$7),FIND(",",INDEX($A75:$P75,$D$7))-1),INDEX($A75:$P75,$D$7))))</f>
        <v/>
      </c>
      <c r="U75" s="32">
        <f>IF(OR(R75="",$D$5=""),0,IFERROR(IF(ISNUMBER(INDEX($A75:$P75,$D$5)),INDEX($A75:$P75,$D$5),TIMEVALUE(INDEX($A75:$P75,$D$5)))*Inputs!$C$22,0))</f>
        <v/>
      </c>
    </row>
    <row r="76">
      <c r="R76" s="17">
        <f>IF($D$4="","",IF(INDEX($A76:$P76,$D$4)="","",IF(ISNUMBER(INDEX($A76:$P76,$D$4)),INDEX($A76:$P76,$D$4),IFERROR(DATEVALUE(INDEX($A76:$P76,$D$4)),""))))</f>
        <v/>
      </c>
      <c r="S76">
        <f>IF(OR(R76="",$D$6=""),"",IF(LEFT(INDEX($A76:$P76,$D$6),LEN(Inputs!$C$24))=Inputs!$C$24,INDEX($A76:$P76,$D$6),""))</f>
        <v/>
      </c>
      <c r="T76">
        <f>IF(OR(R76="",$D$7=""),"",TRIM(IFERROR(LEFT(INDEX($A76:$P76,$D$7),FIND(",",INDEX($A76:$P76,$D$7))-1),INDEX($A76:$P76,$D$7))))</f>
        <v/>
      </c>
      <c r="U76" s="32">
        <f>IF(OR(R76="",$D$5=""),0,IFERROR(IF(ISNUMBER(INDEX($A76:$P76,$D$5)),INDEX($A76:$P76,$D$5),TIMEVALUE(INDEX($A76:$P76,$D$5)))*Inputs!$C$22,0))</f>
        <v/>
      </c>
    </row>
    <row r="77">
      <c r="R77" s="17">
        <f>IF($D$4="","",IF(INDEX($A77:$P77,$D$4)="","",IF(ISNUMBER(INDEX($A77:$P77,$D$4)),INDEX($A77:$P77,$D$4),IFERROR(DATEVALUE(INDEX($A77:$P77,$D$4)),""))))</f>
        <v/>
      </c>
      <c r="S77">
        <f>IF(OR(R77="",$D$6=""),"",IF(LEFT(INDEX($A77:$P77,$D$6),LEN(Inputs!$C$24))=Inputs!$C$24,INDEX($A77:$P77,$D$6),""))</f>
        <v/>
      </c>
      <c r="T77">
        <f>IF(OR(R77="",$D$7=""),"",TRIM(IFERROR(LEFT(INDEX($A77:$P77,$D$7),FIND(",",INDEX($A77:$P77,$D$7))-1),INDEX($A77:$P77,$D$7))))</f>
        <v/>
      </c>
      <c r="U77" s="32">
        <f>IF(OR(R77="",$D$5=""),0,IFERROR(IF(ISNUMBER(INDEX($A77:$P77,$D$5)),INDEX($A77:$P77,$D$5),TIMEVALUE(INDEX($A77:$P77,$D$5)))*Inputs!$C$22,0))</f>
        <v/>
      </c>
    </row>
    <row r="78">
      <c r="R78" s="17">
        <f>IF($D$4="","",IF(INDEX($A78:$P78,$D$4)="","",IF(ISNUMBER(INDEX($A78:$P78,$D$4)),INDEX($A78:$P78,$D$4),IFERROR(DATEVALUE(INDEX($A78:$P78,$D$4)),""))))</f>
        <v/>
      </c>
      <c r="S78">
        <f>IF(OR(R78="",$D$6=""),"",IF(LEFT(INDEX($A78:$P78,$D$6),LEN(Inputs!$C$24))=Inputs!$C$24,INDEX($A78:$P78,$D$6),""))</f>
        <v/>
      </c>
      <c r="T78">
        <f>IF(OR(R78="",$D$7=""),"",TRIM(IFERROR(LEFT(INDEX($A78:$P78,$D$7),FIND(",",INDEX($A78:$P78,$D$7))-1),INDEX($A78:$P78,$D$7))))</f>
        <v/>
      </c>
      <c r="U78" s="32">
        <f>IF(OR(R78="",$D$5=""),0,IFERROR(IF(ISNUMBER(INDEX($A78:$P78,$D$5)),INDEX($A78:$P78,$D$5),TIMEVALUE(INDEX($A78:$P78,$D$5)))*Inputs!$C$22,0))</f>
        <v/>
      </c>
    </row>
    <row r="79">
      <c r="R79" s="17">
        <f>IF($D$4="","",IF(INDEX($A79:$P79,$D$4)="","",IF(ISNUMBER(INDEX($A79:$P79,$D$4)),INDEX($A79:$P79,$D$4),IFERROR(DATEVALUE(INDEX($A79:$P79,$D$4)),""))))</f>
        <v/>
      </c>
      <c r="S79">
        <f>IF(OR(R79="",$D$6=""),"",IF(LEFT(INDEX($A79:$P79,$D$6),LEN(Inputs!$C$24))=Inputs!$C$24,INDEX($A79:$P79,$D$6),""))</f>
        <v/>
      </c>
      <c r="T79">
        <f>IF(OR(R79="",$D$7=""),"",TRIM(IFERROR(LEFT(INDEX($A79:$P79,$D$7),FIND(",",INDEX($A79:$P79,$D$7))-1),INDEX($A79:$P79,$D$7))))</f>
        <v/>
      </c>
      <c r="U79" s="32">
        <f>IF(OR(R79="",$D$5=""),0,IFERROR(IF(ISNUMBER(INDEX($A79:$P79,$D$5)),INDEX($A79:$P79,$D$5),TIMEVALUE(INDEX($A79:$P79,$D$5)))*Inputs!$C$22,0))</f>
        <v/>
      </c>
    </row>
    <row r="80">
      <c r="R80" s="17">
        <f>IF($D$4="","",IF(INDEX($A80:$P80,$D$4)="","",IF(ISNUMBER(INDEX($A80:$P80,$D$4)),INDEX($A80:$P80,$D$4),IFERROR(DATEVALUE(INDEX($A80:$P80,$D$4)),""))))</f>
        <v/>
      </c>
      <c r="S80">
        <f>IF(OR(R80="",$D$6=""),"",IF(LEFT(INDEX($A80:$P80,$D$6),LEN(Inputs!$C$24))=Inputs!$C$24,INDEX($A80:$P80,$D$6),""))</f>
        <v/>
      </c>
      <c r="T80">
        <f>IF(OR(R80="",$D$7=""),"",TRIM(IFERROR(LEFT(INDEX($A80:$P80,$D$7),FIND(",",INDEX($A80:$P80,$D$7))-1),INDEX($A80:$P80,$D$7))))</f>
        <v/>
      </c>
      <c r="U80" s="32">
        <f>IF(OR(R80="",$D$5=""),0,IFERROR(IF(ISNUMBER(INDEX($A80:$P80,$D$5)),INDEX($A80:$P80,$D$5),TIMEVALUE(INDEX($A80:$P80,$D$5)))*Inputs!$C$22,0))</f>
        <v/>
      </c>
    </row>
    <row r="81">
      <c r="R81" s="17">
        <f>IF($D$4="","",IF(INDEX($A81:$P81,$D$4)="","",IF(ISNUMBER(INDEX($A81:$P81,$D$4)),INDEX($A81:$P81,$D$4),IFERROR(DATEVALUE(INDEX($A81:$P81,$D$4)),""))))</f>
        <v/>
      </c>
      <c r="S81">
        <f>IF(OR(R81="",$D$6=""),"",IF(LEFT(INDEX($A81:$P81,$D$6),LEN(Inputs!$C$24))=Inputs!$C$24,INDEX($A81:$P81,$D$6),""))</f>
        <v/>
      </c>
      <c r="T81">
        <f>IF(OR(R81="",$D$7=""),"",TRIM(IFERROR(LEFT(INDEX($A81:$P81,$D$7),FIND(",",INDEX($A81:$P81,$D$7))-1),INDEX($A81:$P81,$D$7))))</f>
        <v/>
      </c>
      <c r="U81" s="32">
        <f>IF(OR(R81="",$D$5=""),0,IFERROR(IF(ISNUMBER(INDEX($A81:$P81,$D$5)),INDEX($A81:$P81,$D$5),TIMEVALUE(INDEX($A81:$P81,$D$5)))*Inputs!$C$22,0))</f>
        <v/>
      </c>
    </row>
    <row r="82">
      <c r="R82" s="17">
        <f>IF($D$4="","",IF(INDEX($A82:$P82,$D$4)="","",IF(ISNUMBER(INDEX($A82:$P82,$D$4)),INDEX($A82:$P82,$D$4),IFERROR(DATEVALUE(INDEX($A82:$P82,$D$4)),""))))</f>
        <v/>
      </c>
      <c r="S82">
        <f>IF(OR(R82="",$D$6=""),"",IF(LEFT(INDEX($A82:$P82,$D$6),LEN(Inputs!$C$24))=Inputs!$C$24,INDEX($A82:$P82,$D$6),""))</f>
        <v/>
      </c>
      <c r="T82">
        <f>IF(OR(R82="",$D$7=""),"",TRIM(IFERROR(LEFT(INDEX($A82:$P82,$D$7),FIND(",",INDEX($A82:$P82,$D$7))-1),INDEX($A82:$P82,$D$7))))</f>
        <v/>
      </c>
      <c r="U82" s="32">
        <f>IF(OR(R82="",$D$5=""),0,IFERROR(IF(ISNUMBER(INDEX($A82:$P82,$D$5)),INDEX($A82:$P82,$D$5),TIMEVALUE(INDEX($A82:$P82,$D$5)))*Inputs!$C$22,0))</f>
        <v/>
      </c>
    </row>
    <row r="83">
      <c r="R83" s="17">
        <f>IF($D$4="","",IF(INDEX($A83:$P83,$D$4)="","",IF(ISNUMBER(INDEX($A83:$P83,$D$4)),INDEX($A83:$P83,$D$4),IFERROR(DATEVALUE(INDEX($A83:$P83,$D$4)),""))))</f>
        <v/>
      </c>
      <c r="S83">
        <f>IF(OR(R83="",$D$6=""),"",IF(LEFT(INDEX($A83:$P83,$D$6),LEN(Inputs!$C$24))=Inputs!$C$24,INDEX($A83:$P83,$D$6),""))</f>
        <v/>
      </c>
      <c r="T83">
        <f>IF(OR(R83="",$D$7=""),"",TRIM(IFERROR(LEFT(INDEX($A83:$P83,$D$7),FIND(",",INDEX($A83:$P83,$D$7))-1),INDEX($A83:$P83,$D$7))))</f>
        <v/>
      </c>
      <c r="U83" s="32">
        <f>IF(OR(R83="",$D$5=""),0,IFERROR(IF(ISNUMBER(INDEX($A83:$P83,$D$5)),INDEX($A83:$P83,$D$5),TIMEVALUE(INDEX($A83:$P83,$D$5)))*Inputs!$C$22,0))</f>
        <v/>
      </c>
    </row>
    <row r="84">
      <c r="R84" s="17">
        <f>IF($D$4="","",IF(INDEX($A84:$P84,$D$4)="","",IF(ISNUMBER(INDEX($A84:$P84,$D$4)),INDEX($A84:$P84,$D$4),IFERROR(DATEVALUE(INDEX($A84:$P84,$D$4)),""))))</f>
        <v/>
      </c>
      <c r="S84">
        <f>IF(OR(R84="",$D$6=""),"",IF(LEFT(INDEX($A84:$P84,$D$6),LEN(Inputs!$C$24))=Inputs!$C$24,INDEX($A84:$P84,$D$6),""))</f>
        <v/>
      </c>
      <c r="T84">
        <f>IF(OR(R84="",$D$7=""),"",TRIM(IFERROR(LEFT(INDEX($A84:$P84,$D$7),FIND(",",INDEX($A84:$P84,$D$7))-1),INDEX($A84:$P84,$D$7))))</f>
        <v/>
      </c>
      <c r="U84" s="32">
        <f>IF(OR(R84="",$D$5=""),0,IFERROR(IF(ISNUMBER(INDEX($A84:$P84,$D$5)),INDEX($A84:$P84,$D$5),TIMEVALUE(INDEX($A84:$P84,$D$5)))*Inputs!$C$22,0))</f>
        <v/>
      </c>
    </row>
    <row r="85">
      <c r="R85" s="17">
        <f>IF($D$4="","",IF(INDEX($A85:$P85,$D$4)="","",IF(ISNUMBER(INDEX($A85:$P85,$D$4)),INDEX($A85:$P85,$D$4),IFERROR(DATEVALUE(INDEX($A85:$P85,$D$4)),""))))</f>
        <v/>
      </c>
      <c r="S85">
        <f>IF(OR(R85="",$D$6=""),"",IF(LEFT(INDEX($A85:$P85,$D$6),LEN(Inputs!$C$24))=Inputs!$C$24,INDEX($A85:$P85,$D$6),""))</f>
        <v/>
      </c>
      <c r="T85">
        <f>IF(OR(R85="",$D$7=""),"",TRIM(IFERROR(LEFT(INDEX($A85:$P85,$D$7),FIND(",",INDEX($A85:$P85,$D$7))-1),INDEX($A85:$P85,$D$7))))</f>
        <v/>
      </c>
      <c r="U85" s="32">
        <f>IF(OR(R85="",$D$5=""),0,IFERROR(IF(ISNUMBER(INDEX($A85:$P85,$D$5)),INDEX($A85:$P85,$D$5),TIMEVALUE(INDEX($A85:$P85,$D$5)))*Inputs!$C$22,0))</f>
        <v/>
      </c>
    </row>
    <row r="86">
      <c r="R86" s="17">
        <f>IF($D$4="","",IF(INDEX($A86:$P86,$D$4)="","",IF(ISNUMBER(INDEX($A86:$P86,$D$4)),INDEX($A86:$P86,$D$4),IFERROR(DATEVALUE(INDEX($A86:$P86,$D$4)),""))))</f>
        <v/>
      </c>
      <c r="S86">
        <f>IF(OR(R86="",$D$6=""),"",IF(LEFT(INDEX($A86:$P86,$D$6),LEN(Inputs!$C$24))=Inputs!$C$24,INDEX($A86:$P86,$D$6),""))</f>
        <v/>
      </c>
      <c r="T86">
        <f>IF(OR(R86="",$D$7=""),"",TRIM(IFERROR(LEFT(INDEX($A86:$P86,$D$7),FIND(",",INDEX($A86:$P86,$D$7))-1),INDEX($A86:$P86,$D$7))))</f>
        <v/>
      </c>
      <c r="U86" s="32">
        <f>IF(OR(R86="",$D$5=""),0,IFERROR(IF(ISNUMBER(INDEX($A86:$P86,$D$5)),INDEX($A86:$P86,$D$5),TIMEVALUE(INDEX($A86:$P86,$D$5)))*Inputs!$C$22,0))</f>
        <v/>
      </c>
    </row>
    <row r="87">
      <c r="R87" s="17">
        <f>IF($D$4="","",IF(INDEX($A87:$P87,$D$4)="","",IF(ISNUMBER(INDEX($A87:$P87,$D$4)),INDEX($A87:$P87,$D$4),IFERROR(DATEVALUE(INDEX($A87:$P87,$D$4)),""))))</f>
        <v/>
      </c>
      <c r="S87">
        <f>IF(OR(R87="",$D$6=""),"",IF(LEFT(INDEX($A87:$P87,$D$6),LEN(Inputs!$C$24))=Inputs!$C$24,INDEX($A87:$P87,$D$6),""))</f>
        <v/>
      </c>
      <c r="T87">
        <f>IF(OR(R87="",$D$7=""),"",TRIM(IFERROR(LEFT(INDEX($A87:$P87,$D$7),FIND(",",INDEX($A87:$P87,$D$7))-1),INDEX($A87:$P87,$D$7))))</f>
        <v/>
      </c>
      <c r="U87" s="32">
        <f>IF(OR(R87="",$D$5=""),0,IFERROR(IF(ISNUMBER(INDEX($A87:$P87,$D$5)),INDEX($A87:$P87,$D$5),TIMEVALUE(INDEX($A87:$P87,$D$5)))*Inputs!$C$22,0))</f>
        <v/>
      </c>
    </row>
    <row r="88">
      <c r="R88" s="17">
        <f>IF($D$4="","",IF(INDEX($A88:$P88,$D$4)="","",IF(ISNUMBER(INDEX($A88:$P88,$D$4)),INDEX($A88:$P88,$D$4),IFERROR(DATEVALUE(INDEX($A88:$P88,$D$4)),""))))</f>
        <v/>
      </c>
      <c r="S88">
        <f>IF(OR(R88="",$D$6=""),"",IF(LEFT(INDEX($A88:$P88,$D$6),LEN(Inputs!$C$24))=Inputs!$C$24,INDEX($A88:$P88,$D$6),""))</f>
        <v/>
      </c>
      <c r="T88">
        <f>IF(OR(R88="",$D$7=""),"",TRIM(IFERROR(LEFT(INDEX($A88:$P88,$D$7),FIND(",",INDEX($A88:$P88,$D$7))-1),INDEX($A88:$P88,$D$7))))</f>
        <v/>
      </c>
      <c r="U88" s="32">
        <f>IF(OR(R88="",$D$5=""),0,IFERROR(IF(ISNUMBER(INDEX($A88:$P88,$D$5)),INDEX($A88:$P88,$D$5),TIMEVALUE(INDEX($A88:$P88,$D$5)))*Inputs!$C$22,0))</f>
        <v/>
      </c>
    </row>
    <row r="89">
      <c r="R89" s="17">
        <f>IF($D$4="","",IF(INDEX($A89:$P89,$D$4)="","",IF(ISNUMBER(INDEX($A89:$P89,$D$4)),INDEX($A89:$P89,$D$4),IFERROR(DATEVALUE(INDEX($A89:$P89,$D$4)),""))))</f>
        <v/>
      </c>
      <c r="S89">
        <f>IF(OR(R89="",$D$6=""),"",IF(LEFT(INDEX($A89:$P89,$D$6),LEN(Inputs!$C$24))=Inputs!$C$24,INDEX($A89:$P89,$D$6),""))</f>
        <v/>
      </c>
      <c r="T89">
        <f>IF(OR(R89="",$D$7=""),"",TRIM(IFERROR(LEFT(INDEX($A89:$P89,$D$7),FIND(",",INDEX($A89:$P89,$D$7))-1),INDEX($A89:$P89,$D$7))))</f>
        <v/>
      </c>
      <c r="U89" s="32">
        <f>IF(OR(R89="",$D$5=""),0,IFERROR(IF(ISNUMBER(INDEX($A89:$P89,$D$5)),INDEX($A89:$P89,$D$5),TIMEVALUE(INDEX($A89:$P89,$D$5)))*Inputs!$C$22,0))</f>
        <v/>
      </c>
    </row>
    <row r="90">
      <c r="R90" s="17">
        <f>IF($D$4="","",IF(INDEX($A90:$P90,$D$4)="","",IF(ISNUMBER(INDEX($A90:$P90,$D$4)),INDEX($A90:$P90,$D$4),IFERROR(DATEVALUE(INDEX($A90:$P90,$D$4)),""))))</f>
        <v/>
      </c>
      <c r="S90">
        <f>IF(OR(R90="",$D$6=""),"",IF(LEFT(INDEX($A90:$P90,$D$6),LEN(Inputs!$C$24))=Inputs!$C$24,INDEX($A90:$P90,$D$6),""))</f>
        <v/>
      </c>
      <c r="T90">
        <f>IF(OR(R90="",$D$7=""),"",TRIM(IFERROR(LEFT(INDEX($A90:$P90,$D$7),FIND(",",INDEX($A90:$P90,$D$7))-1),INDEX($A90:$P90,$D$7))))</f>
        <v/>
      </c>
      <c r="U90" s="32">
        <f>IF(OR(R90="",$D$5=""),0,IFERROR(IF(ISNUMBER(INDEX($A90:$P90,$D$5)),INDEX($A90:$P90,$D$5),TIMEVALUE(INDEX($A90:$P90,$D$5)))*Inputs!$C$22,0))</f>
        <v/>
      </c>
    </row>
    <row r="91">
      <c r="R91" s="17">
        <f>IF($D$4="","",IF(INDEX($A91:$P91,$D$4)="","",IF(ISNUMBER(INDEX($A91:$P91,$D$4)),INDEX($A91:$P91,$D$4),IFERROR(DATEVALUE(INDEX($A91:$P91,$D$4)),""))))</f>
        <v/>
      </c>
      <c r="S91">
        <f>IF(OR(R91="",$D$6=""),"",IF(LEFT(INDEX($A91:$P91,$D$6),LEN(Inputs!$C$24))=Inputs!$C$24,INDEX($A91:$P91,$D$6),""))</f>
        <v/>
      </c>
      <c r="T91">
        <f>IF(OR(R91="",$D$7=""),"",TRIM(IFERROR(LEFT(INDEX($A91:$P91,$D$7),FIND(",",INDEX($A91:$P91,$D$7))-1),INDEX($A91:$P91,$D$7))))</f>
        <v/>
      </c>
      <c r="U91" s="32">
        <f>IF(OR(R91="",$D$5=""),0,IFERROR(IF(ISNUMBER(INDEX($A91:$P91,$D$5)),INDEX($A91:$P91,$D$5),TIMEVALUE(INDEX($A91:$P91,$D$5)))*Inputs!$C$22,0))</f>
        <v/>
      </c>
    </row>
    <row r="92">
      <c r="R92" s="17">
        <f>IF($D$4="","",IF(INDEX($A92:$P92,$D$4)="","",IF(ISNUMBER(INDEX($A92:$P92,$D$4)),INDEX($A92:$P92,$D$4),IFERROR(DATEVALUE(INDEX($A92:$P92,$D$4)),""))))</f>
        <v/>
      </c>
      <c r="S92">
        <f>IF(OR(R92="",$D$6=""),"",IF(LEFT(INDEX($A92:$P92,$D$6),LEN(Inputs!$C$24))=Inputs!$C$24,INDEX($A92:$P92,$D$6),""))</f>
        <v/>
      </c>
      <c r="T92">
        <f>IF(OR(R92="",$D$7=""),"",TRIM(IFERROR(LEFT(INDEX($A92:$P92,$D$7),FIND(",",INDEX($A92:$P92,$D$7))-1),INDEX($A92:$P92,$D$7))))</f>
        <v/>
      </c>
      <c r="U92" s="32">
        <f>IF(OR(R92="",$D$5=""),0,IFERROR(IF(ISNUMBER(INDEX($A92:$P92,$D$5)),INDEX($A92:$P92,$D$5),TIMEVALUE(INDEX($A92:$P92,$D$5)))*Inputs!$C$22,0))</f>
        <v/>
      </c>
    </row>
    <row r="93">
      <c r="R93" s="17">
        <f>IF($D$4="","",IF(INDEX($A93:$P93,$D$4)="","",IF(ISNUMBER(INDEX($A93:$P93,$D$4)),INDEX($A93:$P93,$D$4),IFERROR(DATEVALUE(INDEX($A93:$P93,$D$4)),""))))</f>
        <v/>
      </c>
      <c r="S93">
        <f>IF(OR(R93="",$D$6=""),"",IF(LEFT(INDEX($A93:$P93,$D$6),LEN(Inputs!$C$24))=Inputs!$C$24,INDEX($A93:$P93,$D$6),""))</f>
        <v/>
      </c>
      <c r="T93">
        <f>IF(OR(R93="",$D$7=""),"",TRIM(IFERROR(LEFT(INDEX($A93:$P93,$D$7),FIND(",",INDEX($A93:$P93,$D$7))-1),INDEX($A93:$P93,$D$7))))</f>
        <v/>
      </c>
      <c r="U93" s="32">
        <f>IF(OR(R93="",$D$5=""),0,IFERROR(IF(ISNUMBER(INDEX($A93:$P93,$D$5)),INDEX($A93:$P93,$D$5),TIMEVALUE(INDEX($A93:$P93,$D$5)))*Inputs!$C$22,0))</f>
        <v/>
      </c>
    </row>
    <row r="94">
      <c r="R94" s="17">
        <f>IF($D$4="","",IF(INDEX($A94:$P94,$D$4)="","",IF(ISNUMBER(INDEX($A94:$P94,$D$4)),INDEX($A94:$P94,$D$4),IFERROR(DATEVALUE(INDEX($A94:$P94,$D$4)),""))))</f>
        <v/>
      </c>
      <c r="S94">
        <f>IF(OR(R94="",$D$6=""),"",IF(LEFT(INDEX($A94:$P94,$D$6),LEN(Inputs!$C$24))=Inputs!$C$24,INDEX($A94:$P94,$D$6),""))</f>
        <v/>
      </c>
      <c r="T94">
        <f>IF(OR(R94="",$D$7=""),"",TRIM(IFERROR(LEFT(INDEX($A94:$P94,$D$7),FIND(",",INDEX($A94:$P94,$D$7))-1),INDEX($A94:$P94,$D$7))))</f>
        <v/>
      </c>
      <c r="U94" s="32">
        <f>IF(OR(R94="",$D$5=""),0,IFERROR(IF(ISNUMBER(INDEX($A94:$P94,$D$5)),INDEX($A94:$P94,$D$5),TIMEVALUE(INDEX($A94:$P94,$D$5)))*Inputs!$C$22,0))</f>
        <v/>
      </c>
    </row>
    <row r="95">
      <c r="R95" s="17">
        <f>IF($D$4="","",IF(INDEX($A95:$P95,$D$4)="","",IF(ISNUMBER(INDEX($A95:$P95,$D$4)),INDEX($A95:$P95,$D$4),IFERROR(DATEVALUE(INDEX($A95:$P95,$D$4)),""))))</f>
        <v/>
      </c>
      <c r="S95">
        <f>IF(OR(R95="",$D$6=""),"",IF(LEFT(INDEX($A95:$P95,$D$6),LEN(Inputs!$C$24))=Inputs!$C$24,INDEX($A95:$P95,$D$6),""))</f>
        <v/>
      </c>
      <c r="T95">
        <f>IF(OR(R95="",$D$7=""),"",TRIM(IFERROR(LEFT(INDEX($A95:$P95,$D$7),FIND(",",INDEX($A95:$P95,$D$7))-1),INDEX($A95:$P95,$D$7))))</f>
        <v/>
      </c>
      <c r="U95" s="32">
        <f>IF(OR(R95="",$D$5=""),0,IFERROR(IF(ISNUMBER(INDEX($A95:$P95,$D$5)),INDEX($A95:$P95,$D$5),TIMEVALUE(INDEX($A95:$P95,$D$5)))*Inputs!$C$22,0))</f>
        <v/>
      </c>
    </row>
    <row r="96">
      <c r="R96" s="17">
        <f>IF($D$4="","",IF(INDEX($A96:$P96,$D$4)="","",IF(ISNUMBER(INDEX($A96:$P96,$D$4)),INDEX($A96:$P96,$D$4),IFERROR(DATEVALUE(INDEX($A96:$P96,$D$4)),""))))</f>
        <v/>
      </c>
      <c r="S96">
        <f>IF(OR(R96="",$D$6=""),"",IF(LEFT(INDEX($A96:$P96,$D$6),LEN(Inputs!$C$24))=Inputs!$C$24,INDEX($A96:$P96,$D$6),""))</f>
        <v/>
      </c>
      <c r="T96">
        <f>IF(OR(R96="",$D$7=""),"",TRIM(IFERROR(LEFT(INDEX($A96:$P96,$D$7),FIND(",",INDEX($A96:$P96,$D$7))-1),INDEX($A96:$P96,$D$7))))</f>
        <v/>
      </c>
      <c r="U96" s="32">
        <f>IF(OR(R96="",$D$5=""),0,IFERROR(IF(ISNUMBER(INDEX($A96:$P96,$D$5)),INDEX($A96:$P96,$D$5),TIMEVALUE(INDEX($A96:$P96,$D$5)))*Inputs!$C$22,0))</f>
        <v/>
      </c>
    </row>
    <row r="97">
      <c r="R97" s="17">
        <f>IF($D$4="","",IF(INDEX($A97:$P97,$D$4)="","",IF(ISNUMBER(INDEX($A97:$P97,$D$4)),INDEX($A97:$P97,$D$4),IFERROR(DATEVALUE(INDEX($A97:$P97,$D$4)),""))))</f>
        <v/>
      </c>
      <c r="S97">
        <f>IF(OR(R97="",$D$6=""),"",IF(LEFT(INDEX($A97:$P97,$D$6),LEN(Inputs!$C$24))=Inputs!$C$24,INDEX($A97:$P97,$D$6),""))</f>
        <v/>
      </c>
      <c r="T97">
        <f>IF(OR(R97="",$D$7=""),"",TRIM(IFERROR(LEFT(INDEX($A97:$P97,$D$7),FIND(",",INDEX($A97:$P97,$D$7))-1),INDEX($A97:$P97,$D$7))))</f>
        <v/>
      </c>
      <c r="U97" s="32">
        <f>IF(OR(R97="",$D$5=""),0,IFERROR(IF(ISNUMBER(INDEX($A97:$P97,$D$5)),INDEX($A97:$P97,$D$5),TIMEVALUE(INDEX($A97:$P97,$D$5)))*Inputs!$C$22,0))</f>
        <v/>
      </c>
    </row>
    <row r="98">
      <c r="R98" s="17">
        <f>IF($D$4="","",IF(INDEX($A98:$P98,$D$4)="","",IF(ISNUMBER(INDEX($A98:$P98,$D$4)),INDEX($A98:$P98,$D$4),IFERROR(DATEVALUE(INDEX($A98:$P98,$D$4)),""))))</f>
        <v/>
      </c>
      <c r="S98">
        <f>IF(OR(R98="",$D$6=""),"",IF(LEFT(INDEX($A98:$P98,$D$6),LEN(Inputs!$C$24))=Inputs!$C$24,INDEX($A98:$P98,$D$6),""))</f>
        <v/>
      </c>
      <c r="T98">
        <f>IF(OR(R98="",$D$7=""),"",TRIM(IFERROR(LEFT(INDEX($A98:$P98,$D$7),FIND(",",INDEX($A98:$P98,$D$7))-1),INDEX($A98:$P98,$D$7))))</f>
        <v/>
      </c>
      <c r="U98" s="32">
        <f>IF(OR(R98="",$D$5=""),0,IFERROR(IF(ISNUMBER(INDEX($A98:$P98,$D$5)),INDEX($A98:$P98,$D$5),TIMEVALUE(INDEX($A98:$P98,$D$5)))*Inputs!$C$22,0))</f>
        <v/>
      </c>
    </row>
    <row r="99">
      <c r="R99" s="17">
        <f>IF($D$4="","",IF(INDEX($A99:$P99,$D$4)="","",IF(ISNUMBER(INDEX($A99:$P99,$D$4)),INDEX($A99:$P99,$D$4),IFERROR(DATEVALUE(INDEX($A99:$P99,$D$4)),""))))</f>
        <v/>
      </c>
      <c r="S99">
        <f>IF(OR(R99="",$D$6=""),"",IF(LEFT(INDEX($A99:$P99,$D$6),LEN(Inputs!$C$24))=Inputs!$C$24,INDEX($A99:$P99,$D$6),""))</f>
        <v/>
      </c>
      <c r="T99">
        <f>IF(OR(R99="",$D$7=""),"",TRIM(IFERROR(LEFT(INDEX($A99:$P99,$D$7),FIND(",",INDEX($A99:$P99,$D$7))-1),INDEX($A99:$P99,$D$7))))</f>
        <v/>
      </c>
      <c r="U99" s="32">
        <f>IF(OR(R99="",$D$5=""),0,IFERROR(IF(ISNUMBER(INDEX($A99:$P99,$D$5)),INDEX($A99:$P99,$D$5),TIMEVALUE(INDEX($A99:$P99,$D$5)))*Inputs!$C$22,0))</f>
        <v/>
      </c>
    </row>
    <row r="100">
      <c r="R100" s="17">
        <f>IF($D$4="","",IF(INDEX($A100:$P100,$D$4)="","",IF(ISNUMBER(INDEX($A100:$P100,$D$4)),INDEX($A100:$P100,$D$4),IFERROR(DATEVALUE(INDEX($A100:$P100,$D$4)),""))))</f>
        <v/>
      </c>
      <c r="S100">
        <f>IF(OR(R100="",$D$6=""),"",IF(LEFT(INDEX($A100:$P100,$D$6),LEN(Inputs!$C$24))=Inputs!$C$24,INDEX($A100:$P100,$D$6),""))</f>
        <v/>
      </c>
      <c r="T100">
        <f>IF(OR(R100="",$D$7=""),"",TRIM(IFERROR(LEFT(INDEX($A100:$P100,$D$7),FIND(",",INDEX($A100:$P100,$D$7))-1),INDEX($A100:$P100,$D$7))))</f>
        <v/>
      </c>
      <c r="U100" s="32">
        <f>IF(OR(R100="",$D$5=""),0,IFERROR(IF(ISNUMBER(INDEX($A100:$P100,$D$5)),INDEX($A100:$P100,$D$5),TIMEVALUE(INDEX($A100:$P100,$D$5)))*Inputs!$C$22,0))</f>
        <v/>
      </c>
    </row>
    <row r="101">
      <c r="R101" s="17">
        <f>IF($D$4="","",IF(INDEX($A101:$P101,$D$4)="","",IF(ISNUMBER(INDEX($A101:$P101,$D$4)),INDEX($A101:$P101,$D$4),IFERROR(DATEVALUE(INDEX($A101:$P101,$D$4)),""))))</f>
        <v/>
      </c>
      <c r="S101">
        <f>IF(OR(R101="",$D$6=""),"",IF(LEFT(INDEX($A101:$P101,$D$6),LEN(Inputs!$C$24))=Inputs!$C$24,INDEX($A101:$P101,$D$6),""))</f>
        <v/>
      </c>
      <c r="T101">
        <f>IF(OR(R101="",$D$7=""),"",TRIM(IFERROR(LEFT(INDEX($A101:$P101,$D$7),FIND(",",INDEX($A101:$P101,$D$7))-1),INDEX($A101:$P101,$D$7))))</f>
        <v/>
      </c>
      <c r="U101" s="32">
        <f>IF(OR(R101="",$D$5=""),0,IFERROR(IF(ISNUMBER(INDEX($A101:$P101,$D$5)),INDEX($A101:$P101,$D$5),TIMEVALUE(INDEX($A101:$P101,$D$5)))*Inputs!$C$22,0))</f>
        <v/>
      </c>
    </row>
    <row r="102">
      <c r="R102" s="17">
        <f>IF($D$4="","",IF(INDEX($A102:$P102,$D$4)="","",IF(ISNUMBER(INDEX($A102:$P102,$D$4)),INDEX($A102:$P102,$D$4),IFERROR(DATEVALUE(INDEX($A102:$P102,$D$4)),""))))</f>
        <v/>
      </c>
      <c r="S102">
        <f>IF(OR(R102="",$D$6=""),"",IF(LEFT(INDEX($A102:$P102,$D$6),LEN(Inputs!$C$24))=Inputs!$C$24,INDEX($A102:$P102,$D$6),""))</f>
        <v/>
      </c>
      <c r="T102">
        <f>IF(OR(R102="",$D$7=""),"",TRIM(IFERROR(LEFT(INDEX($A102:$P102,$D$7),FIND(",",INDEX($A102:$P102,$D$7))-1),INDEX($A102:$P102,$D$7))))</f>
        <v/>
      </c>
      <c r="U102" s="32">
        <f>IF(OR(R102="",$D$5=""),0,IFERROR(IF(ISNUMBER(INDEX($A102:$P102,$D$5)),INDEX($A102:$P102,$D$5),TIMEVALUE(INDEX($A102:$P102,$D$5)))*Inputs!$C$22,0))</f>
        <v/>
      </c>
    </row>
    <row r="103">
      <c r="R103" s="17">
        <f>IF($D$4="","",IF(INDEX($A103:$P103,$D$4)="","",IF(ISNUMBER(INDEX($A103:$P103,$D$4)),INDEX($A103:$P103,$D$4),IFERROR(DATEVALUE(INDEX($A103:$P103,$D$4)),""))))</f>
        <v/>
      </c>
      <c r="S103">
        <f>IF(OR(R103="",$D$6=""),"",IF(LEFT(INDEX($A103:$P103,$D$6),LEN(Inputs!$C$24))=Inputs!$C$24,INDEX($A103:$P103,$D$6),""))</f>
        <v/>
      </c>
      <c r="T103">
        <f>IF(OR(R103="",$D$7=""),"",TRIM(IFERROR(LEFT(INDEX($A103:$P103,$D$7),FIND(",",INDEX($A103:$P103,$D$7))-1),INDEX($A103:$P103,$D$7))))</f>
        <v/>
      </c>
      <c r="U103" s="32">
        <f>IF(OR(R103="",$D$5=""),0,IFERROR(IF(ISNUMBER(INDEX($A103:$P103,$D$5)),INDEX($A103:$P103,$D$5),TIMEVALUE(INDEX($A103:$P103,$D$5)))*Inputs!$C$22,0))</f>
        <v/>
      </c>
    </row>
    <row r="104">
      <c r="R104" s="17">
        <f>IF($D$4="","",IF(INDEX($A104:$P104,$D$4)="","",IF(ISNUMBER(INDEX($A104:$P104,$D$4)),INDEX($A104:$P104,$D$4),IFERROR(DATEVALUE(INDEX($A104:$P104,$D$4)),""))))</f>
        <v/>
      </c>
      <c r="S104">
        <f>IF(OR(R104="",$D$6=""),"",IF(LEFT(INDEX($A104:$P104,$D$6),LEN(Inputs!$C$24))=Inputs!$C$24,INDEX($A104:$P104,$D$6),""))</f>
        <v/>
      </c>
      <c r="T104">
        <f>IF(OR(R104="",$D$7=""),"",TRIM(IFERROR(LEFT(INDEX($A104:$P104,$D$7),FIND(",",INDEX($A104:$P104,$D$7))-1),INDEX($A104:$P104,$D$7))))</f>
        <v/>
      </c>
      <c r="U104" s="32">
        <f>IF(OR(R104="",$D$5=""),0,IFERROR(IF(ISNUMBER(INDEX($A104:$P104,$D$5)),INDEX($A104:$P104,$D$5),TIMEVALUE(INDEX($A104:$P104,$D$5)))*Inputs!$C$22,0))</f>
        <v/>
      </c>
    </row>
    <row r="105">
      <c r="R105" s="17">
        <f>IF($D$4="","",IF(INDEX($A105:$P105,$D$4)="","",IF(ISNUMBER(INDEX($A105:$P105,$D$4)),INDEX($A105:$P105,$D$4),IFERROR(DATEVALUE(INDEX($A105:$P105,$D$4)),""))))</f>
        <v/>
      </c>
      <c r="S105">
        <f>IF(OR(R105="",$D$6=""),"",IF(LEFT(INDEX($A105:$P105,$D$6),LEN(Inputs!$C$24))=Inputs!$C$24,INDEX($A105:$P105,$D$6),""))</f>
        <v/>
      </c>
      <c r="T105">
        <f>IF(OR(R105="",$D$7=""),"",TRIM(IFERROR(LEFT(INDEX($A105:$P105,$D$7),FIND(",",INDEX($A105:$P105,$D$7))-1),INDEX($A105:$P105,$D$7))))</f>
        <v/>
      </c>
      <c r="U105" s="32">
        <f>IF(OR(R105="",$D$5=""),0,IFERROR(IF(ISNUMBER(INDEX($A105:$P105,$D$5)),INDEX($A105:$P105,$D$5),TIMEVALUE(INDEX($A105:$P105,$D$5)))*Inputs!$C$22,0))</f>
        <v/>
      </c>
    </row>
    <row r="106">
      <c r="R106" s="17">
        <f>IF($D$4="","",IF(INDEX($A106:$P106,$D$4)="","",IF(ISNUMBER(INDEX($A106:$P106,$D$4)),INDEX($A106:$P106,$D$4),IFERROR(DATEVALUE(INDEX($A106:$P106,$D$4)),""))))</f>
        <v/>
      </c>
      <c r="S106">
        <f>IF(OR(R106="",$D$6=""),"",IF(LEFT(INDEX($A106:$P106,$D$6),LEN(Inputs!$C$24))=Inputs!$C$24,INDEX($A106:$P106,$D$6),""))</f>
        <v/>
      </c>
      <c r="T106">
        <f>IF(OR(R106="",$D$7=""),"",TRIM(IFERROR(LEFT(INDEX($A106:$P106,$D$7),FIND(",",INDEX($A106:$P106,$D$7))-1),INDEX($A106:$P106,$D$7))))</f>
        <v/>
      </c>
      <c r="U106" s="32">
        <f>IF(OR(R106="",$D$5=""),0,IFERROR(IF(ISNUMBER(INDEX($A106:$P106,$D$5)),INDEX($A106:$P106,$D$5),TIMEVALUE(INDEX($A106:$P106,$D$5)))*Inputs!$C$22,0))</f>
        <v/>
      </c>
    </row>
    <row r="107">
      <c r="R107" s="17">
        <f>IF($D$4="","",IF(INDEX($A107:$P107,$D$4)="","",IF(ISNUMBER(INDEX($A107:$P107,$D$4)),INDEX($A107:$P107,$D$4),IFERROR(DATEVALUE(INDEX($A107:$P107,$D$4)),""))))</f>
        <v/>
      </c>
      <c r="S107">
        <f>IF(OR(R107="",$D$6=""),"",IF(LEFT(INDEX($A107:$P107,$D$6),LEN(Inputs!$C$24))=Inputs!$C$24,INDEX($A107:$P107,$D$6),""))</f>
        <v/>
      </c>
      <c r="T107">
        <f>IF(OR(R107="",$D$7=""),"",TRIM(IFERROR(LEFT(INDEX($A107:$P107,$D$7),FIND(",",INDEX($A107:$P107,$D$7))-1),INDEX($A107:$P107,$D$7))))</f>
        <v/>
      </c>
      <c r="U107" s="32">
        <f>IF(OR(R107="",$D$5=""),0,IFERROR(IF(ISNUMBER(INDEX($A107:$P107,$D$5)),INDEX($A107:$P107,$D$5),TIMEVALUE(INDEX($A107:$P107,$D$5)))*Inputs!$C$22,0))</f>
        <v/>
      </c>
    </row>
    <row r="108">
      <c r="R108" s="17">
        <f>IF($D$4="","",IF(INDEX($A108:$P108,$D$4)="","",IF(ISNUMBER(INDEX($A108:$P108,$D$4)),INDEX($A108:$P108,$D$4),IFERROR(DATEVALUE(INDEX($A108:$P108,$D$4)),""))))</f>
        <v/>
      </c>
      <c r="S108">
        <f>IF(OR(R108="",$D$6=""),"",IF(LEFT(INDEX($A108:$P108,$D$6),LEN(Inputs!$C$24))=Inputs!$C$24,INDEX($A108:$P108,$D$6),""))</f>
        <v/>
      </c>
      <c r="T108">
        <f>IF(OR(R108="",$D$7=""),"",TRIM(IFERROR(LEFT(INDEX($A108:$P108,$D$7),FIND(",",INDEX($A108:$P108,$D$7))-1),INDEX($A108:$P108,$D$7))))</f>
        <v/>
      </c>
      <c r="U108" s="32">
        <f>IF(OR(R108="",$D$5=""),0,IFERROR(IF(ISNUMBER(INDEX($A108:$P108,$D$5)),INDEX($A108:$P108,$D$5),TIMEVALUE(INDEX($A108:$P108,$D$5)))*Inputs!$C$22,0))</f>
        <v/>
      </c>
    </row>
    <row r="109">
      <c r="R109" s="17">
        <f>IF($D$4="","",IF(INDEX($A109:$P109,$D$4)="","",IF(ISNUMBER(INDEX($A109:$P109,$D$4)),INDEX($A109:$P109,$D$4),IFERROR(DATEVALUE(INDEX($A109:$P109,$D$4)),""))))</f>
        <v/>
      </c>
      <c r="S109">
        <f>IF(OR(R109="",$D$6=""),"",IF(LEFT(INDEX($A109:$P109,$D$6),LEN(Inputs!$C$24))=Inputs!$C$24,INDEX($A109:$P109,$D$6),""))</f>
        <v/>
      </c>
      <c r="T109">
        <f>IF(OR(R109="",$D$7=""),"",TRIM(IFERROR(LEFT(INDEX($A109:$P109,$D$7),FIND(",",INDEX($A109:$P109,$D$7))-1),INDEX($A109:$P109,$D$7))))</f>
        <v/>
      </c>
      <c r="U109" s="32">
        <f>IF(OR(R109="",$D$5=""),0,IFERROR(IF(ISNUMBER(INDEX($A109:$P109,$D$5)),INDEX($A109:$P109,$D$5),TIMEVALUE(INDEX($A109:$P109,$D$5)))*Inputs!$C$22,0))</f>
        <v/>
      </c>
    </row>
    <row r="110">
      <c r="R110" s="17">
        <f>IF($D$4="","",IF(INDEX($A110:$P110,$D$4)="","",IF(ISNUMBER(INDEX($A110:$P110,$D$4)),INDEX($A110:$P110,$D$4),IFERROR(DATEVALUE(INDEX($A110:$P110,$D$4)),""))))</f>
        <v/>
      </c>
      <c r="S110">
        <f>IF(OR(R110="",$D$6=""),"",IF(LEFT(INDEX($A110:$P110,$D$6),LEN(Inputs!$C$24))=Inputs!$C$24,INDEX($A110:$P110,$D$6),""))</f>
        <v/>
      </c>
      <c r="T110">
        <f>IF(OR(R110="",$D$7=""),"",TRIM(IFERROR(LEFT(INDEX($A110:$P110,$D$7),FIND(",",INDEX($A110:$P110,$D$7))-1),INDEX($A110:$P110,$D$7))))</f>
        <v/>
      </c>
      <c r="U110" s="32">
        <f>IF(OR(R110="",$D$5=""),0,IFERROR(IF(ISNUMBER(INDEX($A110:$P110,$D$5)),INDEX($A110:$P110,$D$5),TIMEVALUE(INDEX($A110:$P110,$D$5)))*Inputs!$C$22,0))</f>
        <v/>
      </c>
    </row>
    <row r="111">
      <c r="R111" s="17">
        <f>IF($D$4="","",IF(INDEX($A111:$P111,$D$4)="","",IF(ISNUMBER(INDEX($A111:$P111,$D$4)),INDEX($A111:$P111,$D$4),IFERROR(DATEVALUE(INDEX($A111:$P111,$D$4)),""))))</f>
        <v/>
      </c>
      <c r="S111">
        <f>IF(OR(R111="",$D$6=""),"",IF(LEFT(INDEX($A111:$P111,$D$6),LEN(Inputs!$C$24))=Inputs!$C$24,INDEX($A111:$P111,$D$6),""))</f>
        <v/>
      </c>
      <c r="T111">
        <f>IF(OR(R111="",$D$7=""),"",TRIM(IFERROR(LEFT(INDEX($A111:$P111,$D$7),FIND(",",INDEX($A111:$P111,$D$7))-1),INDEX($A111:$P111,$D$7))))</f>
        <v/>
      </c>
      <c r="U111" s="32">
        <f>IF(OR(R111="",$D$5=""),0,IFERROR(IF(ISNUMBER(INDEX($A111:$P111,$D$5)),INDEX($A111:$P111,$D$5),TIMEVALUE(INDEX($A111:$P111,$D$5)))*Inputs!$C$22,0))</f>
        <v/>
      </c>
    </row>
    <row r="112">
      <c r="R112" s="17">
        <f>IF($D$4="","",IF(INDEX($A112:$P112,$D$4)="","",IF(ISNUMBER(INDEX($A112:$P112,$D$4)),INDEX($A112:$P112,$D$4),IFERROR(DATEVALUE(INDEX($A112:$P112,$D$4)),""))))</f>
        <v/>
      </c>
      <c r="S112">
        <f>IF(OR(R112="",$D$6=""),"",IF(LEFT(INDEX($A112:$P112,$D$6),LEN(Inputs!$C$24))=Inputs!$C$24,INDEX($A112:$P112,$D$6),""))</f>
        <v/>
      </c>
      <c r="T112">
        <f>IF(OR(R112="",$D$7=""),"",TRIM(IFERROR(LEFT(INDEX($A112:$P112,$D$7),FIND(",",INDEX($A112:$P112,$D$7))-1),INDEX($A112:$P112,$D$7))))</f>
        <v/>
      </c>
      <c r="U112" s="32">
        <f>IF(OR(R112="",$D$5=""),0,IFERROR(IF(ISNUMBER(INDEX($A112:$P112,$D$5)),INDEX($A112:$P112,$D$5),TIMEVALUE(INDEX($A112:$P112,$D$5)))*Inputs!$C$22,0))</f>
        <v/>
      </c>
    </row>
    <row r="113">
      <c r="R113" s="17">
        <f>IF($D$4="","",IF(INDEX($A113:$P113,$D$4)="","",IF(ISNUMBER(INDEX($A113:$P113,$D$4)),INDEX($A113:$P113,$D$4),IFERROR(DATEVALUE(INDEX($A113:$P113,$D$4)),""))))</f>
        <v/>
      </c>
      <c r="S113">
        <f>IF(OR(R113="",$D$6=""),"",IF(LEFT(INDEX($A113:$P113,$D$6),LEN(Inputs!$C$24))=Inputs!$C$24,INDEX($A113:$P113,$D$6),""))</f>
        <v/>
      </c>
      <c r="T113">
        <f>IF(OR(R113="",$D$7=""),"",TRIM(IFERROR(LEFT(INDEX($A113:$P113,$D$7),FIND(",",INDEX($A113:$P113,$D$7))-1),INDEX($A113:$P113,$D$7))))</f>
        <v/>
      </c>
      <c r="U113" s="32">
        <f>IF(OR(R113="",$D$5=""),0,IFERROR(IF(ISNUMBER(INDEX($A113:$P113,$D$5)),INDEX($A113:$P113,$D$5),TIMEVALUE(INDEX($A113:$P113,$D$5)))*Inputs!$C$22,0))</f>
        <v/>
      </c>
    </row>
    <row r="114">
      <c r="R114" s="17">
        <f>IF($D$4="","",IF(INDEX($A114:$P114,$D$4)="","",IF(ISNUMBER(INDEX($A114:$P114,$D$4)),INDEX($A114:$P114,$D$4),IFERROR(DATEVALUE(INDEX($A114:$P114,$D$4)),""))))</f>
        <v/>
      </c>
      <c r="S114">
        <f>IF(OR(R114="",$D$6=""),"",IF(LEFT(INDEX($A114:$P114,$D$6),LEN(Inputs!$C$24))=Inputs!$C$24,INDEX($A114:$P114,$D$6),""))</f>
        <v/>
      </c>
      <c r="T114">
        <f>IF(OR(R114="",$D$7=""),"",TRIM(IFERROR(LEFT(INDEX($A114:$P114,$D$7),FIND(",",INDEX($A114:$P114,$D$7))-1),INDEX($A114:$P114,$D$7))))</f>
        <v/>
      </c>
      <c r="U114" s="32">
        <f>IF(OR(R114="",$D$5=""),0,IFERROR(IF(ISNUMBER(INDEX($A114:$P114,$D$5)),INDEX($A114:$P114,$D$5),TIMEVALUE(INDEX($A114:$P114,$D$5)))*Inputs!$C$22,0))</f>
        <v/>
      </c>
    </row>
    <row r="115">
      <c r="R115" s="17">
        <f>IF($D$4="","",IF(INDEX($A115:$P115,$D$4)="","",IF(ISNUMBER(INDEX($A115:$P115,$D$4)),INDEX($A115:$P115,$D$4),IFERROR(DATEVALUE(INDEX($A115:$P115,$D$4)),""))))</f>
        <v/>
      </c>
      <c r="S115">
        <f>IF(OR(R115="",$D$6=""),"",IF(LEFT(INDEX($A115:$P115,$D$6),LEN(Inputs!$C$24))=Inputs!$C$24,INDEX($A115:$P115,$D$6),""))</f>
        <v/>
      </c>
      <c r="T115">
        <f>IF(OR(R115="",$D$7=""),"",TRIM(IFERROR(LEFT(INDEX($A115:$P115,$D$7),FIND(",",INDEX($A115:$P115,$D$7))-1),INDEX($A115:$P115,$D$7))))</f>
        <v/>
      </c>
      <c r="U115" s="32">
        <f>IF(OR(R115="",$D$5=""),0,IFERROR(IF(ISNUMBER(INDEX($A115:$P115,$D$5)),INDEX($A115:$P115,$D$5),TIMEVALUE(INDEX($A115:$P115,$D$5)))*Inputs!$C$22,0))</f>
        <v/>
      </c>
    </row>
    <row r="116">
      <c r="R116" s="17">
        <f>IF($D$4="","",IF(INDEX($A116:$P116,$D$4)="","",IF(ISNUMBER(INDEX($A116:$P116,$D$4)),INDEX($A116:$P116,$D$4),IFERROR(DATEVALUE(INDEX($A116:$P116,$D$4)),""))))</f>
        <v/>
      </c>
      <c r="S116">
        <f>IF(OR(R116="",$D$6=""),"",IF(LEFT(INDEX($A116:$P116,$D$6),LEN(Inputs!$C$24))=Inputs!$C$24,INDEX($A116:$P116,$D$6),""))</f>
        <v/>
      </c>
      <c r="T116">
        <f>IF(OR(R116="",$D$7=""),"",TRIM(IFERROR(LEFT(INDEX($A116:$P116,$D$7),FIND(",",INDEX($A116:$P116,$D$7))-1),INDEX($A116:$P116,$D$7))))</f>
        <v/>
      </c>
      <c r="U116" s="32">
        <f>IF(OR(R116="",$D$5=""),0,IFERROR(IF(ISNUMBER(INDEX($A116:$P116,$D$5)),INDEX($A116:$P116,$D$5),TIMEVALUE(INDEX($A116:$P116,$D$5)))*Inputs!$C$22,0))</f>
        <v/>
      </c>
    </row>
    <row r="117">
      <c r="R117" s="17">
        <f>IF($D$4="","",IF(INDEX($A117:$P117,$D$4)="","",IF(ISNUMBER(INDEX($A117:$P117,$D$4)),INDEX($A117:$P117,$D$4),IFERROR(DATEVALUE(INDEX($A117:$P117,$D$4)),""))))</f>
        <v/>
      </c>
      <c r="S117">
        <f>IF(OR(R117="",$D$6=""),"",IF(LEFT(INDEX($A117:$P117,$D$6),LEN(Inputs!$C$24))=Inputs!$C$24,INDEX($A117:$P117,$D$6),""))</f>
        <v/>
      </c>
      <c r="T117">
        <f>IF(OR(R117="",$D$7=""),"",TRIM(IFERROR(LEFT(INDEX($A117:$P117,$D$7),FIND(",",INDEX($A117:$P117,$D$7))-1),INDEX($A117:$P117,$D$7))))</f>
        <v/>
      </c>
      <c r="U117" s="32">
        <f>IF(OR(R117="",$D$5=""),0,IFERROR(IF(ISNUMBER(INDEX($A117:$P117,$D$5)),INDEX($A117:$P117,$D$5),TIMEVALUE(INDEX($A117:$P117,$D$5)))*Inputs!$C$22,0))</f>
        <v/>
      </c>
    </row>
    <row r="118">
      <c r="R118" s="17">
        <f>IF($D$4="","",IF(INDEX($A118:$P118,$D$4)="","",IF(ISNUMBER(INDEX($A118:$P118,$D$4)),INDEX($A118:$P118,$D$4),IFERROR(DATEVALUE(INDEX($A118:$P118,$D$4)),""))))</f>
        <v/>
      </c>
      <c r="S118">
        <f>IF(OR(R118="",$D$6=""),"",IF(LEFT(INDEX($A118:$P118,$D$6),LEN(Inputs!$C$24))=Inputs!$C$24,INDEX($A118:$P118,$D$6),""))</f>
        <v/>
      </c>
      <c r="T118">
        <f>IF(OR(R118="",$D$7=""),"",TRIM(IFERROR(LEFT(INDEX($A118:$P118,$D$7),FIND(",",INDEX($A118:$P118,$D$7))-1),INDEX($A118:$P118,$D$7))))</f>
        <v/>
      </c>
      <c r="U118" s="32">
        <f>IF(OR(R118="",$D$5=""),0,IFERROR(IF(ISNUMBER(INDEX($A118:$P118,$D$5)),INDEX($A118:$P118,$D$5),TIMEVALUE(INDEX($A118:$P118,$D$5)))*Inputs!$C$22,0))</f>
        <v/>
      </c>
    </row>
    <row r="119">
      <c r="R119" s="17">
        <f>IF($D$4="","",IF(INDEX($A119:$P119,$D$4)="","",IF(ISNUMBER(INDEX($A119:$P119,$D$4)),INDEX($A119:$P119,$D$4),IFERROR(DATEVALUE(INDEX($A119:$P119,$D$4)),""))))</f>
        <v/>
      </c>
      <c r="S119">
        <f>IF(OR(R119="",$D$6=""),"",IF(LEFT(INDEX($A119:$P119,$D$6),LEN(Inputs!$C$24))=Inputs!$C$24,INDEX($A119:$P119,$D$6),""))</f>
        <v/>
      </c>
      <c r="T119">
        <f>IF(OR(R119="",$D$7=""),"",TRIM(IFERROR(LEFT(INDEX($A119:$P119,$D$7),FIND(",",INDEX($A119:$P119,$D$7))-1),INDEX($A119:$P119,$D$7))))</f>
        <v/>
      </c>
      <c r="U119" s="32">
        <f>IF(OR(R119="",$D$5=""),0,IFERROR(IF(ISNUMBER(INDEX($A119:$P119,$D$5)),INDEX($A119:$P119,$D$5),TIMEVALUE(INDEX($A119:$P119,$D$5)))*Inputs!$C$22,0))</f>
        <v/>
      </c>
    </row>
    <row r="120">
      <c r="R120" s="17">
        <f>IF($D$4="","",IF(INDEX($A120:$P120,$D$4)="","",IF(ISNUMBER(INDEX($A120:$P120,$D$4)),INDEX($A120:$P120,$D$4),IFERROR(DATEVALUE(INDEX($A120:$P120,$D$4)),""))))</f>
        <v/>
      </c>
      <c r="S120">
        <f>IF(OR(R120="",$D$6=""),"",IF(LEFT(INDEX($A120:$P120,$D$6),LEN(Inputs!$C$24))=Inputs!$C$24,INDEX($A120:$P120,$D$6),""))</f>
        <v/>
      </c>
      <c r="T120">
        <f>IF(OR(R120="",$D$7=""),"",TRIM(IFERROR(LEFT(INDEX($A120:$P120,$D$7),FIND(",",INDEX($A120:$P120,$D$7))-1),INDEX($A120:$P120,$D$7))))</f>
        <v/>
      </c>
      <c r="U120" s="32">
        <f>IF(OR(R120="",$D$5=""),0,IFERROR(IF(ISNUMBER(INDEX($A120:$P120,$D$5)),INDEX($A120:$P120,$D$5),TIMEVALUE(INDEX($A120:$P120,$D$5)))*Inputs!$C$22,0))</f>
        <v/>
      </c>
    </row>
    <row r="121">
      <c r="R121" s="17">
        <f>IF($D$4="","",IF(INDEX($A121:$P121,$D$4)="","",IF(ISNUMBER(INDEX($A121:$P121,$D$4)),INDEX($A121:$P121,$D$4),IFERROR(DATEVALUE(INDEX($A121:$P121,$D$4)),""))))</f>
        <v/>
      </c>
      <c r="S121">
        <f>IF(OR(R121="",$D$6=""),"",IF(LEFT(INDEX($A121:$P121,$D$6),LEN(Inputs!$C$24))=Inputs!$C$24,INDEX($A121:$P121,$D$6),""))</f>
        <v/>
      </c>
      <c r="T121">
        <f>IF(OR(R121="",$D$7=""),"",TRIM(IFERROR(LEFT(INDEX($A121:$P121,$D$7),FIND(",",INDEX($A121:$P121,$D$7))-1),INDEX($A121:$P121,$D$7))))</f>
        <v/>
      </c>
      <c r="U121" s="32">
        <f>IF(OR(R121="",$D$5=""),0,IFERROR(IF(ISNUMBER(INDEX($A121:$P121,$D$5)),INDEX($A121:$P121,$D$5),TIMEVALUE(INDEX($A121:$P121,$D$5)))*Inputs!$C$22,0))</f>
        <v/>
      </c>
    </row>
    <row r="122">
      <c r="R122" s="17">
        <f>IF($D$4="","",IF(INDEX($A122:$P122,$D$4)="","",IF(ISNUMBER(INDEX($A122:$P122,$D$4)),INDEX($A122:$P122,$D$4),IFERROR(DATEVALUE(INDEX($A122:$P122,$D$4)),""))))</f>
        <v/>
      </c>
      <c r="S122">
        <f>IF(OR(R122="",$D$6=""),"",IF(LEFT(INDEX($A122:$P122,$D$6),LEN(Inputs!$C$24))=Inputs!$C$24,INDEX($A122:$P122,$D$6),""))</f>
        <v/>
      </c>
      <c r="T122">
        <f>IF(OR(R122="",$D$7=""),"",TRIM(IFERROR(LEFT(INDEX($A122:$P122,$D$7),FIND(",",INDEX($A122:$P122,$D$7))-1),INDEX($A122:$P122,$D$7))))</f>
        <v/>
      </c>
      <c r="U122" s="32">
        <f>IF(OR(R122="",$D$5=""),0,IFERROR(IF(ISNUMBER(INDEX($A122:$P122,$D$5)),INDEX($A122:$P122,$D$5),TIMEVALUE(INDEX($A122:$P122,$D$5)))*Inputs!$C$22,0))</f>
        <v/>
      </c>
    </row>
    <row r="123">
      <c r="R123" s="17">
        <f>IF($D$4="","",IF(INDEX($A123:$P123,$D$4)="","",IF(ISNUMBER(INDEX($A123:$P123,$D$4)),INDEX($A123:$P123,$D$4),IFERROR(DATEVALUE(INDEX($A123:$P123,$D$4)),""))))</f>
        <v/>
      </c>
      <c r="S123">
        <f>IF(OR(R123="",$D$6=""),"",IF(LEFT(INDEX($A123:$P123,$D$6),LEN(Inputs!$C$24))=Inputs!$C$24,INDEX($A123:$P123,$D$6),""))</f>
        <v/>
      </c>
      <c r="T123">
        <f>IF(OR(R123="",$D$7=""),"",TRIM(IFERROR(LEFT(INDEX($A123:$P123,$D$7),FIND(",",INDEX($A123:$P123,$D$7))-1),INDEX($A123:$P123,$D$7))))</f>
        <v/>
      </c>
      <c r="U123" s="32">
        <f>IF(OR(R123="",$D$5=""),0,IFERROR(IF(ISNUMBER(INDEX($A123:$P123,$D$5)),INDEX($A123:$P123,$D$5),TIMEVALUE(INDEX($A123:$P123,$D$5)))*Inputs!$C$22,0))</f>
        <v/>
      </c>
    </row>
    <row r="124">
      <c r="R124" s="17">
        <f>IF($D$4="","",IF(INDEX($A124:$P124,$D$4)="","",IF(ISNUMBER(INDEX($A124:$P124,$D$4)),INDEX($A124:$P124,$D$4),IFERROR(DATEVALUE(INDEX($A124:$P124,$D$4)),""))))</f>
        <v/>
      </c>
      <c r="S124">
        <f>IF(OR(R124="",$D$6=""),"",IF(LEFT(INDEX($A124:$P124,$D$6),LEN(Inputs!$C$24))=Inputs!$C$24,INDEX($A124:$P124,$D$6),""))</f>
        <v/>
      </c>
      <c r="T124">
        <f>IF(OR(R124="",$D$7=""),"",TRIM(IFERROR(LEFT(INDEX($A124:$P124,$D$7),FIND(",",INDEX($A124:$P124,$D$7))-1),INDEX($A124:$P124,$D$7))))</f>
        <v/>
      </c>
      <c r="U124" s="32">
        <f>IF(OR(R124="",$D$5=""),0,IFERROR(IF(ISNUMBER(INDEX($A124:$P124,$D$5)),INDEX($A124:$P124,$D$5),TIMEVALUE(INDEX($A124:$P124,$D$5)))*Inputs!$C$22,0))</f>
        <v/>
      </c>
    </row>
    <row r="125">
      <c r="R125" s="17">
        <f>IF($D$4="","",IF(INDEX($A125:$P125,$D$4)="","",IF(ISNUMBER(INDEX($A125:$P125,$D$4)),INDEX($A125:$P125,$D$4),IFERROR(DATEVALUE(INDEX($A125:$P125,$D$4)),""))))</f>
        <v/>
      </c>
      <c r="S125">
        <f>IF(OR(R125="",$D$6=""),"",IF(LEFT(INDEX($A125:$P125,$D$6),LEN(Inputs!$C$24))=Inputs!$C$24,INDEX($A125:$P125,$D$6),""))</f>
        <v/>
      </c>
      <c r="T125">
        <f>IF(OR(R125="",$D$7=""),"",TRIM(IFERROR(LEFT(INDEX($A125:$P125,$D$7),FIND(",",INDEX($A125:$P125,$D$7))-1),INDEX($A125:$P125,$D$7))))</f>
        <v/>
      </c>
      <c r="U125" s="32">
        <f>IF(OR(R125="",$D$5=""),0,IFERROR(IF(ISNUMBER(INDEX($A125:$P125,$D$5)),INDEX($A125:$P125,$D$5),TIMEVALUE(INDEX($A125:$P125,$D$5)))*Inputs!$C$22,0))</f>
        <v/>
      </c>
    </row>
    <row r="126">
      <c r="R126" s="17">
        <f>IF($D$4="","",IF(INDEX($A126:$P126,$D$4)="","",IF(ISNUMBER(INDEX($A126:$P126,$D$4)),INDEX($A126:$P126,$D$4),IFERROR(DATEVALUE(INDEX($A126:$P126,$D$4)),""))))</f>
        <v/>
      </c>
      <c r="S126">
        <f>IF(OR(R126="",$D$6=""),"",IF(LEFT(INDEX($A126:$P126,$D$6),LEN(Inputs!$C$24))=Inputs!$C$24,INDEX($A126:$P126,$D$6),""))</f>
        <v/>
      </c>
      <c r="T126">
        <f>IF(OR(R126="",$D$7=""),"",TRIM(IFERROR(LEFT(INDEX($A126:$P126,$D$7),FIND(",",INDEX($A126:$P126,$D$7))-1),INDEX($A126:$P126,$D$7))))</f>
        <v/>
      </c>
      <c r="U126" s="32">
        <f>IF(OR(R126="",$D$5=""),0,IFERROR(IF(ISNUMBER(INDEX($A126:$P126,$D$5)),INDEX($A126:$P126,$D$5),TIMEVALUE(INDEX($A126:$P126,$D$5)))*Inputs!$C$22,0))</f>
        <v/>
      </c>
    </row>
    <row r="127">
      <c r="R127" s="17">
        <f>IF($D$4="","",IF(INDEX($A127:$P127,$D$4)="","",IF(ISNUMBER(INDEX($A127:$P127,$D$4)),INDEX($A127:$P127,$D$4),IFERROR(DATEVALUE(INDEX($A127:$P127,$D$4)),""))))</f>
        <v/>
      </c>
      <c r="S127">
        <f>IF(OR(R127="",$D$6=""),"",IF(LEFT(INDEX($A127:$P127,$D$6),LEN(Inputs!$C$24))=Inputs!$C$24,INDEX($A127:$P127,$D$6),""))</f>
        <v/>
      </c>
      <c r="T127">
        <f>IF(OR(R127="",$D$7=""),"",TRIM(IFERROR(LEFT(INDEX($A127:$P127,$D$7),FIND(",",INDEX($A127:$P127,$D$7))-1),INDEX($A127:$P127,$D$7))))</f>
        <v/>
      </c>
      <c r="U127" s="32">
        <f>IF(OR(R127="",$D$5=""),0,IFERROR(IF(ISNUMBER(INDEX($A127:$P127,$D$5)),INDEX($A127:$P127,$D$5),TIMEVALUE(INDEX($A127:$P127,$D$5)))*Inputs!$C$22,0))</f>
        <v/>
      </c>
    </row>
    <row r="128">
      <c r="R128" s="17">
        <f>IF($D$4="","",IF(INDEX($A128:$P128,$D$4)="","",IF(ISNUMBER(INDEX($A128:$P128,$D$4)),INDEX($A128:$P128,$D$4),IFERROR(DATEVALUE(INDEX($A128:$P128,$D$4)),""))))</f>
        <v/>
      </c>
      <c r="S128">
        <f>IF(OR(R128="",$D$6=""),"",IF(LEFT(INDEX($A128:$P128,$D$6),LEN(Inputs!$C$24))=Inputs!$C$24,INDEX($A128:$P128,$D$6),""))</f>
        <v/>
      </c>
      <c r="T128">
        <f>IF(OR(R128="",$D$7=""),"",TRIM(IFERROR(LEFT(INDEX($A128:$P128,$D$7),FIND(",",INDEX($A128:$P128,$D$7))-1),INDEX($A128:$P128,$D$7))))</f>
        <v/>
      </c>
      <c r="U128" s="32">
        <f>IF(OR(R128="",$D$5=""),0,IFERROR(IF(ISNUMBER(INDEX($A128:$P128,$D$5)),INDEX($A128:$P128,$D$5),TIMEVALUE(INDEX($A128:$P128,$D$5)))*Inputs!$C$22,0))</f>
        <v/>
      </c>
    </row>
    <row r="129">
      <c r="R129" s="17">
        <f>IF($D$4="","",IF(INDEX($A129:$P129,$D$4)="","",IF(ISNUMBER(INDEX($A129:$P129,$D$4)),INDEX($A129:$P129,$D$4),IFERROR(DATEVALUE(INDEX($A129:$P129,$D$4)),""))))</f>
        <v/>
      </c>
      <c r="S129">
        <f>IF(OR(R129="",$D$6=""),"",IF(LEFT(INDEX($A129:$P129,$D$6),LEN(Inputs!$C$24))=Inputs!$C$24,INDEX($A129:$P129,$D$6),""))</f>
        <v/>
      </c>
      <c r="T129">
        <f>IF(OR(R129="",$D$7=""),"",TRIM(IFERROR(LEFT(INDEX($A129:$P129,$D$7),FIND(",",INDEX($A129:$P129,$D$7))-1),INDEX($A129:$P129,$D$7))))</f>
        <v/>
      </c>
      <c r="U129" s="32">
        <f>IF(OR(R129="",$D$5=""),0,IFERROR(IF(ISNUMBER(INDEX($A129:$P129,$D$5)),INDEX($A129:$P129,$D$5),TIMEVALUE(INDEX($A129:$P129,$D$5)))*Inputs!$C$22,0))</f>
        <v/>
      </c>
    </row>
    <row r="130">
      <c r="R130" s="17">
        <f>IF($D$4="","",IF(INDEX($A130:$P130,$D$4)="","",IF(ISNUMBER(INDEX($A130:$P130,$D$4)),INDEX($A130:$P130,$D$4),IFERROR(DATEVALUE(INDEX($A130:$P130,$D$4)),""))))</f>
        <v/>
      </c>
      <c r="S130">
        <f>IF(OR(R130="",$D$6=""),"",IF(LEFT(INDEX($A130:$P130,$D$6),LEN(Inputs!$C$24))=Inputs!$C$24,INDEX($A130:$P130,$D$6),""))</f>
        <v/>
      </c>
      <c r="T130">
        <f>IF(OR(R130="",$D$7=""),"",TRIM(IFERROR(LEFT(INDEX($A130:$P130,$D$7),FIND(",",INDEX($A130:$P130,$D$7))-1),INDEX($A130:$P130,$D$7))))</f>
        <v/>
      </c>
      <c r="U130" s="32">
        <f>IF(OR(R130="",$D$5=""),0,IFERROR(IF(ISNUMBER(INDEX($A130:$P130,$D$5)),INDEX($A130:$P130,$D$5),TIMEVALUE(INDEX($A130:$P130,$D$5)))*Inputs!$C$22,0))</f>
        <v/>
      </c>
    </row>
    <row r="131">
      <c r="R131" s="17">
        <f>IF($D$4="","",IF(INDEX($A131:$P131,$D$4)="","",IF(ISNUMBER(INDEX($A131:$P131,$D$4)),INDEX($A131:$P131,$D$4),IFERROR(DATEVALUE(INDEX($A131:$P131,$D$4)),""))))</f>
        <v/>
      </c>
      <c r="S131">
        <f>IF(OR(R131="",$D$6=""),"",IF(LEFT(INDEX($A131:$P131,$D$6),LEN(Inputs!$C$24))=Inputs!$C$24,INDEX($A131:$P131,$D$6),""))</f>
        <v/>
      </c>
      <c r="T131">
        <f>IF(OR(R131="",$D$7=""),"",TRIM(IFERROR(LEFT(INDEX($A131:$P131,$D$7),FIND(",",INDEX($A131:$P131,$D$7))-1),INDEX($A131:$P131,$D$7))))</f>
        <v/>
      </c>
      <c r="U131" s="32">
        <f>IF(OR(R131="",$D$5=""),0,IFERROR(IF(ISNUMBER(INDEX($A131:$P131,$D$5)),INDEX($A131:$P131,$D$5),TIMEVALUE(INDEX($A131:$P131,$D$5)))*Inputs!$C$22,0))</f>
        <v/>
      </c>
    </row>
    <row r="132">
      <c r="R132" s="17">
        <f>IF($D$4="","",IF(INDEX($A132:$P132,$D$4)="","",IF(ISNUMBER(INDEX($A132:$P132,$D$4)),INDEX($A132:$P132,$D$4),IFERROR(DATEVALUE(INDEX($A132:$P132,$D$4)),""))))</f>
        <v/>
      </c>
      <c r="S132">
        <f>IF(OR(R132="",$D$6=""),"",IF(LEFT(INDEX($A132:$P132,$D$6),LEN(Inputs!$C$24))=Inputs!$C$24,INDEX($A132:$P132,$D$6),""))</f>
        <v/>
      </c>
      <c r="T132">
        <f>IF(OR(R132="",$D$7=""),"",TRIM(IFERROR(LEFT(INDEX($A132:$P132,$D$7),FIND(",",INDEX($A132:$P132,$D$7))-1),INDEX($A132:$P132,$D$7))))</f>
        <v/>
      </c>
      <c r="U132" s="32">
        <f>IF(OR(R132="",$D$5=""),0,IFERROR(IF(ISNUMBER(INDEX($A132:$P132,$D$5)),INDEX($A132:$P132,$D$5),TIMEVALUE(INDEX($A132:$P132,$D$5)))*Inputs!$C$22,0))</f>
        <v/>
      </c>
    </row>
    <row r="133">
      <c r="R133" s="17">
        <f>IF($D$4="","",IF(INDEX($A133:$P133,$D$4)="","",IF(ISNUMBER(INDEX($A133:$P133,$D$4)),INDEX($A133:$P133,$D$4),IFERROR(DATEVALUE(INDEX($A133:$P133,$D$4)),""))))</f>
        <v/>
      </c>
      <c r="S133">
        <f>IF(OR(R133="",$D$6=""),"",IF(LEFT(INDEX($A133:$P133,$D$6),LEN(Inputs!$C$24))=Inputs!$C$24,INDEX($A133:$P133,$D$6),""))</f>
        <v/>
      </c>
      <c r="T133">
        <f>IF(OR(R133="",$D$7=""),"",TRIM(IFERROR(LEFT(INDEX($A133:$P133,$D$7),FIND(",",INDEX($A133:$P133,$D$7))-1),INDEX($A133:$P133,$D$7))))</f>
        <v/>
      </c>
      <c r="U133" s="32">
        <f>IF(OR(R133="",$D$5=""),0,IFERROR(IF(ISNUMBER(INDEX($A133:$P133,$D$5)),INDEX($A133:$P133,$D$5),TIMEVALUE(INDEX($A133:$P133,$D$5)))*Inputs!$C$22,0))</f>
        <v/>
      </c>
    </row>
    <row r="134">
      <c r="R134" s="17">
        <f>IF($D$4="","",IF(INDEX($A134:$P134,$D$4)="","",IF(ISNUMBER(INDEX($A134:$P134,$D$4)),INDEX($A134:$P134,$D$4),IFERROR(DATEVALUE(INDEX($A134:$P134,$D$4)),""))))</f>
        <v/>
      </c>
      <c r="S134">
        <f>IF(OR(R134="",$D$6=""),"",IF(LEFT(INDEX($A134:$P134,$D$6),LEN(Inputs!$C$24))=Inputs!$C$24,INDEX($A134:$P134,$D$6),""))</f>
        <v/>
      </c>
      <c r="T134">
        <f>IF(OR(R134="",$D$7=""),"",TRIM(IFERROR(LEFT(INDEX($A134:$P134,$D$7),FIND(",",INDEX($A134:$P134,$D$7))-1),INDEX($A134:$P134,$D$7))))</f>
        <v/>
      </c>
      <c r="U134" s="32">
        <f>IF(OR(R134="",$D$5=""),0,IFERROR(IF(ISNUMBER(INDEX($A134:$P134,$D$5)),INDEX($A134:$P134,$D$5),TIMEVALUE(INDEX($A134:$P134,$D$5)))*Inputs!$C$22,0))</f>
        <v/>
      </c>
    </row>
    <row r="135">
      <c r="R135" s="17">
        <f>IF($D$4="","",IF(INDEX($A135:$P135,$D$4)="","",IF(ISNUMBER(INDEX($A135:$P135,$D$4)),INDEX($A135:$P135,$D$4),IFERROR(DATEVALUE(INDEX($A135:$P135,$D$4)),""))))</f>
        <v/>
      </c>
      <c r="S135">
        <f>IF(OR(R135="",$D$6=""),"",IF(LEFT(INDEX($A135:$P135,$D$6),LEN(Inputs!$C$24))=Inputs!$C$24,INDEX($A135:$P135,$D$6),""))</f>
        <v/>
      </c>
      <c r="T135">
        <f>IF(OR(R135="",$D$7=""),"",TRIM(IFERROR(LEFT(INDEX($A135:$P135,$D$7),FIND(",",INDEX($A135:$P135,$D$7))-1),INDEX($A135:$P135,$D$7))))</f>
        <v/>
      </c>
      <c r="U135" s="32">
        <f>IF(OR(R135="",$D$5=""),0,IFERROR(IF(ISNUMBER(INDEX($A135:$P135,$D$5)),INDEX($A135:$P135,$D$5),TIMEVALUE(INDEX($A135:$P135,$D$5)))*Inputs!$C$22,0))</f>
        <v/>
      </c>
    </row>
    <row r="136">
      <c r="R136" s="17">
        <f>IF($D$4="","",IF(INDEX($A136:$P136,$D$4)="","",IF(ISNUMBER(INDEX($A136:$P136,$D$4)),INDEX($A136:$P136,$D$4),IFERROR(DATEVALUE(INDEX($A136:$P136,$D$4)),""))))</f>
        <v/>
      </c>
      <c r="S136">
        <f>IF(OR(R136="",$D$6=""),"",IF(LEFT(INDEX($A136:$P136,$D$6),LEN(Inputs!$C$24))=Inputs!$C$24,INDEX($A136:$P136,$D$6),""))</f>
        <v/>
      </c>
      <c r="T136">
        <f>IF(OR(R136="",$D$7=""),"",TRIM(IFERROR(LEFT(INDEX($A136:$P136,$D$7),FIND(",",INDEX($A136:$P136,$D$7))-1),INDEX($A136:$P136,$D$7))))</f>
        <v/>
      </c>
      <c r="U136" s="32">
        <f>IF(OR(R136="",$D$5=""),0,IFERROR(IF(ISNUMBER(INDEX($A136:$P136,$D$5)),INDEX($A136:$P136,$D$5),TIMEVALUE(INDEX($A136:$P136,$D$5)))*Inputs!$C$22,0))</f>
        <v/>
      </c>
    </row>
    <row r="137">
      <c r="R137" s="17">
        <f>IF($D$4="","",IF(INDEX($A137:$P137,$D$4)="","",IF(ISNUMBER(INDEX($A137:$P137,$D$4)),INDEX($A137:$P137,$D$4),IFERROR(DATEVALUE(INDEX($A137:$P137,$D$4)),""))))</f>
        <v/>
      </c>
      <c r="S137">
        <f>IF(OR(R137="",$D$6=""),"",IF(LEFT(INDEX($A137:$P137,$D$6),LEN(Inputs!$C$24))=Inputs!$C$24,INDEX($A137:$P137,$D$6),""))</f>
        <v/>
      </c>
      <c r="T137">
        <f>IF(OR(R137="",$D$7=""),"",TRIM(IFERROR(LEFT(INDEX($A137:$P137,$D$7),FIND(",",INDEX($A137:$P137,$D$7))-1),INDEX($A137:$P137,$D$7))))</f>
        <v/>
      </c>
      <c r="U137" s="32">
        <f>IF(OR(R137="",$D$5=""),0,IFERROR(IF(ISNUMBER(INDEX($A137:$P137,$D$5)),INDEX($A137:$P137,$D$5),TIMEVALUE(INDEX($A137:$P137,$D$5)))*Inputs!$C$22,0))</f>
        <v/>
      </c>
    </row>
    <row r="138">
      <c r="R138" s="17">
        <f>IF($D$4="","",IF(INDEX($A138:$P138,$D$4)="","",IF(ISNUMBER(INDEX($A138:$P138,$D$4)),INDEX($A138:$P138,$D$4),IFERROR(DATEVALUE(INDEX($A138:$P138,$D$4)),""))))</f>
        <v/>
      </c>
      <c r="S138">
        <f>IF(OR(R138="",$D$6=""),"",IF(LEFT(INDEX($A138:$P138,$D$6),LEN(Inputs!$C$24))=Inputs!$C$24,INDEX($A138:$P138,$D$6),""))</f>
        <v/>
      </c>
      <c r="T138">
        <f>IF(OR(R138="",$D$7=""),"",TRIM(IFERROR(LEFT(INDEX($A138:$P138,$D$7),FIND(",",INDEX($A138:$P138,$D$7))-1),INDEX($A138:$P138,$D$7))))</f>
        <v/>
      </c>
      <c r="U138" s="32">
        <f>IF(OR(R138="",$D$5=""),0,IFERROR(IF(ISNUMBER(INDEX($A138:$P138,$D$5)),INDEX($A138:$P138,$D$5),TIMEVALUE(INDEX($A138:$P138,$D$5)))*Inputs!$C$22,0))</f>
        <v/>
      </c>
    </row>
    <row r="139">
      <c r="R139" s="17">
        <f>IF($D$4="","",IF(INDEX($A139:$P139,$D$4)="","",IF(ISNUMBER(INDEX($A139:$P139,$D$4)),INDEX($A139:$P139,$D$4),IFERROR(DATEVALUE(INDEX($A139:$P139,$D$4)),""))))</f>
        <v/>
      </c>
      <c r="S139">
        <f>IF(OR(R139="",$D$6=""),"",IF(LEFT(INDEX($A139:$P139,$D$6),LEN(Inputs!$C$24))=Inputs!$C$24,INDEX($A139:$P139,$D$6),""))</f>
        <v/>
      </c>
      <c r="T139">
        <f>IF(OR(R139="",$D$7=""),"",TRIM(IFERROR(LEFT(INDEX($A139:$P139,$D$7),FIND(",",INDEX($A139:$P139,$D$7))-1),INDEX($A139:$P139,$D$7))))</f>
        <v/>
      </c>
      <c r="U139" s="32">
        <f>IF(OR(R139="",$D$5=""),0,IFERROR(IF(ISNUMBER(INDEX($A139:$P139,$D$5)),INDEX($A139:$P139,$D$5),TIMEVALUE(INDEX($A139:$P139,$D$5)))*Inputs!$C$22,0))</f>
        <v/>
      </c>
    </row>
    <row r="140">
      <c r="R140" s="17">
        <f>IF($D$4="","",IF(INDEX($A140:$P140,$D$4)="","",IF(ISNUMBER(INDEX($A140:$P140,$D$4)),INDEX($A140:$P140,$D$4),IFERROR(DATEVALUE(INDEX($A140:$P140,$D$4)),""))))</f>
        <v/>
      </c>
      <c r="S140">
        <f>IF(OR(R140="",$D$6=""),"",IF(LEFT(INDEX($A140:$P140,$D$6),LEN(Inputs!$C$24))=Inputs!$C$24,INDEX($A140:$P140,$D$6),""))</f>
        <v/>
      </c>
      <c r="T140">
        <f>IF(OR(R140="",$D$7=""),"",TRIM(IFERROR(LEFT(INDEX($A140:$P140,$D$7),FIND(",",INDEX($A140:$P140,$D$7))-1),INDEX($A140:$P140,$D$7))))</f>
        <v/>
      </c>
      <c r="U140" s="32">
        <f>IF(OR(R140="",$D$5=""),0,IFERROR(IF(ISNUMBER(INDEX($A140:$P140,$D$5)),INDEX($A140:$P140,$D$5),TIMEVALUE(INDEX($A140:$P140,$D$5)))*Inputs!$C$22,0))</f>
        <v/>
      </c>
    </row>
    <row r="141">
      <c r="R141" s="17">
        <f>IF($D$4="","",IF(INDEX($A141:$P141,$D$4)="","",IF(ISNUMBER(INDEX($A141:$P141,$D$4)),INDEX($A141:$P141,$D$4),IFERROR(DATEVALUE(INDEX($A141:$P141,$D$4)),""))))</f>
        <v/>
      </c>
      <c r="S141">
        <f>IF(OR(R141="",$D$6=""),"",IF(LEFT(INDEX($A141:$P141,$D$6),LEN(Inputs!$C$24))=Inputs!$C$24,INDEX($A141:$P141,$D$6),""))</f>
        <v/>
      </c>
      <c r="T141">
        <f>IF(OR(R141="",$D$7=""),"",TRIM(IFERROR(LEFT(INDEX($A141:$P141,$D$7),FIND(",",INDEX($A141:$P141,$D$7))-1),INDEX($A141:$P141,$D$7))))</f>
        <v/>
      </c>
      <c r="U141" s="32">
        <f>IF(OR(R141="",$D$5=""),0,IFERROR(IF(ISNUMBER(INDEX($A141:$P141,$D$5)),INDEX($A141:$P141,$D$5),TIMEVALUE(INDEX($A141:$P141,$D$5)))*Inputs!$C$22,0))</f>
        <v/>
      </c>
    </row>
    <row r="142">
      <c r="R142" s="17">
        <f>IF($D$4="","",IF(INDEX($A142:$P142,$D$4)="","",IF(ISNUMBER(INDEX($A142:$P142,$D$4)),INDEX($A142:$P142,$D$4),IFERROR(DATEVALUE(INDEX($A142:$P142,$D$4)),""))))</f>
        <v/>
      </c>
      <c r="S142">
        <f>IF(OR(R142="",$D$6=""),"",IF(LEFT(INDEX($A142:$P142,$D$6),LEN(Inputs!$C$24))=Inputs!$C$24,INDEX($A142:$P142,$D$6),""))</f>
        <v/>
      </c>
      <c r="T142">
        <f>IF(OR(R142="",$D$7=""),"",TRIM(IFERROR(LEFT(INDEX($A142:$P142,$D$7),FIND(",",INDEX($A142:$P142,$D$7))-1),INDEX($A142:$P142,$D$7))))</f>
        <v/>
      </c>
      <c r="U142" s="32">
        <f>IF(OR(R142="",$D$5=""),0,IFERROR(IF(ISNUMBER(INDEX($A142:$P142,$D$5)),INDEX($A142:$P142,$D$5),TIMEVALUE(INDEX($A142:$P142,$D$5)))*Inputs!$C$22,0))</f>
        <v/>
      </c>
    </row>
    <row r="143">
      <c r="R143" s="17">
        <f>IF($D$4="","",IF(INDEX($A143:$P143,$D$4)="","",IF(ISNUMBER(INDEX($A143:$P143,$D$4)),INDEX($A143:$P143,$D$4),IFERROR(DATEVALUE(INDEX($A143:$P143,$D$4)),""))))</f>
        <v/>
      </c>
      <c r="S143">
        <f>IF(OR(R143="",$D$6=""),"",IF(LEFT(INDEX($A143:$P143,$D$6),LEN(Inputs!$C$24))=Inputs!$C$24,INDEX($A143:$P143,$D$6),""))</f>
        <v/>
      </c>
      <c r="T143">
        <f>IF(OR(R143="",$D$7=""),"",TRIM(IFERROR(LEFT(INDEX($A143:$P143,$D$7),FIND(",",INDEX($A143:$P143,$D$7))-1),INDEX($A143:$P143,$D$7))))</f>
        <v/>
      </c>
      <c r="U143" s="32">
        <f>IF(OR(R143="",$D$5=""),0,IFERROR(IF(ISNUMBER(INDEX($A143:$P143,$D$5)),INDEX($A143:$P143,$D$5),TIMEVALUE(INDEX($A143:$P143,$D$5)))*Inputs!$C$22,0))</f>
        <v/>
      </c>
    </row>
    <row r="144">
      <c r="R144" s="17">
        <f>IF($D$4="","",IF(INDEX($A144:$P144,$D$4)="","",IF(ISNUMBER(INDEX($A144:$P144,$D$4)),INDEX($A144:$P144,$D$4),IFERROR(DATEVALUE(INDEX($A144:$P144,$D$4)),""))))</f>
        <v/>
      </c>
      <c r="S144">
        <f>IF(OR(R144="",$D$6=""),"",IF(LEFT(INDEX($A144:$P144,$D$6),LEN(Inputs!$C$24))=Inputs!$C$24,INDEX($A144:$P144,$D$6),""))</f>
        <v/>
      </c>
      <c r="T144">
        <f>IF(OR(R144="",$D$7=""),"",TRIM(IFERROR(LEFT(INDEX($A144:$P144,$D$7),FIND(",",INDEX($A144:$P144,$D$7))-1),INDEX($A144:$P144,$D$7))))</f>
        <v/>
      </c>
      <c r="U144" s="32">
        <f>IF(OR(R144="",$D$5=""),0,IFERROR(IF(ISNUMBER(INDEX($A144:$P144,$D$5)),INDEX($A144:$P144,$D$5),TIMEVALUE(INDEX($A144:$P144,$D$5)))*Inputs!$C$22,0))</f>
        <v/>
      </c>
    </row>
    <row r="145">
      <c r="R145" s="17">
        <f>IF($D$4="","",IF(INDEX($A145:$P145,$D$4)="","",IF(ISNUMBER(INDEX($A145:$P145,$D$4)),INDEX($A145:$P145,$D$4),IFERROR(DATEVALUE(INDEX($A145:$P145,$D$4)),""))))</f>
        <v/>
      </c>
      <c r="S145">
        <f>IF(OR(R145="",$D$6=""),"",IF(LEFT(INDEX($A145:$P145,$D$6),LEN(Inputs!$C$24))=Inputs!$C$24,INDEX($A145:$P145,$D$6),""))</f>
        <v/>
      </c>
      <c r="T145">
        <f>IF(OR(R145="",$D$7=""),"",TRIM(IFERROR(LEFT(INDEX($A145:$P145,$D$7),FIND(",",INDEX($A145:$P145,$D$7))-1),INDEX($A145:$P145,$D$7))))</f>
        <v/>
      </c>
      <c r="U145" s="32">
        <f>IF(OR(R145="",$D$5=""),0,IFERROR(IF(ISNUMBER(INDEX($A145:$P145,$D$5)),INDEX($A145:$P145,$D$5),TIMEVALUE(INDEX($A145:$P145,$D$5)))*Inputs!$C$22,0))</f>
        <v/>
      </c>
    </row>
    <row r="146">
      <c r="R146" s="17">
        <f>IF($D$4="","",IF(INDEX($A146:$P146,$D$4)="","",IF(ISNUMBER(INDEX($A146:$P146,$D$4)),INDEX($A146:$P146,$D$4),IFERROR(DATEVALUE(INDEX($A146:$P146,$D$4)),""))))</f>
        <v/>
      </c>
      <c r="S146">
        <f>IF(OR(R146="",$D$6=""),"",IF(LEFT(INDEX($A146:$P146,$D$6),LEN(Inputs!$C$24))=Inputs!$C$24,INDEX($A146:$P146,$D$6),""))</f>
        <v/>
      </c>
      <c r="T146">
        <f>IF(OR(R146="",$D$7=""),"",TRIM(IFERROR(LEFT(INDEX($A146:$P146,$D$7),FIND(",",INDEX($A146:$P146,$D$7))-1),INDEX($A146:$P146,$D$7))))</f>
        <v/>
      </c>
      <c r="U146" s="32">
        <f>IF(OR(R146="",$D$5=""),0,IFERROR(IF(ISNUMBER(INDEX($A146:$P146,$D$5)),INDEX($A146:$P146,$D$5),TIMEVALUE(INDEX($A146:$P146,$D$5)))*Inputs!$C$22,0))</f>
        <v/>
      </c>
    </row>
    <row r="147">
      <c r="R147" s="17">
        <f>IF($D$4="","",IF(INDEX($A147:$P147,$D$4)="","",IF(ISNUMBER(INDEX($A147:$P147,$D$4)),INDEX($A147:$P147,$D$4),IFERROR(DATEVALUE(INDEX($A147:$P147,$D$4)),""))))</f>
        <v/>
      </c>
      <c r="S147">
        <f>IF(OR(R147="",$D$6=""),"",IF(LEFT(INDEX($A147:$P147,$D$6),LEN(Inputs!$C$24))=Inputs!$C$24,INDEX($A147:$P147,$D$6),""))</f>
        <v/>
      </c>
      <c r="T147">
        <f>IF(OR(R147="",$D$7=""),"",TRIM(IFERROR(LEFT(INDEX($A147:$P147,$D$7),FIND(",",INDEX($A147:$P147,$D$7))-1),INDEX($A147:$P147,$D$7))))</f>
        <v/>
      </c>
      <c r="U147" s="32">
        <f>IF(OR(R147="",$D$5=""),0,IFERROR(IF(ISNUMBER(INDEX($A147:$P147,$D$5)),INDEX($A147:$P147,$D$5),TIMEVALUE(INDEX($A147:$P147,$D$5)))*Inputs!$C$22,0))</f>
        <v/>
      </c>
    </row>
    <row r="148">
      <c r="R148" s="17">
        <f>IF($D$4="","",IF(INDEX($A148:$P148,$D$4)="","",IF(ISNUMBER(INDEX($A148:$P148,$D$4)),INDEX($A148:$P148,$D$4),IFERROR(DATEVALUE(INDEX($A148:$P148,$D$4)),""))))</f>
        <v/>
      </c>
      <c r="S148">
        <f>IF(OR(R148="",$D$6=""),"",IF(LEFT(INDEX($A148:$P148,$D$6),LEN(Inputs!$C$24))=Inputs!$C$24,INDEX($A148:$P148,$D$6),""))</f>
        <v/>
      </c>
      <c r="T148">
        <f>IF(OR(R148="",$D$7=""),"",TRIM(IFERROR(LEFT(INDEX($A148:$P148,$D$7),FIND(",",INDEX($A148:$P148,$D$7))-1),INDEX($A148:$P148,$D$7))))</f>
        <v/>
      </c>
      <c r="U148" s="32">
        <f>IF(OR(R148="",$D$5=""),0,IFERROR(IF(ISNUMBER(INDEX($A148:$P148,$D$5)),INDEX($A148:$P148,$D$5),TIMEVALUE(INDEX($A148:$P148,$D$5)))*Inputs!$C$22,0))</f>
        <v/>
      </c>
    </row>
    <row r="149">
      <c r="R149" s="17">
        <f>IF($D$4="","",IF(INDEX($A149:$P149,$D$4)="","",IF(ISNUMBER(INDEX($A149:$P149,$D$4)),INDEX($A149:$P149,$D$4),IFERROR(DATEVALUE(INDEX($A149:$P149,$D$4)),""))))</f>
        <v/>
      </c>
      <c r="S149">
        <f>IF(OR(R149="",$D$6=""),"",IF(LEFT(INDEX($A149:$P149,$D$6),LEN(Inputs!$C$24))=Inputs!$C$24,INDEX($A149:$P149,$D$6),""))</f>
        <v/>
      </c>
      <c r="T149">
        <f>IF(OR(R149="",$D$7=""),"",TRIM(IFERROR(LEFT(INDEX($A149:$P149,$D$7),FIND(",",INDEX($A149:$P149,$D$7))-1),INDEX($A149:$P149,$D$7))))</f>
        <v/>
      </c>
      <c r="U149" s="32">
        <f>IF(OR(R149="",$D$5=""),0,IFERROR(IF(ISNUMBER(INDEX($A149:$P149,$D$5)),INDEX($A149:$P149,$D$5),TIMEVALUE(INDEX($A149:$P149,$D$5)))*Inputs!$C$22,0))</f>
        <v/>
      </c>
    </row>
    <row r="150">
      <c r="R150" s="17">
        <f>IF($D$4="","",IF(INDEX($A150:$P150,$D$4)="","",IF(ISNUMBER(INDEX($A150:$P150,$D$4)),INDEX($A150:$P150,$D$4),IFERROR(DATEVALUE(INDEX($A150:$P150,$D$4)),""))))</f>
        <v/>
      </c>
      <c r="S150">
        <f>IF(OR(R150="",$D$6=""),"",IF(LEFT(INDEX($A150:$P150,$D$6),LEN(Inputs!$C$24))=Inputs!$C$24,INDEX($A150:$P150,$D$6),""))</f>
        <v/>
      </c>
      <c r="T150">
        <f>IF(OR(R150="",$D$7=""),"",TRIM(IFERROR(LEFT(INDEX($A150:$P150,$D$7),FIND(",",INDEX($A150:$P150,$D$7))-1),INDEX($A150:$P150,$D$7))))</f>
        <v/>
      </c>
      <c r="U150" s="32">
        <f>IF(OR(R150="",$D$5=""),0,IFERROR(IF(ISNUMBER(INDEX($A150:$P150,$D$5)),INDEX($A150:$P150,$D$5),TIMEVALUE(INDEX($A150:$P150,$D$5)))*Inputs!$C$22,0))</f>
        <v/>
      </c>
    </row>
    <row r="151">
      <c r="R151" s="17">
        <f>IF($D$4="","",IF(INDEX($A151:$P151,$D$4)="","",IF(ISNUMBER(INDEX($A151:$P151,$D$4)),INDEX($A151:$P151,$D$4),IFERROR(DATEVALUE(INDEX($A151:$P151,$D$4)),""))))</f>
        <v/>
      </c>
      <c r="S151">
        <f>IF(OR(R151="",$D$6=""),"",IF(LEFT(INDEX($A151:$P151,$D$6),LEN(Inputs!$C$24))=Inputs!$C$24,INDEX($A151:$P151,$D$6),""))</f>
        <v/>
      </c>
      <c r="T151">
        <f>IF(OR(R151="",$D$7=""),"",TRIM(IFERROR(LEFT(INDEX($A151:$P151,$D$7),FIND(",",INDEX($A151:$P151,$D$7))-1),INDEX($A151:$P151,$D$7))))</f>
        <v/>
      </c>
      <c r="U151" s="32">
        <f>IF(OR(R151="",$D$5=""),0,IFERROR(IF(ISNUMBER(INDEX($A151:$P151,$D$5)),INDEX($A151:$P151,$D$5),TIMEVALUE(INDEX($A151:$P151,$D$5)))*Inputs!$C$22,0))</f>
        <v/>
      </c>
    </row>
    <row r="152">
      <c r="R152" s="17">
        <f>IF($D$4="","",IF(INDEX($A152:$P152,$D$4)="","",IF(ISNUMBER(INDEX($A152:$P152,$D$4)),INDEX($A152:$P152,$D$4),IFERROR(DATEVALUE(INDEX($A152:$P152,$D$4)),""))))</f>
        <v/>
      </c>
      <c r="S152">
        <f>IF(OR(R152="",$D$6=""),"",IF(LEFT(INDEX($A152:$P152,$D$6),LEN(Inputs!$C$24))=Inputs!$C$24,INDEX($A152:$P152,$D$6),""))</f>
        <v/>
      </c>
      <c r="T152">
        <f>IF(OR(R152="",$D$7=""),"",TRIM(IFERROR(LEFT(INDEX($A152:$P152,$D$7),FIND(",",INDEX($A152:$P152,$D$7))-1),INDEX($A152:$P152,$D$7))))</f>
        <v/>
      </c>
      <c r="U152" s="32">
        <f>IF(OR(R152="",$D$5=""),0,IFERROR(IF(ISNUMBER(INDEX($A152:$P152,$D$5)),INDEX($A152:$P152,$D$5),TIMEVALUE(INDEX($A152:$P152,$D$5)))*Inputs!$C$22,0))</f>
        <v/>
      </c>
    </row>
    <row r="153">
      <c r="R153" s="17">
        <f>IF($D$4="","",IF(INDEX($A153:$P153,$D$4)="","",IF(ISNUMBER(INDEX($A153:$P153,$D$4)),INDEX($A153:$P153,$D$4),IFERROR(DATEVALUE(INDEX($A153:$P153,$D$4)),""))))</f>
        <v/>
      </c>
      <c r="S153">
        <f>IF(OR(R153="",$D$6=""),"",IF(LEFT(INDEX($A153:$P153,$D$6),LEN(Inputs!$C$24))=Inputs!$C$24,INDEX($A153:$P153,$D$6),""))</f>
        <v/>
      </c>
      <c r="T153">
        <f>IF(OR(R153="",$D$7=""),"",TRIM(IFERROR(LEFT(INDEX($A153:$P153,$D$7),FIND(",",INDEX($A153:$P153,$D$7))-1),INDEX($A153:$P153,$D$7))))</f>
        <v/>
      </c>
      <c r="U153" s="32">
        <f>IF(OR(R153="",$D$5=""),0,IFERROR(IF(ISNUMBER(INDEX($A153:$P153,$D$5)),INDEX($A153:$P153,$D$5),TIMEVALUE(INDEX($A153:$P153,$D$5)))*Inputs!$C$22,0))</f>
        <v/>
      </c>
    </row>
    <row r="154">
      <c r="R154" s="17">
        <f>IF($D$4="","",IF(INDEX($A154:$P154,$D$4)="","",IF(ISNUMBER(INDEX($A154:$P154,$D$4)),INDEX($A154:$P154,$D$4),IFERROR(DATEVALUE(INDEX($A154:$P154,$D$4)),""))))</f>
        <v/>
      </c>
      <c r="S154">
        <f>IF(OR(R154="",$D$6=""),"",IF(LEFT(INDEX($A154:$P154,$D$6),LEN(Inputs!$C$24))=Inputs!$C$24,INDEX($A154:$P154,$D$6),""))</f>
        <v/>
      </c>
      <c r="T154">
        <f>IF(OR(R154="",$D$7=""),"",TRIM(IFERROR(LEFT(INDEX($A154:$P154,$D$7),FIND(",",INDEX($A154:$P154,$D$7))-1),INDEX($A154:$P154,$D$7))))</f>
        <v/>
      </c>
      <c r="U154" s="32">
        <f>IF(OR(R154="",$D$5=""),0,IFERROR(IF(ISNUMBER(INDEX($A154:$P154,$D$5)),INDEX($A154:$P154,$D$5),TIMEVALUE(INDEX($A154:$P154,$D$5)))*Inputs!$C$22,0))</f>
        <v/>
      </c>
    </row>
    <row r="155">
      <c r="R155" s="17">
        <f>IF($D$4="","",IF(INDEX($A155:$P155,$D$4)="","",IF(ISNUMBER(INDEX($A155:$P155,$D$4)),INDEX($A155:$P155,$D$4),IFERROR(DATEVALUE(INDEX($A155:$P155,$D$4)),""))))</f>
        <v/>
      </c>
      <c r="S155">
        <f>IF(OR(R155="",$D$6=""),"",IF(LEFT(INDEX($A155:$P155,$D$6),LEN(Inputs!$C$24))=Inputs!$C$24,INDEX($A155:$P155,$D$6),""))</f>
        <v/>
      </c>
      <c r="T155">
        <f>IF(OR(R155="",$D$7=""),"",TRIM(IFERROR(LEFT(INDEX($A155:$P155,$D$7),FIND(",",INDEX($A155:$P155,$D$7))-1),INDEX($A155:$P155,$D$7))))</f>
        <v/>
      </c>
      <c r="U155" s="32">
        <f>IF(OR(R155="",$D$5=""),0,IFERROR(IF(ISNUMBER(INDEX($A155:$P155,$D$5)),INDEX($A155:$P155,$D$5),TIMEVALUE(INDEX($A155:$P155,$D$5)))*Inputs!$C$22,0))</f>
        <v/>
      </c>
    </row>
    <row r="156">
      <c r="R156" s="17">
        <f>IF($D$4="","",IF(INDEX($A156:$P156,$D$4)="","",IF(ISNUMBER(INDEX($A156:$P156,$D$4)),INDEX($A156:$P156,$D$4),IFERROR(DATEVALUE(INDEX($A156:$P156,$D$4)),""))))</f>
        <v/>
      </c>
      <c r="S156">
        <f>IF(OR(R156="",$D$6=""),"",IF(LEFT(INDEX($A156:$P156,$D$6),LEN(Inputs!$C$24))=Inputs!$C$24,INDEX($A156:$P156,$D$6),""))</f>
        <v/>
      </c>
      <c r="T156">
        <f>IF(OR(R156="",$D$7=""),"",TRIM(IFERROR(LEFT(INDEX($A156:$P156,$D$7),FIND(",",INDEX($A156:$P156,$D$7))-1),INDEX($A156:$P156,$D$7))))</f>
        <v/>
      </c>
      <c r="U156" s="32">
        <f>IF(OR(R156="",$D$5=""),0,IFERROR(IF(ISNUMBER(INDEX($A156:$P156,$D$5)),INDEX($A156:$P156,$D$5),TIMEVALUE(INDEX($A156:$P156,$D$5)))*Inputs!$C$22,0))</f>
        <v/>
      </c>
    </row>
    <row r="157">
      <c r="R157" s="17">
        <f>IF($D$4="","",IF(INDEX($A157:$P157,$D$4)="","",IF(ISNUMBER(INDEX($A157:$P157,$D$4)),INDEX($A157:$P157,$D$4),IFERROR(DATEVALUE(INDEX($A157:$P157,$D$4)),""))))</f>
        <v/>
      </c>
      <c r="S157">
        <f>IF(OR(R157="",$D$6=""),"",IF(LEFT(INDEX($A157:$P157,$D$6),LEN(Inputs!$C$24))=Inputs!$C$24,INDEX($A157:$P157,$D$6),""))</f>
        <v/>
      </c>
      <c r="T157">
        <f>IF(OR(R157="",$D$7=""),"",TRIM(IFERROR(LEFT(INDEX($A157:$P157,$D$7),FIND(",",INDEX($A157:$P157,$D$7))-1),INDEX($A157:$P157,$D$7))))</f>
        <v/>
      </c>
      <c r="U157" s="32">
        <f>IF(OR(R157="",$D$5=""),0,IFERROR(IF(ISNUMBER(INDEX($A157:$P157,$D$5)),INDEX($A157:$P157,$D$5),TIMEVALUE(INDEX($A157:$P157,$D$5)))*Inputs!$C$22,0))</f>
        <v/>
      </c>
    </row>
    <row r="158">
      <c r="R158" s="17">
        <f>IF($D$4="","",IF(INDEX($A158:$P158,$D$4)="","",IF(ISNUMBER(INDEX($A158:$P158,$D$4)),INDEX($A158:$P158,$D$4),IFERROR(DATEVALUE(INDEX($A158:$P158,$D$4)),""))))</f>
        <v/>
      </c>
      <c r="S158">
        <f>IF(OR(R158="",$D$6=""),"",IF(LEFT(INDEX($A158:$P158,$D$6),LEN(Inputs!$C$24))=Inputs!$C$24,INDEX($A158:$P158,$D$6),""))</f>
        <v/>
      </c>
      <c r="T158">
        <f>IF(OR(R158="",$D$7=""),"",TRIM(IFERROR(LEFT(INDEX($A158:$P158,$D$7),FIND(",",INDEX($A158:$P158,$D$7))-1),INDEX($A158:$P158,$D$7))))</f>
        <v/>
      </c>
      <c r="U158" s="32">
        <f>IF(OR(R158="",$D$5=""),0,IFERROR(IF(ISNUMBER(INDEX($A158:$P158,$D$5)),INDEX($A158:$P158,$D$5),TIMEVALUE(INDEX($A158:$P158,$D$5)))*Inputs!$C$22,0))</f>
        <v/>
      </c>
    </row>
    <row r="159">
      <c r="R159" s="17">
        <f>IF($D$4="","",IF(INDEX($A159:$P159,$D$4)="","",IF(ISNUMBER(INDEX($A159:$P159,$D$4)),INDEX($A159:$P159,$D$4),IFERROR(DATEVALUE(INDEX($A159:$P159,$D$4)),""))))</f>
        <v/>
      </c>
      <c r="S159">
        <f>IF(OR(R159="",$D$6=""),"",IF(LEFT(INDEX($A159:$P159,$D$6),LEN(Inputs!$C$24))=Inputs!$C$24,INDEX($A159:$P159,$D$6),""))</f>
        <v/>
      </c>
      <c r="T159">
        <f>IF(OR(R159="",$D$7=""),"",TRIM(IFERROR(LEFT(INDEX($A159:$P159,$D$7),FIND(",",INDEX($A159:$P159,$D$7))-1),INDEX($A159:$P159,$D$7))))</f>
        <v/>
      </c>
      <c r="U159" s="32">
        <f>IF(OR(R159="",$D$5=""),0,IFERROR(IF(ISNUMBER(INDEX($A159:$P159,$D$5)),INDEX($A159:$P159,$D$5),TIMEVALUE(INDEX($A159:$P159,$D$5)))*Inputs!$C$22,0))</f>
        <v/>
      </c>
    </row>
    <row r="160">
      <c r="R160" s="17">
        <f>IF($D$4="","",IF(INDEX($A160:$P160,$D$4)="","",IF(ISNUMBER(INDEX($A160:$P160,$D$4)),INDEX($A160:$P160,$D$4),IFERROR(DATEVALUE(INDEX($A160:$P160,$D$4)),""))))</f>
        <v/>
      </c>
      <c r="S160">
        <f>IF(OR(R160="",$D$6=""),"",IF(LEFT(INDEX($A160:$P160,$D$6),LEN(Inputs!$C$24))=Inputs!$C$24,INDEX($A160:$P160,$D$6),""))</f>
        <v/>
      </c>
      <c r="T160">
        <f>IF(OR(R160="",$D$7=""),"",TRIM(IFERROR(LEFT(INDEX($A160:$P160,$D$7),FIND(",",INDEX($A160:$P160,$D$7))-1),INDEX($A160:$P160,$D$7))))</f>
        <v/>
      </c>
      <c r="U160" s="32">
        <f>IF(OR(R160="",$D$5=""),0,IFERROR(IF(ISNUMBER(INDEX($A160:$P160,$D$5)),INDEX($A160:$P160,$D$5),TIMEVALUE(INDEX($A160:$P160,$D$5)))*Inputs!$C$22,0))</f>
        <v/>
      </c>
    </row>
    <row r="161">
      <c r="R161" s="17">
        <f>IF($D$4="","",IF(INDEX($A161:$P161,$D$4)="","",IF(ISNUMBER(INDEX($A161:$P161,$D$4)),INDEX($A161:$P161,$D$4),IFERROR(DATEVALUE(INDEX($A161:$P161,$D$4)),""))))</f>
        <v/>
      </c>
      <c r="S161">
        <f>IF(OR(R161="",$D$6=""),"",IF(LEFT(INDEX($A161:$P161,$D$6),LEN(Inputs!$C$24))=Inputs!$C$24,INDEX($A161:$P161,$D$6),""))</f>
        <v/>
      </c>
      <c r="T161">
        <f>IF(OR(R161="",$D$7=""),"",TRIM(IFERROR(LEFT(INDEX($A161:$P161,$D$7),FIND(",",INDEX($A161:$P161,$D$7))-1),INDEX($A161:$P161,$D$7))))</f>
        <v/>
      </c>
      <c r="U161" s="32">
        <f>IF(OR(R161="",$D$5=""),0,IFERROR(IF(ISNUMBER(INDEX($A161:$P161,$D$5)),INDEX($A161:$P161,$D$5),TIMEVALUE(INDEX($A161:$P161,$D$5)))*Inputs!$C$22,0))</f>
        <v/>
      </c>
    </row>
    <row r="162">
      <c r="R162" s="17">
        <f>IF($D$4="","",IF(INDEX($A162:$P162,$D$4)="","",IF(ISNUMBER(INDEX($A162:$P162,$D$4)),INDEX($A162:$P162,$D$4),IFERROR(DATEVALUE(INDEX($A162:$P162,$D$4)),""))))</f>
        <v/>
      </c>
      <c r="S162">
        <f>IF(OR(R162="",$D$6=""),"",IF(LEFT(INDEX($A162:$P162,$D$6),LEN(Inputs!$C$24))=Inputs!$C$24,INDEX($A162:$P162,$D$6),""))</f>
        <v/>
      </c>
      <c r="T162">
        <f>IF(OR(R162="",$D$7=""),"",TRIM(IFERROR(LEFT(INDEX($A162:$P162,$D$7),FIND(",",INDEX($A162:$P162,$D$7))-1),INDEX($A162:$P162,$D$7))))</f>
        <v/>
      </c>
      <c r="U162" s="32">
        <f>IF(OR(R162="",$D$5=""),0,IFERROR(IF(ISNUMBER(INDEX($A162:$P162,$D$5)),INDEX($A162:$P162,$D$5),TIMEVALUE(INDEX($A162:$P162,$D$5)))*Inputs!$C$22,0))</f>
        <v/>
      </c>
    </row>
    <row r="163">
      <c r="R163" s="17">
        <f>IF($D$4="","",IF(INDEX($A163:$P163,$D$4)="","",IF(ISNUMBER(INDEX($A163:$P163,$D$4)),INDEX($A163:$P163,$D$4),IFERROR(DATEVALUE(INDEX($A163:$P163,$D$4)),""))))</f>
        <v/>
      </c>
      <c r="S163">
        <f>IF(OR(R163="",$D$6=""),"",IF(LEFT(INDEX($A163:$P163,$D$6),LEN(Inputs!$C$24))=Inputs!$C$24,INDEX($A163:$P163,$D$6),""))</f>
        <v/>
      </c>
      <c r="T163">
        <f>IF(OR(R163="",$D$7=""),"",TRIM(IFERROR(LEFT(INDEX($A163:$P163,$D$7),FIND(",",INDEX($A163:$P163,$D$7))-1),INDEX($A163:$P163,$D$7))))</f>
        <v/>
      </c>
      <c r="U163" s="32">
        <f>IF(OR(R163="",$D$5=""),0,IFERROR(IF(ISNUMBER(INDEX($A163:$P163,$D$5)),INDEX($A163:$P163,$D$5),TIMEVALUE(INDEX($A163:$P163,$D$5)))*Inputs!$C$22,0))</f>
        <v/>
      </c>
    </row>
    <row r="164">
      <c r="R164" s="17">
        <f>IF($D$4="","",IF(INDEX($A164:$P164,$D$4)="","",IF(ISNUMBER(INDEX($A164:$P164,$D$4)),INDEX($A164:$P164,$D$4),IFERROR(DATEVALUE(INDEX($A164:$P164,$D$4)),""))))</f>
        <v/>
      </c>
      <c r="S164">
        <f>IF(OR(R164="",$D$6=""),"",IF(LEFT(INDEX($A164:$P164,$D$6),LEN(Inputs!$C$24))=Inputs!$C$24,INDEX($A164:$P164,$D$6),""))</f>
        <v/>
      </c>
      <c r="T164">
        <f>IF(OR(R164="",$D$7=""),"",TRIM(IFERROR(LEFT(INDEX($A164:$P164,$D$7),FIND(",",INDEX($A164:$P164,$D$7))-1),INDEX($A164:$P164,$D$7))))</f>
        <v/>
      </c>
      <c r="U164" s="32">
        <f>IF(OR(R164="",$D$5=""),0,IFERROR(IF(ISNUMBER(INDEX($A164:$P164,$D$5)),INDEX($A164:$P164,$D$5),TIMEVALUE(INDEX($A164:$P164,$D$5)))*Inputs!$C$22,0))</f>
        <v/>
      </c>
    </row>
    <row r="165">
      <c r="R165" s="17">
        <f>IF($D$4="","",IF(INDEX($A165:$P165,$D$4)="","",IF(ISNUMBER(INDEX($A165:$P165,$D$4)),INDEX($A165:$P165,$D$4),IFERROR(DATEVALUE(INDEX($A165:$P165,$D$4)),""))))</f>
        <v/>
      </c>
      <c r="S165">
        <f>IF(OR(R165="",$D$6=""),"",IF(LEFT(INDEX($A165:$P165,$D$6),LEN(Inputs!$C$24))=Inputs!$C$24,INDEX($A165:$P165,$D$6),""))</f>
        <v/>
      </c>
      <c r="T165">
        <f>IF(OR(R165="",$D$7=""),"",TRIM(IFERROR(LEFT(INDEX($A165:$P165,$D$7),FIND(",",INDEX($A165:$P165,$D$7))-1),INDEX($A165:$P165,$D$7))))</f>
        <v/>
      </c>
      <c r="U165" s="32">
        <f>IF(OR(R165="",$D$5=""),0,IFERROR(IF(ISNUMBER(INDEX($A165:$P165,$D$5)),INDEX($A165:$P165,$D$5),TIMEVALUE(INDEX($A165:$P165,$D$5)))*Inputs!$C$22,0))</f>
        <v/>
      </c>
    </row>
    <row r="166">
      <c r="R166" s="17">
        <f>IF($D$4="","",IF(INDEX($A166:$P166,$D$4)="","",IF(ISNUMBER(INDEX($A166:$P166,$D$4)),INDEX($A166:$P166,$D$4),IFERROR(DATEVALUE(INDEX($A166:$P166,$D$4)),""))))</f>
        <v/>
      </c>
      <c r="S166">
        <f>IF(OR(R166="",$D$6=""),"",IF(LEFT(INDEX($A166:$P166,$D$6),LEN(Inputs!$C$24))=Inputs!$C$24,INDEX($A166:$P166,$D$6),""))</f>
        <v/>
      </c>
      <c r="T166">
        <f>IF(OR(R166="",$D$7=""),"",TRIM(IFERROR(LEFT(INDEX($A166:$P166,$D$7),FIND(",",INDEX($A166:$P166,$D$7))-1),INDEX($A166:$P166,$D$7))))</f>
        <v/>
      </c>
      <c r="U166" s="32">
        <f>IF(OR(R166="",$D$5=""),0,IFERROR(IF(ISNUMBER(INDEX($A166:$P166,$D$5)),INDEX($A166:$P166,$D$5),TIMEVALUE(INDEX($A166:$P166,$D$5)))*Inputs!$C$22,0))</f>
        <v/>
      </c>
    </row>
    <row r="167">
      <c r="R167" s="17">
        <f>IF($D$4="","",IF(INDEX($A167:$P167,$D$4)="","",IF(ISNUMBER(INDEX($A167:$P167,$D$4)),INDEX($A167:$P167,$D$4),IFERROR(DATEVALUE(INDEX($A167:$P167,$D$4)),""))))</f>
        <v/>
      </c>
      <c r="S167">
        <f>IF(OR(R167="",$D$6=""),"",IF(LEFT(INDEX($A167:$P167,$D$6),LEN(Inputs!$C$24))=Inputs!$C$24,INDEX($A167:$P167,$D$6),""))</f>
        <v/>
      </c>
      <c r="T167">
        <f>IF(OR(R167="",$D$7=""),"",TRIM(IFERROR(LEFT(INDEX($A167:$P167,$D$7),FIND(",",INDEX($A167:$P167,$D$7))-1),INDEX($A167:$P167,$D$7))))</f>
        <v/>
      </c>
      <c r="U167" s="32">
        <f>IF(OR(R167="",$D$5=""),0,IFERROR(IF(ISNUMBER(INDEX($A167:$P167,$D$5)),INDEX($A167:$P167,$D$5),TIMEVALUE(INDEX($A167:$P167,$D$5)))*Inputs!$C$22,0))</f>
        <v/>
      </c>
    </row>
    <row r="168">
      <c r="R168" s="17">
        <f>IF($D$4="","",IF(INDEX($A168:$P168,$D$4)="","",IF(ISNUMBER(INDEX($A168:$P168,$D$4)),INDEX($A168:$P168,$D$4),IFERROR(DATEVALUE(INDEX($A168:$P168,$D$4)),""))))</f>
        <v/>
      </c>
      <c r="S168">
        <f>IF(OR(R168="",$D$6=""),"",IF(LEFT(INDEX($A168:$P168,$D$6),LEN(Inputs!$C$24))=Inputs!$C$24,INDEX($A168:$P168,$D$6),""))</f>
        <v/>
      </c>
      <c r="T168">
        <f>IF(OR(R168="",$D$7=""),"",TRIM(IFERROR(LEFT(INDEX($A168:$P168,$D$7),FIND(",",INDEX($A168:$P168,$D$7))-1),INDEX($A168:$P168,$D$7))))</f>
        <v/>
      </c>
      <c r="U168" s="32">
        <f>IF(OR(R168="",$D$5=""),0,IFERROR(IF(ISNUMBER(INDEX($A168:$P168,$D$5)),INDEX($A168:$P168,$D$5),TIMEVALUE(INDEX($A168:$P168,$D$5)))*Inputs!$C$22,0))</f>
        <v/>
      </c>
    </row>
    <row r="169">
      <c r="R169" s="17">
        <f>IF($D$4="","",IF(INDEX($A169:$P169,$D$4)="","",IF(ISNUMBER(INDEX($A169:$P169,$D$4)),INDEX($A169:$P169,$D$4),IFERROR(DATEVALUE(INDEX($A169:$P169,$D$4)),""))))</f>
        <v/>
      </c>
      <c r="S169">
        <f>IF(OR(R169="",$D$6=""),"",IF(LEFT(INDEX($A169:$P169,$D$6),LEN(Inputs!$C$24))=Inputs!$C$24,INDEX($A169:$P169,$D$6),""))</f>
        <v/>
      </c>
      <c r="T169">
        <f>IF(OR(R169="",$D$7=""),"",TRIM(IFERROR(LEFT(INDEX($A169:$P169,$D$7),FIND(",",INDEX($A169:$P169,$D$7))-1),INDEX($A169:$P169,$D$7))))</f>
        <v/>
      </c>
      <c r="U169" s="32">
        <f>IF(OR(R169="",$D$5=""),0,IFERROR(IF(ISNUMBER(INDEX($A169:$P169,$D$5)),INDEX($A169:$P169,$D$5),TIMEVALUE(INDEX($A169:$P169,$D$5)))*Inputs!$C$22,0))</f>
        <v/>
      </c>
    </row>
    <row r="170">
      <c r="R170" s="17">
        <f>IF($D$4="","",IF(INDEX($A170:$P170,$D$4)="","",IF(ISNUMBER(INDEX($A170:$P170,$D$4)),INDEX($A170:$P170,$D$4),IFERROR(DATEVALUE(INDEX($A170:$P170,$D$4)),""))))</f>
        <v/>
      </c>
      <c r="S170">
        <f>IF(OR(R170="",$D$6=""),"",IF(LEFT(INDEX($A170:$P170,$D$6),LEN(Inputs!$C$24))=Inputs!$C$24,INDEX($A170:$P170,$D$6),""))</f>
        <v/>
      </c>
      <c r="T170">
        <f>IF(OR(R170="",$D$7=""),"",TRIM(IFERROR(LEFT(INDEX($A170:$P170,$D$7),FIND(",",INDEX($A170:$P170,$D$7))-1),INDEX($A170:$P170,$D$7))))</f>
        <v/>
      </c>
      <c r="U170" s="32">
        <f>IF(OR(R170="",$D$5=""),0,IFERROR(IF(ISNUMBER(INDEX($A170:$P170,$D$5)),INDEX($A170:$P170,$D$5),TIMEVALUE(INDEX($A170:$P170,$D$5)))*Inputs!$C$22,0))</f>
        <v/>
      </c>
    </row>
    <row r="171">
      <c r="R171" s="17">
        <f>IF($D$4="","",IF(INDEX($A171:$P171,$D$4)="","",IF(ISNUMBER(INDEX($A171:$P171,$D$4)),INDEX($A171:$P171,$D$4),IFERROR(DATEVALUE(INDEX($A171:$P171,$D$4)),""))))</f>
        <v/>
      </c>
      <c r="S171">
        <f>IF(OR(R171="",$D$6=""),"",IF(LEFT(INDEX($A171:$P171,$D$6),LEN(Inputs!$C$24))=Inputs!$C$24,INDEX($A171:$P171,$D$6),""))</f>
        <v/>
      </c>
      <c r="T171">
        <f>IF(OR(R171="",$D$7=""),"",TRIM(IFERROR(LEFT(INDEX($A171:$P171,$D$7),FIND(",",INDEX($A171:$P171,$D$7))-1),INDEX($A171:$P171,$D$7))))</f>
        <v/>
      </c>
      <c r="U171" s="32">
        <f>IF(OR(R171="",$D$5=""),0,IFERROR(IF(ISNUMBER(INDEX($A171:$P171,$D$5)),INDEX($A171:$P171,$D$5),TIMEVALUE(INDEX($A171:$P171,$D$5)))*Inputs!$C$22,0))</f>
        <v/>
      </c>
    </row>
    <row r="172">
      <c r="R172" s="17">
        <f>IF($D$4="","",IF(INDEX($A172:$P172,$D$4)="","",IF(ISNUMBER(INDEX($A172:$P172,$D$4)),INDEX($A172:$P172,$D$4),IFERROR(DATEVALUE(INDEX($A172:$P172,$D$4)),""))))</f>
        <v/>
      </c>
      <c r="S172">
        <f>IF(OR(R172="",$D$6=""),"",IF(LEFT(INDEX($A172:$P172,$D$6),LEN(Inputs!$C$24))=Inputs!$C$24,INDEX($A172:$P172,$D$6),""))</f>
        <v/>
      </c>
      <c r="T172">
        <f>IF(OR(R172="",$D$7=""),"",TRIM(IFERROR(LEFT(INDEX($A172:$P172,$D$7),FIND(",",INDEX($A172:$P172,$D$7))-1),INDEX($A172:$P172,$D$7))))</f>
        <v/>
      </c>
      <c r="U172" s="32">
        <f>IF(OR(R172="",$D$5=""),0,IFERROR(IF(ISNUMBER(INDEX($A172:$P172,$D$5)),INDEX($A172:$P172,$D$5),TIMEVALUE(INDEX($A172:$P172,$D$5)))*Inputs!$C$22,0))</f>
        <v/>
      </c>
    </row>
    <row r="173">
      <c r="R173" s="17">
        <f>IF($D$4="","",IF(INDEX($A173:$P173,$D$4)="","",IF(ISNUMBER(INDEX($A173:$P173,$D$4)),INDEX($A173:$P173,$D$4),IFERROR(DATEVALUE(INDEX($A173:$P173,$D$4)),""))))</f>
        <v/>
      </c>
      <c r="S173">
        <f>IF(OR(R173="",$D$6=""),"",IF(LEFT(INDEX($A173:$P173,$D$6),LEN(Inputs!$C$24))=Inputs!$C$24,INDEX($A173:$P173,$D$6),""))</f>
        <v/>
      </c>
      <c r="T173">
        <f>IF(OR(R173="",$D$7=""),"",TRIM(IFERROR(LEFT(INDEX($A173:$P173,$D$7),FIND(",",INDEX($A173:$P173,$D$7))-1),INDEX($A173:$P173,$D$7))))</f>
        <v/>
      </c>
      <c r="U173" s="32">
        <f>IF(OR(R173="",$D$5=""),0,IFERROR(IF(ISNUMBER(INDEX($A173:$P173,$D$5)),INDEX($A173:$P173,$D$5),TIMEVALUE(INDEX($A173:$P173,$D$5)))*Inputs!$C$22,0))</f>
        <v/>
      </c>
    </row>
    <row r="174">
      <c r="R174" s="17">
        <f>IF($D$4="","",IF(INDEX($A174:$P174,$D$4)="","",IF(ISNUMBER(INDEX($A174:$P174,$D$4)),INDEX($A174:$P174,$D$4),IFERROR(DATEVALUE(INDEX($A174:$P174,$D$4)),""))))</f>
        <v/>
      </c>
      <c r="S174">
        <f>IF(OR(R174="",$D$6=""),"",IF(LEFT(INDEX($A174:$P174,$D$6),LEN(Inputs!$C$24))=Inputs!$C$24,INDEX($A174:$P174,$D$6),""))</f>
        <v/>
      </c>
      <c r="T174">
        <f>IF(OR(R174="",$D$7=""),"",TRIM(IFERROR(LEFT(INDEX($A174:$P174,$D$7),FIND(",",INDEX($A174:$P174,$D$7))-1),INDEX($A174:$P174,$D$7))))</f>
        <v/>
      </c>
      <c r="U174" s="32">
        <f>IF(OR(R174="",$D$5=""),0,IFERROR(IF(ISNUMBER(INDEX($A174:$P174,$D$5)),INDEX($A174:$P174,$D$5),TIMEVALUE(INDEX($A174:$P174,$D$5)))*Inputs!$C$22,0))</f>
        <v/>
      </c>
    </row>
    <row r="175">
      <c r="R175" s="17">
        <f>IF($D$4="","",IF(INDEX($A175:$P175,$D$4)="","",IF(ISNUMBER(INDEX($A175:$P175,$D$4)),INDEX($A175:$P175,$D$4),IFERROR(DATEVALUE(INDEX($A175:$P175,$D$4)),""))))</f>
        <v/>
      </c>
      <c r="S175">
        <f>IF(OR(R175="",$D$6=""),"",IF(LEFT(INDEX($A175:$P175,$D$6),LEN(Inputs!$C$24))=Inputs!$C$24,INDEX($A175:$P175,$D$6),""))</f>
        <v/>
      </c>
      <c r="T175">
        <f>IF(OR(R175="",$D$7=""),"",TRIM(IFERROR(LEFT(INDEX($A175:$P175,$D$7),FIND(",",INDEX($A175:$P175,$D$7))-1),INDEX($A175:$P175,$D$7))))</f>
        <v/>
      </c>
      <c r="U175" s="32">
        <f>IF(OR(R175="",$D$5=""),0,IFERROR(IF(ISNUMBER(INDEX($A175:$P175,$D$5)),INDEX($A175:$P175,$D$5),TIMEVALUE(INDEX($A175:$P175,$D$5)))*Inputs!$C$22,0))</f>
        <v/>
      </c>
    </row>
    <row r="176">
      <c r="R176" s="17">
        <f>IF($D$4="","",IF(INDEX($A176:$P176,$D$4)="","",IF(ISNUMBER(INDEX($A176:$P176,$D$4)),INDEX($A176:$P176,$D$4),IFERROR(DATEVALUE(INDEX($A176:$P176,$D$4)),""))))</f>
        <v/>
      </c>
      <c r="S176">
        <f>IF(OR(R176="",$D$6=""),"",IF(LEFT(INDEX($A176:$P176,$D$6),LEN(Inputs!$C$24))=Inputs!$C$24,INDEX($A176:$P176,$D$6),""))</f>
        <v/>
      </c>
      <c r="T176">
        <f>IF(OR(R176="",$D$7=""),"",TRIM(IFERROR(LEFT(INDEX($A176:$P176,$D$7),FIND(",",INDEX($A176:$P176,$D$7))-1),INDEX($A176:$P176,$D$7))))</f>
        <v/>
      </c>
      <c r="U176" s="32">
        <f>IF(OR(R176="",$D$5=""),0,IFERROR(IF(ISNUMBER(INDEX($A176:$P176,$D$5)),INDEX($A176:$P176,$D$5),TIMEVALUE(INDEX($A176:$P176,$D$5)))*Inputs!$C$22,0))</f>
        <v/>
      </c>
    </row>
    <row r="177">
      <c r="R177" s="17">
        <f>IF($D$4="","",IF(INDEX($A177:$P177,$D$4)="","",IF(ISNUMBER(INDEX($A177:$P177,$D$4)),INDEX($A177:$P177,$D$4),IFERROR(DATEVALUE(INDEX($A177:$P177,$D$4)),""))))</f>
        <v/>
      </c>
      <c r="S177">
        <f>IF(OR(R177="",$D$6=""),"",IF(LEFT(INDEX($A177:$P177,$D$6),LEN(Inputs!$C$24))=Inputs!$C$24,INDEX($A177:$P177,$D$6),""))</f>
        <v/>
      </c>
      <c r="T177">
        <f>IF(OR(R177="",$D$7=""),"",TRIM(IFERROR(LEFT(INDEX($A177:$P177,$D$7),FIND(",",INDEX($A177:$P177,$D$7))-1),INDEX($A177:$P177,$D$7))))</f>
        <v/>
      </c>
      <c r="U177" s="32">
        <f>IF(OR(R177="",$D$5=""),0,IFERROR(IF(ISNUMBER(INDEX($A177:$P177,$D$5)),INDEX($A177:$P177,$D$5),TIMEVALUE(INDEX($A177:$P177,$D$5)))*Inputs!$C$22,0))</f>
        <v/>
      </c>
    </row>
    <row r="178">
      <c r="R178" s="17">
        <f>IF($D$4="","",IF(INDEX($A178:$P178,$D$4)="","",IF(ISNUMBER(INDEX($A178:$P178,$D$4)),INDEX($A178:$P178,$D$4),IFERROR(DATEVALUE(INDEX($A178:$P178,$D$4)),""))))</f>
        <v/>
      </c>
      <c r="S178">
        <f>IF(OR(R178="",$D$6=""),"",IF(LEFT(INDEX($A178:$P178,$D$6),LEN(Inputs!$C$24))=Inputs!$C$24,INDEX($A178:$P178,$D$6),""))</f>
        <v/>
      </c>
      <c r="T178">
        <f>IF(OR(R178="",$D$7=""),"",TRIM(IFERROR(LEFT(INDEX($A178:$P178,$D$7),FIND(",",INDEX($A178:$P178,$D$7))-1),INDEX($A178:$P178,$D$7))))</f>
        <v/>
      </c>
      <c r="U178" s="32">
        <f>IF(OR(R178="",$D$5=""),0,IFERROR(IF(ISNUMBER(INDEX($A178:$P178,$D$5)),INDEX($A178:$P178,$D$5),TIMEVALUE(INDEX($A178:$P178,$D$5)))*Inputs!$C$22,0))</f>
        <v/>
      </c>
    </row>
    <row r="179">
      <c r="R179" s="17">
        <f>IF($D$4="","",IF(INDEX($A179:$P179,$D$4)="","",IF(ISNUMBER(INDEX($A179:$P179,$D$4)),INDEX($A179:$P179,$D$4),IFERROR(DATEVALUE(INDEX($A179:$P179,$D$4)),""))))</f>
        <v/>
      </c>
      <c r="S179">
        <f>IF(OR(R179="",$D$6=""),"",IF(LEFT(INDEX($A179:$P179,$D$6),LEN(Inputs!$C$24))=Inputs!$C$24,INDEX($A179:$P179,$D$6),""))</f>
        <v/>
      </c>
      <c r="T179">
        <f>IF(OR(R179="",$D$7=""),"",TRIM(IFERROR(LEFT(INDEX($A179:$P179,$D$7),FIND(",",INDEX($A179:$P179,$D$7))-1),INDEX($A179:$P179,$D$7))))</f>
        <v/>
      </c>
      <c r="U179" s="32">
        <f>IF(OR(R179="",$D$5=""),0,IFERROR(IF(ISNUMBER(INDEX($A179:$P179,$D$5)),INDEX($A179:$P179,$D$5),TIMEVALUE(INDEX($A179:$P179,$D$5)))*Inputs!$C$22,0))</f>
        <v/>
      </c>
    </row>
    <row r="180">
      <c r="R180" s="17">
        <f>IF($D$4="","",IF(INDEX($A180:$P180,$D$4)="","",IF(ISNUMBER(INDEX($A180:$P180,$D$4)),INDEX($A180:$P180,$D$4),IFERROR(DATEVALUE(INDEX($A180:$P180,$D$4)),""))))</f>
        <v/>
      </c>
      <c r="S180">
        <f>IF(OR(R180="",$D$6=""),"",IF(LEFT(INDEX($A180:$P180,$D$6),LEN(Inputs!$C$24))=Inputs!$C$24,INDEX($A180:$P180,$D$6),""))</f>
        <v/>
      </c>
      <c r="T180">
        <f>IF(OR(R180="",$D$7=""),"",TRIM(IFERROR(LEFT(INDEX($A180:$P180,$D$7),FIND(",",INDEX($A180:$P180,$D$7))-1),INDEX($A180:$P180,$D$7))))</f>
        <v/>
      </c>
      <c r="U180" s="32">
        <f>IF(OR(R180="",$D$5=""),0,IFERROR(IF(ISNUMBER(INDEX($A180:$P180,$D$5)),INDEX($A180:$P180,$D$5),TIMEVALUE(INDEX($A180:$P180,$D$5)))*Inputs!$C$22,0))</f>
        <v/>
      </c>
    </row>
    <row r="181">
      <c r="R181" s="17">
        <f>IF($D$4="","",IF(INDEX($A181:$P181,$D$4)="","",IF(ISNUMBER(INDEX($A181:$P181,$D$4)),INDEX($A181:$P181,$D$4),IFERROR(DATEVALUE(INDEX($A181:$P181,$D$4)),""))))</f>
        <v/>
      </c>
      <c r="S181">
        <f>IF(OR(R181="",$D$6=""),"",IF(LEFT(INDEX($A181:$P181,$D$6),LEN(Inputs!$C$24))=Inputs!$C$24,INDEX($A181:$P181,$D$6),""))</f>
        <v/>
      </c>
      <c r="T181">
        <f>IF(OR(R181="",$D$7=""),"",TRIM(IFERROR(LEFT(INDEX($A181:$P181,$D$7),FIND(",",INDEX($A181:$P181,$D$7))-1),INDEX($A181:$P181,$D$7))))</f>
        <v/>
      </c>
      <c r="U181" s="32">
        <f>IF(OR(R181="",$D$5=""),0,IFERROR(IF(ISNUMBER(INDEX($A181:$P181,$D$5)),INDEX($A181:$P181,$D$5),TIMEVALUE(INDEX($A181:$P181,$D$5)))*Inputs!$C$22,0))</f>
        <v/>
      </c>
    </row>
    <row r="182">
      <c r="R182" s="17">
        <f>IF($D$4="","",IF(INDEX($A182:$P182,$D$4)="","",IF(ISNUMBER(INDEX($A182:$P182,$D$4)),INDEX($A182:$P182,$D$4),IFERROR(DATEVALUE(INDEX($A182:$P182,$D$4)),""))))</f>
        <v/>
      </c>
      <c r="S182">
        <f>IF(OR(R182="",$D$6=""),"",IF(LEFT(INDEX($A182:$P182,$D$6),LEN(Inputs!$C$24))=Inputs!$C$24,INDEX($A182:$P182,$D$6),""))</f>
        <v/>
      </c>
      <c r="T182">
        <f>IF(OR(R182="",$D$7=""),"",TRIM(IFERROR(LEFT(INDEX($A182:$P182,$D$7),FIND(",",INDEX($A182:$P182,$D$7))-1),INDEX($A182:$P182,$D$7))))</f>
        <v/>
      </c>
      <c r="U182" s="32">
        <f>IF(OR(R182="",$D$5=""),0,IFERROR(IF(ISNUMBER(INDEX($A182:$P182,$D$5)),INDEX($A182:$P182,$D$5),TIMEVALUE(INDEX($A182:$P182,$D$5)))*Inputs!$C$22,0))</f>
        <v/>
      </c>
    </row>
    <row r="183">
      <c r="R183" s="17">
        <f>IF($D$4="","",IF(INDEX($A183:$P183,$D$4)="","",IF(ISNUMBER(INDEX($A183:$P183,$D$4)),INDEX($A183:$P183,$D$4),IFERROR(DATEVALUE(INDEX($A183:$P183,$D$4)),""))))</f>
        <v/>
      </c>
      <c r="S183">
        <f>IF(OR(R183="",$D$6=""),"",IF(LEFT(INDEX($A183:$P183,$D$6),LEN(Inputs!$C$24))=Inputs!$C$24,INDEX($A183:$P183,$D$6),""))</f>
        <v/>
      </c>
      <c r="T183">
        <f>IF(OR(R183="",$D$7=""),"",TRIM(IFERROR(LEFT(INDEX($A183:$P183,$D$7),FIND(",",INDEX($A183:$P183,$D$7))-1),INDEX($A183:$P183,$D$7))))</f>
        <v/>
      </c>
      <c r="U183" s="32">
        <f>IF(OR(R183="",$D$5=""),0,IFERROR(IF(ISNUMBER(INDEX($A183:$P183,$D$5)),INDEX($A183:$P183,$D$5),TIMEVALUE(INDEX($A183:$P183,$D$5)))*Inputs!$C$22,0))</f>
        <v/>
      </c>
    </row>
    <row r="184">
      <c r="R184" s="17">
        <f>IF($D$4="","",IF(INDEX($A184:$P184,$D$4)="","",IF(ISNUMBER(INDEX($A184:$P184,$D$4)),INDEX($A184:$P184,$D$4),IFERROR(DATEVALUE(INDEX($A184:$P184,$D$4)),""))))</f>
        <v/>
      </c>
      <c r="S184">
        <f>IF(OR(R184="",$D$6=""),"",IF(LEFT(INDEX($A184:$P184,$D$6),LEN(Inputs!$C$24))=Inputs!$C$24,INDEX($A184:$P184,$D$6),""))</f>
        <v/>
      </c>
      <c r="T184">
        <f>IF(OR(R184="",$D$7=""),"",TRIM(IFERROR(LEFT(INDEX($A184:$P184,$D$7),FIND(",",INDEX($A184:$P184,$D$7))-1),INDEX($A184:$P184,$D$7))))</f>
        <v/>
      </c>
      <c r="U184" s="32">
        <f>IF(OR(R184="",$D$5=""),0,IFERROR(IF(ISNUMBER(INDEX($A184:$P184,$D$5)),INDEX($A184:$P184,$D$5),TIMEVALUE(INDEX($A184:$P184,$D$5)))*Inputs!$C$22,0))</f>
        <v/>
      </c>
    </row>
    <row r="185">
      <c r="R185" s="17">
        <f>IF($D$4="","",IF(INDEX($A185:$P185,$D$4)="","",IF(ISNUMBER(INDEX($A185:$P185,$D$4)),INDEX($A185:$P185,$D$4),IFERROR(DATEVALUE(INDEX($A185:$P185,$D$4)),""))))</f>
        <v/>
      </c>
      <c r="S185">
        <f>IF(OR(R185="",$D$6=""),"",IF(LEFT(INDEX($A185:$P185,$D$6),LEN(Inputs!$C$24))=Inputs!$C$24,INDEX($A185:$P185,$D$6),""))</f>
        <v/>
      </c>
      <c r="T185">
        <f>IF(OR(R185="",$D$7=""),"",TRIM(IFERROR(LEFT(INDEX($A185:$P185,$D$7),FIND(",",INDEX($A185:$P185,$D$7))-1),INDEX($A185:$P185,$D$7))))</f>
        <v/>
      </c>
      <c r="U185" s="32">
        <f>IF(OR(R185="",$D$5=""),0,IFERROR(IF(ISNUMBER(INDEX($A185:$P185,$D$5)),INDEX($A185:$P185,$D$5),TIMEVALUE(INDEX($A185:$P185,$D$5)))*Inputs!$C$22,0))</f>
        <v/>
      </c>
    </row>
    <row r="186">
      <c r="R186" s="17">
        <f>IF($D$4="","",IF(INDEX($A186:$P186,$D$4)="","",IF(ISNUMBER(INDEX($A186:$P186,$D$4)),INDEX($A186:$P186,$D$4),IFERROR(DATEVALUE(INDEX($A186:$P186,$D$4)),""))))</f>
        <v/>
      </c>
      <c r="S186">
        <f>IF(OR(R186="",$D$6=""),"",IF(LEFT(INDEX($A186:$P186,$D$6),LEN(Inputs!$C$24))=Inputs!$C$24,INDEX($A186:$P186,$D$6),""))</f>
        <v/>
      </c>
      <c r="T186">
        <f>IF(OR(R186="",$D$7=""),"",TRIM(IFERROR(LEFT(INDEX($A186:$P186,$D$7),FIND(",",INDEX($A186:$P186,$D$7))-1),INDEX($A186:$P186,$D$7))))</f>
        <v/>
      </c>
      <c r="U186" s="32">
        <f>IF(OR(R186="",$D$5=""),0,IFERROR(IF(ISNUMBER(INDEX($A186:$P186,$D$5)),INDEX($A186:$P186,$D$5),TIMEVALUE(INDEX($A186:$P186,$D$5)))*Inputs!$C$22,0))</f>
        <v/>
      </c>
    </row>
    <row r="187">
      <c r="R187" s="17">
        <f>IF($D$4="","",IF(INDEX($A187:$P187,$D$4)="","",IF(ISNUMBER(INDEX($A187:$P187,$D$4)),INDEX($A187:$P187,$D$4),IFERROR(DATEVALUE(INDEX($A187:$P187,$D$4)),""))))</f>
        <v/>
      </c>
      <c r="S187">
        <f>IF(OR(R187="",$D$6=""),"",IF(LEFT(INDEX($A187:$P187,$D$6),LEN(Inputs!$C$24))=Inputs!$C$24,INDEX($A187:$P187,$D$6),""))</f>
        <v/>
      </c>
      <c r="T187">
        <f>IF(OR(R187="",$D$7=""),"",TRIM(IFERROR(LEFT(INDEX($A187:$P187,$D$7),FIND(",",INDEX($A187:$P187,$D$7))-1),INDEX($A187:$P187,$D$7))))</f>
        <v/>
      </c>
      <c r="U187" s="32">
        <f>IF(OR(R187="",$D$5=""),0,IFERROR(IF(ISNUMBER(INDEX($A187:$P187,$D$5)),INDEX($A187:$P187,$D$5),TIMEVALUE(INDEX($A187:$P187,$D$5)))*Inputs!$C$22,0))</f>
        <v/>
      </c>
    </row>
    <row r="188">
      <c r="R188" s="17">
        <f>IF($D$4="","",IF(INDEX($A188:$P188,$D$4)="","",IF(ISNUMBER(INDEX($A188:$P188,$D$4)),INDEX($A188:$P188,$D$4),IFERROR(DATEVALUE(INDEX($A188:$P188,$D$4)),""))))</f>
        <v/>
      </c>
      <c r="S188">
        <f>IF(OR(R188="",$D$6=""),"",IF(LEFT(INDEX($A188:$P188,$D$6),LEN(Inputs!$C$24))=Inputs!$C$24,INDEX($A188:$P188,$D$6),""))</f>
        <v/>
      </c>
      <c r="T188">
        <f>IF(OR(R188="",$D$7=""),"",TRIM(IFERROR(LEFT(INDEX($A188:$P188,$D$7),FIND(",",INDEX($A188:$P188,$D$7))-1),INDEX($A188:$P188,$D$7))))</f>
        <v/>
      </c>
      <c r="U188" s="32">
        <f>IF(OR(R188="",$D$5=""),0,IFERROR(IF(ISNUMBER(INDEX($A188:$P188,$D$5)),INDEX($A188:$P188,$D$5),TIMEVALUE(INDEX($A188:$P188,$D$5)))*Inputs!$C$22,0))</f>
        <v/>
      </c>
    </row>
    <row r="189">
      <c r="R189" s="17">
        <f>IF($D$4="","",IF(INDEX($A189:$P189,$D$4)="","",IF(ISNUMBER(INDEX($A189:$P189,$D$4)),INDEX($A189:$P189,$D$4),IFERROR(DATEVALUE(INDEX($A189:$P189,$D$4)),""))))</f>
        <v/>
      </c>
      <c r="S189">
        <f>IF(OR(R189="",$D$6=""),"",IF(LEFT(INDEX($A189:$P189,$D$6),LEN(Inputs!$C$24))=Inputs!$C$24,INDEX($A189:$P189,$D$6),""))</f>
        <v/>
      </c>
      <c r="T189">
        <f>IF(OR(R189="",$D$7=""),"",TRIM(IFERROR(LEFT(INDEX($A189:$P189,$D$7),FIND(",",INDEX($A189:$P189,$D$7))-1),INDEX($A189:$P189,$D$7))))</f>
        <v/>
      </c>
      <c r="U189" s="32">
        <f>IF(OR(R189="",$D$5=""),0,IFERROR(IF(ISNUMBER(INDEX($A189:$P189,$D$5)),INDEX($A189:$P189,$D$5),TIMEVALUE(INDEX($A189:$P189,$D$5)))*Inputs!$C$22,0))</f>
        <v/>
      </c>
    </row>
    <row r="190">
      <c r="R190" s="17">
        <f>IF($D$4="","",IF(INDEX($A190:$P190,$D$4)="","",IF(ISNUMBER(INDEX($A190:$P190,$D$4)),INDEX($A190:$P190,$D$4),IFERROR(DATEVALUE(INDEX($A190:$P190,$D$4)),""))))</f>
        <v/>
      </c>
      <c r="S190">
        <f>IF(OR(R190="",$D$6=""),"",IF(LEFT(INDEX($A190:$P190,$D$6),LEN(Inputs!$C$24))=Inputs!$C$24,INDEX($A190:$P190,$D$6),""))</f>
        <v/>
      </c>
      <c r="T190">
        <f>IF(OR(R190="",$D$7=""),"",TRIM(IFERROR(LEFT(INDEX($A190:$P190,$D$7),FIND(",",INDEX($A190:$P190,$D$7))-1),INDEX($A190:$P190,$D$7))))</f>
        <v/>
      </c>
      <c r="U190" s="32">
        <f>IF(OR(R190="",$D$5=""),0,IFERROR(IF(ISNUMBER(INDEX($A190:$P190,$D$5)),INDEX($A190:$P190,$D$5),TIMEVALUE(INDEX($A190:$P190,$D$5)))*Inputs!$C$22,0))</f>
        <v/>
      </c>
    </row>
    <row r="191">
      <c r="R191" s="17">
        <f>IF($D$4="","",IF(INDEX($A191:$P191,$D$4)="","",IF(ISNUMBER(INDEX($A191:$P191,$D$4)),INDEX($A191:$P191,$D$4),IFERROR(DATEVALUE(INDEX($A191:$P191,$D$4)),""))))</f>
        <v/>
      </c>
      <c r="S191">
        <f>IF(OR(R191="",$D$6=""),"",IF(LEFT(INDEX($A191:$P191,$D$6),LEN(Inputs!$C$24))=Inputs!$C$24,INDEX($A191:$P191,$D$6),""))</f>
        <v/>
      </c>
      <c r="T191">
        <f>IF(OR(R191="",$D$7=""),"",TRIM(IFERROR(LEFT(INDEX($A191:$P191,$D$7),FIND(",",INDEX($A191:$P191,$D$7))-1),INDEX($A191:$P191,$D$7))))</f>
        <v/>
      </c>
      <c r="U191" s="32">
        <f>IF(OR(R191="",$D$5=""),0,IFERROR(IF(ISNUMBER(INDEX($A191:$P191,$D$5)),INDEX($A191:$P191,$D$5),TIMEVALUE(INDEX($A191:$P191,$D$5)))*Inputs!$C$22,0))</f>
        <v/>
      </c>
    </row>
    <row r="192">
      <c r="R192" s="17">
        <f>IF($D$4="","",IF(INDEX($A192:$P192,$D$4)="","",IF(ISNUMBER(INDEX($A192:$P192,$D$4)),INDEX($A192:$P192,$D$4),IFERROR(DATEVALUE(INDEX($A192:$P192,$D$4)),""))))</f>
        <v/>
      </c>
      <c r="S192">
        <f>IF(OR(R192="",$D$6=""),"",IF(LEFT(INDEX($A192:$P192,$D$6),LEN(Inputs!$C$24))=Inputs!$C$24,INDEX($A192:$P192,$D$6),""))</f>
        <v/>
      </c>
      <c r="T192">
        <f>IF(OR(R192="",$D$7=""),"",TRIM(IFERROR(LEFT(INDEX($A192:$P192,$D$7),FIND(",",INDEX($A192:$P192,$D$7))-1),INDEX($A192:$P192,$D$7))))</f>
        <v/>
      </c>
      <c r="U192" s="32">
        <f>IF(OR(R192="",$D$5=""),0,IFERROR(IF(ISNUMBER(INDEX($A192:$P192,$D$5)),INDEX($A192:$P192,$D$5),TIMEVALUE(INDEX($A192:$P192,$D$5)))*Inputs!$C$22,0))</f>
        <v/>
      </c>
    </row>
    <row r="193">
      <c r="R193" s="17">
        <f>IF($D$4="","",IF(INDEX($A193:$P193,$D$4)="","",IF(ISNUMBER(INDEX($A193:$P193,$D$4)),INDEX($A193:$P193,$D$4),IFERROR(DATEVALUE(INDEX($A193:$P193,$D$4)),""))))</f>
        <v/>
      </c>
      <c r="S193">
        <f>IF(OR(R193="",$D$6=""),"",IF(LEFT(INDEX($A193:$P193,$D$6),LEN(Inputs!$C$24))=Inputs!$C$24,INDEX($A193:$P193,$D$6),""))</f>
        <v/>
      </c>
      <c r="T193">
        <f>IF(OR(R193="",$D$7=""),"",TRIM(IFERROR(LEFT(INDEX($A193:$P193,$D$7),FIND(",",INDEX($A193:$P193,$D$7))-1),INDEX($A193:$P193,$D$7))))</f>
        <v/>
      </c>
      <c r="U193" s="32">
        <f>IF(OR(R193="",$D$5=""),0,IFERROR(IF(ISNUMBER(INDEX($A193:$P193,$D$5)),INDEX($A193:$P193,$D$5),TIMEVALUE(INDEX($A193:$P193,$D$5)))*Inputs!$C$22,0))</f>
        <v/>
      </c>
    </row>
    <row r="194">
      <c r="R194" s="17">
        <f>IF($D$4="","",IF(INDEX($A194:$P194,$D$4)="","",IF(ISNUMBER(INDEX($A194:$P194,$D$4)),INDEX($A194:$P194,$D$4),IFERROR(DATEVALUE(INDEX($A194:$P194,$D$4)),""))))</f>
        <v/>
      </c>
      <c r="S194">
        <f>IF(OR(R194="",$D$6=""),"",IF(LEFT(INDEX($A194:$P194,$D$6),LEN(Inputs!$C$24))=Inputs!$C$24,INDEX($A194:$P194,$D$6),""))</f>
        <v/>
      </c>
      <c r="T194">
        <f>IF(OR(R194="",$D$7=""),"",TRIM(IFERROR(LEFT(INDEX($A194:$P194,$D$7),FIND(",",INDEX($A194:$P194,$D$7))-1),INDEX($A194:$P194,$D$7))))</f>
        <v/>
      </c>
      <c r="U194" s="32">
        <f>IF(OR(R194="",$D$5=""),0,IFERROR(IF(ISNUMBER(INDEX($A194:$P194,$D$5)),INDEX($A194:$P194,$D$5),TIMEVALUE(INDEX($A194:$P194,$D$5)))*Inputs!$C$22,0))</f>
        <v/>
      </c>
    </row>
    <row r="195">
      <c r="R195" s="17">
        <f>IF($D$4="","",IF(INDEX($A195:$P195,$D$4)="","",IF(ISNUMBER(INDEX($A195:$P195,$D$4)),INDEX($A195:$P195,$D$4),IFERROR(DATEVALUE(INDEX($A195:$P195,$D$4)),""))))</f>
        <v/>
      </c>
      <c r="S195">
        <f>IF(OR(R195="",$D$6=""),"",IF(LEFT(INDEX($A195:$P195,$D$6),LEN(Inputs!$C$24))=Inputs!$C$24,INDEX($A195:$P195,$D$6),""))</f>
        <v/>
      </c>
      <c r="T195">
        <f>IF(OR(R195="",$D$7=""),"",TRIM(IFERROR(LEFT(INDEX($A195:$P195,$D$7),FIND(",",INDEX($A195:$P195,$D$7))-1),INDEX($A195:$P195,$D$7))))</f>
        <v/>
      </c>
      <c r="U195" s="32">
        <f>IF(OR(R195="",$D$5=""),0,IFERROR(IF(ISNUMBER(INDEX($A195:$P195,$D$5)),INDEX($A195:$P195,$D$5),TIMEVALUE(INDEX($A195:$P195,$D$5)))*Inputs!$C$22,0))</f>
        <v/>
      </c>
    </row>
    <row r="196">
      <c r="R196" s="17">
        <f>IF($D$4="","",IF(INDEX($A196:$P196,$D$4)="","",IF(ISNUMBER(INDEX($A196:$P196,$D$4)),INDEX($A196:$P196,$D$4),IFERROR(DATEVALUE(INDEX($A196:$P196,$D$4)),""))))</f>
        <v/>
      </c>
      <c r="S196">
        <f>IF(OR(R196="",$D$6=""),"",IF(LEFT(INDEX($A196:$P196,$D$6),LEN(Inputs!$C$24))=Inputs!$C$24,INDEX($A196:$P196,$D$6),""))</f>
        <v/>
      </c>
      <c r="T196">
        <f>IF(OR(R196="",$D$7=""),"",TRIM(IFERROR(LEFT(INDEX($A196:$P196,$D$7),FIND(",",INDEX($A196:$P196,$D$7))-1),INDEX($A196:$P196,$D$7))))</f>
        <v/>
      </c>
      <c r="U196" s="32">
        <f>IF(OR(R196="",$D$5=""),0,IFERROR(IF(ISNUMBER(INDEX($A196:$P196,$D$5)),INDEX($A196:$P196,$D$5),TIMEVALUE(INDEX($A196:$P196,$D$5)))*Inputs!$C$22,0))</f>
        <v/>
      </c>
    </row>
    <row r="197">
      <c r="R197" s="17">
        <f>IF($D$4="","",IF(INDEX($A197:$P197,$D$4)="","",IF(ISNUMBER(INDEX($A197:$P197,$D$4)),INDEX($A197:$P197,$D$4),IFERROR(DATEVALUE(INDEX($A197:$P197,$D$4)),""))))</f>
        <v/>
      </c>
      <c r="S197">
        <f>IF(OR(R197="",$D$6=""),"",IF(LEFT(INDEX($A197:$P197,$D$6),LEN(Inputs!$C$24))=Inputs!$C$24,INDEX($A197:$P197,$D$6),""))</f>
        <v/>
      </c>
      <c r="T197">
        <f>IF(OR(R197="",$D$7=""),"",TRIM(IFERROR(LEFT(INDEX($A197:$P197,$D$7),FIND(",",INDEX($A197:$P197,$D$7))-1),INDEX($A197:$P197,$D$7))))</f>
        <v/>
      </c>
      <c r="U197" s="32">
        <f>IF(OR(R197="",$D$5=""),0,IFERROR(IF(ISNUMBER(INDEX($A197:$P197,$D$5)),INDEX($A197:$P197,$D$5),TIMEVALUE(INDEX($A197:$P197,$D$5)))*Inputs!$C$22,0))</f>
        <v/>
      </c>
    </row>
    <row r="198">
      <c r="R198" s="17">
        <f>IF($D$4="","",IF(INDEX($A198:$P198,$D$4)="","",IF(ISNUMBER(INDEX($A198:$P198,$D$4)),INDEX($A198:$P198,$D$4),IFERROR(DATEVALUE(INDEX($A198:$P198,$D$4)),""))))</f>
        <v/>
      </c>
      <c r="S198">
        <f>IF(OR(R198="",$D$6=""),"",IF(LEFT(INDEX($A198:$P198,$D$6),LEN(Inputs!$C$24))=Inputs!$C$24,INDEX($A198:$P198,$D$6),""))</f>
        <v/>
      </c>
      <c r="T198">
        <f>IF(OR(R198="",$D$7=""),"",TRIM(IFERROR(LEFT(INDEX($A198:$P198,$D$7),FIND(",",INDEX($A198:$P198,$D$7))-1),INDEX($A198:$P198,$D$7))))</f>
        <v/>
      </c>
      <c r="U198" s="32">
        <f>IF(OR(R198="",$D$5=""),0,IFERROR(IF(ISNUMBER(INDEX($A198:$P198,$D$5)),INDEX($A198:$P198,$D$5),TIMEVALUE(INDEX($A198:$P198,$D$5)))*Inputs!$C$22,0))</f>
        <v/>
      </c>
    </row>
    <row r="199">
      <c r="R199" s="17">
        <f>IF($D$4="","",IF(INDEX($A199:$P199,$D$4)="","",IF(ISNUMBER(INDEX($A199:$P199,$D$4)),INDEX($A199:$P199,$D$4),IFERROR(DATEVALUE(INDEX($A199:$P199,$D$4)),""))))</f>
        <v/>
      </c>
      <c r="S199">
        <f>IF(OR(R199="",$D$6=""),"",IF(LEFT(INDEX($A199:$P199,$D$6),LEN(Inputs!$C$24))=Inputs!$C$24,INDEX($A199:$P199,$D$6),""))</f>
        <v/>
      </c>
      <c r="T199">
        <f>IF(OR(R199="",$D$7=""),"",TRIM(IFERROR(LEFT(INDEX($A199:$P199,$D$7),FIND(",",INDEX($A199:$P199,$D$7))-1),INDEX($A199:$P199,$D$7))))</f>
        <v/>
      </c>
      <c r="U199" s="32">
        <f>IF(OR(R199="",$D$5=""),0,IFERROR(IF(ISNUMBER(INDEX($A199:$P199,$D$5)),INDEX($A199:$P199,$D$5),TIMEVALUE(INDEX($A199:$P199,$D$5)))*Inputs!$C$22,0))</f>
        <v/>
      </c>
    </row>
    <row r="200">
      <c r="R200" s="17">
        <f>IF($D$4="","",IF(INDEX($A200:$P200,$D$4)="","",IF(ISNUMBER(INDEX($A200:$P200,$D$4)),INDEX($A200:$P200,$D$4),IFERROR(DATEVALUE(INDEX($A200:$P200,$D$4)),""))))</f>
        <v/>
      </c>
      <c r="S200">
        <f>IF(OR(R200="",$D$6=""),"",IF(LEFT(INDEX($A200:$P200,$D$6),LEN(Inputs!$C$24))=Inputs!$C$24,INDEX($A200:$P200,$D$6),""))</f>
        <v/>
      </c>
      <c r="T200">
        <f>IF(OR(R200="",$D$7=""),"",TRIM(IFERROR(LEFT(INDEX($A200:$P200,$D$7),FIND(",",INDEX($A200:$P200,$D$7))-1),INDEX($A200:$P200,$D$7))))</f>
        <v/>
      </c>
      <c r="U200" s="32">
        <f>IF(OR(R200="",$D$5=""),0,IFERROR(IF(ISNUMBER(INDEX($A200:$P200,$D$5)),INDEX($A200:$P200,$D$5),TIMEVALUE(INDEX($A200:$P200,$D$5)))*Inputs!$C$22,0))</f>
        <v/>
      </c>
    </row>
    <row r="201">
      <c r="R201" s="17">
        <f>IF($D$4="","",IF(INDEX($A201:$P201,$D$4)="","",IF(ISNUMBER(INDEX($A201:$P201,$D$4)),INDEX($A201:$P201,$D$4),IFERROR(DATEVALUE(INDEX($A201:$P201,$D$4)),""))))</f>
        <v/>
      </c>
      <c r="S201">
        <f>IF(OR(R201="",$D$6=""),"",IF(LEFT(INDEX($A201:$P201,$D$6),LEN(Inputs!$C$24))=Inputs!$C$24,INDEX($A201:$P201,$D$6),""))</f>
        <v/>
      </c>
      <c r="T201">
        <f>IF(OR(R201="",$D$7=""),"",TRIM(IFERROR(LEFT(INDEX($A201:$P201,$D$7),FIND(",",INDEX($A201:$P201,$D$7))-1),INDEX($A201:$P201,$D$7))))</f>
        <v/>
      </c>
      <c r="U201" s="32">
        <f>IF(OR(R201="",$D$5=""),0,IFERROR(IF(ISNUMBER(INDEX($A201:$P201,$D$5)),INDEX($A201:$P201,$D$5),TIMEVALUE(INDEX($A201:$P201,$D$5)))*Inputs!$C$22,0))</f>
        <v/>
      </c>
    </row>
    <row r="202">
      <c r="R202" s="17">
        <f>IF($D$4="","",IF(INDEX($A202:$P202,$D$4)="","",IF(ISNUMBER(INDEX($A202:$P202,$D$4)),INDEX($A202:$P202,$D$4),IFERROR(DATEVALUE(INDEX($A202:$P202,$D$4)),""))))</f>
        <v/>
      </c>
      <c r="S202">
        <f>IF(OR(R202="",$D$6=""),"",IF(LEFT(INDEX($A202:$P202,$D$6),LEN(Inputs!$C$24))=Inputs!$C$24,INDEX($A202:$P202,$D$6),""))</f>
        <v/>
      </c>
      <c r="T202">
        <f>IF(OR(R202="",$D$7=""),"",TRIM(IFERROR(LEFT(INDEX($A202:$P202,$D$7),FIND(",",INDEX($A202:$P202,$D$7))-1),INDEX($A202:$P202,$D$7))))</f>
        <v/>
      </c>
      <c r="U202" s="32">
        <f>IF(OR(R202="",$D$5=""),0,IFERROR(IF(ISNUMBER(INDEX($A202:$P202,$D$5)),INDEX($A202:$P202,$D$5),TIMEVALUE(INDEX($A202:$P202,$D$5)))*Inputs!$C$22,0))</f>
        <v/>
      </c>
    </row>
    <row r="203">
      <c r="R203" s="17">
        <f>IF($D$4="","",IF(INDEX($A203:$P203,$D$4)="","",IF(ISNUMBER(INDEX($A203:$P203,$D$4)),INDEX($A203:$P203,$D$4),IFERROR(DATEVALUE(INDEX($A203:$P203,$D$4)),""))))</f>
        <v/>
      </c>
      <c r="S203">
        <f>IF(OR(R203="",$D$6=""),"",IF(LEFT(INDEX($A203:$P203,$D$6),LEN(Inputs!$C$24))=Inputs!$C$24,INDEX($A203:$P203,$D$6),""))</f>
        <v/>
      </c>
      <c r="T203">
        <f>IF(OR(R203="",$D$7=""),"",TRIM(IFERROR(LEFT(INDEX($A203:$P203,$D$7),FIND(",",INDEX($A203:$P203,$D$7))-1),INDEX($A203:$P203,$D$7))))</f>
        <v/>
      </c>
      <c r="U203" s="32">
        <f>IF(OR(R203="",$D$5=""),0,IFERROR(IF(ISNUMBER(INDEX($A203:$P203,$D$5)),INDEX($A203:$P203,$D$5),TIMEVALUE(INDEX($A203:$P203,$D$5)))*Inputs!$C$22,0))</f>
        <v/>
      </c>
    </row>
    <row r="204">
      <c r="R204" s="17">
        <f>IF($D$4="","",IF(INDEX($A204:$P204,$D$4)="","",IF(ISNUMBER(INDEX($A204:$P204,$D$4)),INDEX($A204:$P204,$D$4),IFERROR(DATEVALUE(INDEX($A204:$P204,$D$4)),""))))</f>
        <v/>
      </c>
      <c r="S204">
        <f>IF(OR(R204="",$D$6=""),"",IF(LEFT(INDEX($A204:$P204,$D$6),LEN(Inputs!$C$24))=Inputs!$C$24,INDEX($A204:$P204,$D$6),""))</f>
        <v/>
      </c>
      <c r="T204">
        <f>IF(OR(R204="",$D$7=""),"",TRIM(IFERROR(LEFT(INDEX($A204:$P204,$D$7),FIND(",",INDEX($A204:$P204,$D$7))-1),INDEX($A204:$P204,$D$7))))</f>
        <v/>
      </c>
      <c r="U204" s="32">
        <f>IF(OR(R204="",$D$5=""),0,IFERROR(IF(ISNUMBER(INDEX($A204:$P204,$D$5)),INDEX($A204:$P204,$D$5),TIMEVALUE(INDEX($A204:$P204,$D$5)))*Inputs!$C$22,0))</f>
        <v/>
      </c>
    </row>
    <row r="205">
      <c r="R205" s="17">
        <f>IF($D$4="","",IF(INDEX($A205:$P205,$D$4)="","",IF(ISNUMBER(INDEX($A205:$P205,$D$4)),INDEX($A205:$P205,$D$4),IFERROR(DATEVALUE(INDEX($A205:$P205,$D$4)),""))))</f>
        <v/>
      </c>
      <c r="S205">
        <f>IF(OR(R205="",$D$6=""),"",IF(LEFT(INDEX($A205:$P205,$D$6),LEN(Inputs!$C$24))=Inputs!$C$24,INDEX($A205:$P205,$D$6),""))</f>
        <v/>
      </c>
      <c r="T205">
        <f>IF(OR(R205="",$D$7=""),"",TRIM(IFERROR(LEFT(INDEX($A205:$P205,$D$7),FIND(",",INDEX($A205:$P205,$D$7))-1),INDEX($A205:$P205,$D$7))))</f>
        <v/>
      </c>
      <c r="U205" s="32">
        <f>IF(OR(R205="",$D$5=""),0,IFERROR(IF(ISNUMBER(INDEX($A205:$P205,$D$5)),INDEX($A205:$P205,$D$5),TIMEVALUE(INDEX($A205:$P205,$D$5)))*Inputs!$C$22,0))</f>
        <v/>
      </c>
    </row>
    <row r="206">
      <c r="R206" s="17">
        <f>IF($D$4="","",IF(INDEX($A206:$P206,$D$4)="","",IF(ISNUMBER(INDEX($A206:$P206,$D$4)),INDEX($A206:$P206,$D$4),IFERROR(DATEVALUE(INDEX($A206:$P206,$D$4)),""))))</f>
        <v/>
      </c>
      <c r="S206">
        <f>IF(OR(R206="",$D$6=""),"",IF(LEFT(INDEX($A206:$P206,$D$6),LEN(Inputs!$C$24))=Inputs!$C$24,INDEX($A206:$P206,$D$6),""))</f>
        <v/>
      </c>
      <c r="T206">
        <f>IF(OR(R206="",$D$7=""),"",TRIM(IFERROR(LEFT(INDEX($A206:$P206,$D$7),FIND(",",INDEX($A206:$P206,$D$7))-1),INDEX($A206:$P206,$D$7))))</f>
        <v/>
      </c>
      <c r="U206" s="32">
        <f>IF(OR(R206="",$D$5=""),0,IFERROR(IF(ISNUMBER(INDEX($A206:$P206,$D$5)),INDEX($A206:$P206,$D$5),TIMEVALUE(INDEX($A206:$P206,$D$5)))*Inputs!$C$22,0))</f>
        <v/>
      </c>
    </row>
    <row r="207">
      <c r="R207" s="17">
        <f>IF($D$4="","",IF(INDEX($A207:$P207,$D$4)="","",IF(ISNUMBER(INDEX($A207:$P207,$D$4)),INDEX($A207:$P207,$D$4),IFERROR(DATEVALUE(INDEX($A207:$P207,$D$4)),""))))</f>
        <v/>
      </c>
      <c r="S207">
        <f>IF(OR(R207="",$D$6=""),"",IF(LEFT(INDEX($A207:$P207,$D$6),LEN(Inputs!$C$24))=Inputs!$C$24,INDEX($A207:$P207,$D$6),""))</f>
        <v/>
      </c>
      <c r="T207">
        <f>IF(OR(R207="",$D$7=""),"",TRIM(IFERROR(LEFT(INDEX($A207:$P207,$D$7),FIND(",",INDEX($A207:$P207,$D$7))-1),INDEX($A207:$P207,$D$7))))</f>
        <v/>
      </c>
      <c r="U207" s="32">
        <f>IF(OR(R207="",$D$5=""),0,IFERROR(IF(ISNUMBER(INDEX($A207:$P207,$D$5)),INDEX($A207:$P207,$D$5),TIMEVALUE(INDEX($A207:$P207,$D$5)))*Inputs!$C$22,0))</f>
        <v/>
      </c>
    </row>
    <row r="208">
      <c r="R208" s="17">
        <f>IF($D$4="","",IF(INDEX($A208:$P208,$D$4)="","",IF(ISNUMBER(INDEX($A208:$P208,$D$4)),INDEX($A208:$P208,$D$4),IFERROR(DATEVALUE(INDEX($A208:$P208,$D$4)),""))))</f>
        <v/>
      </c>
      <c r="S208">
        <f>IF(OR(R208="",$D$6=""),"",IF(LEFT(INDEX($A208:$P208,$D$6),LEN(Inputs!$C$24))=Inputs!$C$24,INDEX($A208:$P208,$D$6),""))</f>
        <v/>
      </c>
      <c r="T208">
        <f>IF(OR(R208="",$D$7=""),"",TRIM(IFERROR(LEFT(INDEX($A208:$P208,$D$7),FIND(",",INDEX($A208:$P208,$D$7))-1),INDEX($A208:$P208,$D$7))))</f>
        <v/>
      </c>
      <c r="U208" s="32">
        <f>IF(OR(R208="",$D$5=""),0,IFERROR(IF(ISNUMBER(INDEX($A208:$P208,$D$5)),INDEX($A208:$P208,$D$5),TIMEVALUE(INDEX($A208:$P208,$D$5)))*Inputs!$C$22,0))</f>
        <v/>
      </c>
    </row>
    <row r="209">
      <c r="R209" s="17">
        <f>IF($D$4="","",IF(INDEX($A209:$P209,$D$4)="","",IF(ISNUMBER(INDEX($A209:$P209,$D$4)),INDEX($A209:$P209,$D$4),IFERROR(DATEVALUE(INDEX($A209:$P209,$D$4)),""))))</f>
        <v/>
      </c>
      <c r="S209">
        <f>IF(OR(R209="",$D$6=""),"",IF(LEFT(INDEX($A209:$P209,$D$6),LEN(Inputs!$C$24))=Inputs!$C$24,INDEX($A209:$P209,$D$6),""))</f>
        <v/>
      </c>
      <c r="T209">
        <f>IF(OR(R209="",$D$7=""),"",TRIM(IFERROR(LEFT(INDEX($A209:$P209,$D$7),FIND(",",INDEX($A209:$P209,$D$7))-1),INDEX($A209:$P209,$D$7))))</f>
        <v/>
      </c>
      <c r="U209" s="32">
        <f>IF(OR(R209="",$D$5=""),0,IFERROR(IF(ISNUMBER(INDEX($A209:$P209,$D$5)),INDEX($A209:$P209,$D$5),TIMEVALUE(INDEX($A209:$P209,$D$5)))*Inputs!$C$22,0))</f>
        <v/>
      </c>
    </row>
    <row r="210">
      <c r="R210" s="17">
        <f>IF($D$4="","",IF(INDEX($A210:$P210,$D$4)="","",IF(ISNUMBER(INDEX($A210:$P210,$D$4)),INDEX($A210:$P210,$D$4),IFERROR(DATEVALUE(INDEX($A210:$P210,$D$4)),""))))</f>
        <v/>
      </c>
      <c r="S210">
        <f>IF(OR(R210="",$D$6=""),"",IF(LEFT(INDEX($A210:$P210,$D$6),LEN(Inputs!$C$24))=Inputs!$C$24,INDEX($A210:$P210,$D$6),""))</f>
        <v/>
      </c>
      <c r="T210">
        <f>IF(OR(R210="",$D$7=""),"",TRIM(IFERROR(LEFT(INDEX($A210:$P210,$D$7),FIND(",",INDEX($A210:$P210,$D$7))-1),INDEX($A210:$P210,$D$7))))</f>
        <v/>
      </c>
      <c r="U210" s="32">
        <f>IF(OR(R210="",$D$5=""),0,IFERROR(IF(ISNUMBER(INDEX($A210:$P210,$D$5)),INDEX($A210:$P210,$D$5),TIMEVALUE(INDEX($A210:$P210,$D$5)))*Inputs!$C$22,0))</f>
        <v/>
      </c>
    </row>
    <row r="211">
      <c r="R211" s="17">
        <f>IF($D$4="","",IF(INDEX($A211:$P211,$D$4)="","",IF(ISNUMBER(INDEX($A211:$P211,$D$4)),INDEX($A211:$P211,$D$4),IFERROR(DATEVALUE(INDEX($A211:$P211,$D$4)),""))))</f>
        <v/>
      </c>
      <c r="S211">
        <f>IF(OR(R211="",$D$6=""),"",IF(LEFT(INDEX($A211:$P211,$D$6),LEN(Inputs!$C$24))=Inputs!$C$24,INDEX($A211:$P211,$D$6),""))</f>
        <v/>
      </c>
      <c r="T211">
        <f>IF(OR(R211="",$D$7=""),"",TRIM(IFERROR(LEFT(INDEX($A211:$P211,$D$7),FIND(",",INDEX($A211:$P211,$D$7))-1),INDEX($A211:$P211,$D$7))))</f>
        <v/>
      </c>
      <c r="U211" s="32">
        <f>IF(OR(R211="",$D$5=""),0,IFERROR(IF(ISNUMBER(INDEX($A211:$P211,$D$5)),INDEX($A211:$P211,$D$5),TIMEVALUE(INDEX($A211:$P211,$D$5)))*Inputs!$C$22,0))</f>
        <v/>
      </c>
    </row>
    <row r="212">
      <c r="R212" s="17">
        <f>IF($D$4="","",IF(INDEX($A212:$P212,$D$4)="","",IF(ISNUMBER(INDEX($A212:$P212,$D$4)),INDEX($A212:$P212,$D$4),IFERROR(DATEVALUE(INDEX($A212:$P212,$D$4)),""))))</f>
        <v/>
      </c>
      <c r="S212">
        <f>IF(OR(R212="",$D$6=""),"",IF(LEFT(INDEX($A212:$P212,$D$6),LEN(Inputs!$C$24))=Inputs!$C$24,INDEX($A212:$P212,$D$6),""))</f>
        <v/>
      </c>
      <c r="T212">
        <f>IF(OR(R212="",$D$7=""),"",TRIM(IFERROR(LEFT(INDEX($A212:$P212,$D$7),FIND(",",INDEX($A212:$P212,$D$7))-1),INDEX($A212:$P212,$D$7))))</f>
        <v/>
      </c>
      <c r="U212" s="32">
        <f>IF(OR(R212="",$D$5=""),0,IFERROR(IF(ISNUMBER(INDEX($A212:$P212,$D$5)),INDEX($A212:$P212,$D$5),TIMEVALUE(INDEX($A212:$P212,$D$5)))*Inputs!$C$22,0))</f>
        <v/>
      </c>
    </row>
    <row r="213">
      <c r="R213" s="17">
        <f>IF($D$4="","",IF(INDEX($A213:$P213,$D$4)="","",IF(ISNUMBER(INDEX($A213:$P213,$D$4)),INDEX($A213:$P213,$D$4),IFERROR(DATEVALUE(INDEX($A213:$P213,$D$4)),""))))</f>
        <v/>
      </c>
      <c r="S213">
        <f>IF(OR(R213="",$D$6=""),"",IF(LEFT(INDEX($A213:$P213,$D$6),LEN(Inputs!$C$24))=Inputs!$C$24,INDEX($A213:$P213,$D$6),""))</f>
        <v/>
      </c>
      <c r="T213">
        <f>IF(OR(R213="",$D$7=""),"",TRIM(IFERROR(LEFT(INDEX($A213:$P213,$D$7),FIND(",",INDEX($A213:$P213,$D$7))-1),INDEX($A213:$P213,$D$7))))</f>
        <v/>
      </c>
      <c r="U213" s="32">
        <f>IF(OR(R213="",$D$5=""),0,IFERROR(IF(ISNUMBER(INDEX($A213:$P213,$D$5)),INDEX($A213:$P213,$D$5),TIMEVALUE(INDEX($A213:$P213,$D$5)))*Inputs!$C$22,0))</f>
        <v/>
      </c>
    </row>
    <row r="214">
      <c r="R214" s="17">
        <f>IF($D$4="","",IF(INDEX($A214:$P214,$D$4)="","",IF(ISNUMBER(INDEX($A214:$P214,$D$4)),INDEX($A214:$P214,$D$4),IFERROR(DATEVALUE(INDEX($A214:$P214,$D$4)),""))))</f>
        <v/>
      </c>
      <c r="S214">
        <f>IF(OR(R214="",$D$6=""),"",IF(LEFT(INDEX($A214:$P214,$D$6),LEN(Inputs!$C$24))=Inputs!$C$24,INDEX($A214:$P214,$D$6),""))</f>
        <v/>
      </c>
      <c r="T214">
        <f>IF(OR(R214="",$D$7=""),"",TRIM(IFERROR(LEFT(INDEX($A214:$P214,$D$7),FIND(",",INDEX($A214:$P214,$D$7))-1),INDEX($A214:$P214,$D$7))))</f>
        <v/>
      </c>
      <c r="U214" s="32">
        <f>IF(OR(R214="",$D$5=""),0,IFERROR(IF(ISNUMBER(INDEX($A214:$P214,$D$5)),INDEX($A214:$P214,$D$5),TIMEVALUE(INDEX($A214:$P214,$D$5)))*Inputs!$C$22,0))</f>
        <v/>
      </c>
    </row>
    <row r="215">
      <c r="R215" s="17">
        <f>IF($D$4="","",IF(INDEX($A215:$P215,$D$4)="","",IF(ISNUMBER(INDEX($A215:$P215,$D$4)),INDEX($A215:$P215,$D$4),IFERROR(DATEVALUE(INDEX($A215:$P215,$D$4)),""))))</f>
        <v/>
      </c>
      <c r="S215">
        <f>IF(OR(R215="",$D$6=""),"",IF(LEFT(INDEX($A215:$P215,$D$6),LEN(Inputs!$C$24))=Inputs!$C$24,INDEX($A215:$P215,$D$6),""))</f>
        <v/>
      </c>
      <c r="T215">
        <f>IF(OR(R215="",$D$7=""),"",TRIM(IFERROR(LEFT(INDEX($A215:$P215,$D$7),FIND(",",INDEX($A215:$P215,$D$7))-1),INDEX($A215:$P215,$D$7))))</f>
        <v/>
      </c>
      <c r="U215" s="32">
        <f>IF(OR(R215="",$D$5=""),0,IFERROR(IF(ISNUMBER(INDEX($A215:$P215,$D$5)),INDEX($A215:$P215,$D$5),TIMEVALUE(INDEX($A215:$P215,$D$5)))*Inputs!$C$22,0))</f>
        <v/>
      </c>
    </row>
    <row r="216">
      <c r="R216" s="17">
        <f>IF($D$4="","",IF(INDEX($A216:$P216,$D$4)="","",IF(ISNUMBER(INDEX($A216:$P216,$D$4)),INDEX($A216:$P216,$D$4),IFERROR(DATEVALUE(INDEX($A216:$P216,$D$4)),""))))</f>
        <v/>
      </c>
      <c r="S216">
        <f>IF(OR(R216="",$D$6=""),"",IF(LEFT(INDEX($A216:$P216,$D$6),LEN(Inputs!$C$24))=Inputs!$C$24,INDEX($A216:$P216,$D$6),""))</f>
        <v/>
      </c>
      <c r="T216">
        <f>IF(OR(R216="",$D$7=""),"",TRIM(IFERROR(LEFT(INDEX($A216:$P216,$D$7),FIND(",",INDEX($A216:$P216,$D$7))-1),INDEX($A216:$P216,$D$7))))</f>
        <v/>
      </c>
      <c r="U216" s="32">
        <f>IF(OR(R216="",$D$5=""),0,IFERROR(IF(ISNUMBER(INDEX($A216:$P216,$D$5)),INDEX($A216:$P216,$D$5),TIMEVALUE(INDEX($A216:$P216,$D$5)))*Inputs!$C$22,0))</f>
        <v/>
      </c>
    </row>
    <row r="217">
      <c r="R217" s="17">
        <f>IF($D$4="","",IF(INDEX($A217:$P217,$D$4)="","",IF(ISNUMBER(INDEX($A217:$P217,$D$4)),INDEX($A217:$P217,$D$4),IFERROR(DATEVALUE(INDEX($A217:$P217,$D$4)),""))))</f>
        <v/>
      </c>
      <c r="S217">
        <f>IF(OR(R217="",$D$6=""),"",IF(LEFT(INDEX($A217:$P217,$D$6),LEN(Inputs!$C$24))=Inputs!$C$24,INDEX($A217:$P217,$D$6),""))</f>
        <v/>
      </c>
      <c r="T217">
        <f>IF(OR(R217="",$D$7=""),"",TRIM(IFERROR(LEFT(INDEX($A217:$P217,$D$7),FIND(",",INDEX($A217:$P217,$D$7))-1),INDEX($A217:$P217,$D$7))))</f>
        <v/>
      </c>
      <c r="U217" s="32">
        <f>IF(OR(R217="",$D$5=""),0,IFERROR(IF(ISNUMBER(INDEX($A217:$P217,$D$5)),INDEX($A217:$P217,$D$5),TIMEVALUE(INDEX($A217:$P217,$D$5)))*Inputs!$C$22,0))</f>
        <v/>
      </c>
    </row>
    <row r="218">
      <c r="R218" s="17">
        <f>IF($D$4="","",IF(INDEX($A218:$P218,$D$4)="","",IF(ISNUMBER(INDEX($A218:$P218,$D$4)),INDEX($A218:$P218,$D$4),IFERROR(DATEVALUE(INDEX($A218:$P218,$D$4)),""))))</f>
        <v/>
      </c>
      <c r="S218">
        <f>IF(OR(R218="",$D$6=""),"",IF(LEFT(INDEX($A218:$P218,$D$6),LEN(Inputs!$C$24))=Inputs!$C$24,INDEX($A218:$P218,$D$6),""))</f>
        <v/>
      </c>
      <c r="T218">
        <f>IF(OR(R218="",$D$7=""),"",TRIM(IFERROR(LEFT(INDEX($A218:$P218,$D$7),FIND(",",INDEX($A218:$P218,$D$7))-1),INDEX($A218:$P218,$D$7))))</f>
        <v/>
      </c>
      <c r="U218" s="32">
        <f>IF(OR(R218="",$D$5=""),0,IFERROR(IF(ISNUMBER(INDEX($A218:$P218,$D$5)),INDEX($A218:$P218,$D$5),TIMEVALUE(INDEX($A218:$P218,$D$5)))*Inputs!$C$22,0))</f>
        <v/>
      </c>
    </row>
    <row r="219">
      <c r="R219" s="17">
        <f>IF($D$4="","",IF(INDEX($A219:$P219,$D$4)="","",IF(ISNUMBER(INDEX($A219:$P219,$D$4)),INDEX($A219:$P219,$D$4),IFERROR(DATEVALUE(INDEX($A219:$P219,$D$4)),""))))</f>
        <v/>
      </c>
      <c r="S219">
        <f>IF(OR(R219="",$D$6=""),"",IF(LEFT(INDEX($A219:$P219,$D$6),LEN(Inputs!$C$24))=Inputs!$C$24,INDEX($A219:$P219,$D$6),""))</f>
        <v/>
      </c>
      <c r="T219">
        <f>IF(OR(R219="",$D$7=""),"",TRIM(IFERROR(LEFT(INDEX($A219:$P219,$D$7),FIND(",",INDEX($A219:$P219,$D$7))-1),INDEX($A219:$P219,$D$7))))</f>
        <v/>
      </c>
      <c r="U219" s="32">
        <f>IF(OR(R219="",$D$5=""),0,IFERROR(IF(ISNUMBER(INDEX($A219:$P219,$D$5)),INDEX($A219:$P219,$D$5),TIMEVALUE(INDEX($A219:$P219,$D$5)))*Inputs!$C$22,0))</f>
        <v/>
      </c>
    </row>
    <row r="220">
      <c r="R220" s="17">
        <f>IF($D$4="","",IF(INDEX($A220:$P220,$D$4)="","",IF(ISNUMBER(INDEX($A220:$P220,$D$4)),INDEX($A220:$P220,$D$4),IFERROR(DATEVALUE(INDEX($A220:$P220,$D$4)),""))))</f>
        <v/>
      </c>
      <c r="S220">
        <f>IF(OR(R220="",$D$6=""),"",IF(LEFT(INDEX($A220:$P220,$D$6),LEN(Inputs!$C$24))=Inputs!$C$24,INDEX($A220:$P220,$D$6),""))</f>
        <v/>
      </c>
      <c r="T220">
        <f>IF(OR(R220="",$D$7=""),"",TRIM(IFERROR(LEFT(INDEX($A220:$P220,$D$7),FIND(",",INDEX($A220:$P220,$D$7))-1),INDEX($A220:$P220,$D$7))))</f>
        <v/>
      </c>
      <c r="U220" s="32">
        <f>IF(OR(R220="",$D$5=""),0,IFERROR(IF(ISNUMBER(INDEX($A220:$P220,$D$5)),INDEX($A220:$P220,$D$5),TIMEVALUE(INDEX($A220:$P220,$D$5)))*Inputs!$C$22,0))</f>
        <v/>
      </c>
    </row>
    <row r="221">
      <c r="R221" s="17">
        <f>IF($D$4="","",IF(INDEX($A221:$P221,$D$4)="","",IF(ISNUMBER(INDEX($A221:$P221,$D$4)),INDEX($A221:$P221,$D$4),IFERROR(DATEVALUE(INDEX($A221:$P221,$D$4)),""))))</f>
        <v/>
      </c>
      <c r="S221">
        <f>IF(OR(R221="",$D$6=""),"",IF(LEFT(INDEX($A221:$P221,$D$6),LEN(Inputs!$C$24))=Inputs!$C$24,INDEX($A221:$P221,$D$6),""))</f>
        <v/>
      </c>
      <c r="T221">
        <f>IF(OR(R221="",$D$7=""),"",TRIM(IFERROR(LEFT(INDEX($A221:$P221,$D$7),FIND(",",INDEX($A221:$P221,$D$7))-1),INDEX($A221:$P221,$D$7))))</f>
        <v/>
      </c>
      <c r="U221" s="32">
        <f>IF(OR(R221="",$D$5=""),0,IFERROR(IF(ISNUMBER(INDEX($A221:$P221,$D$5)),INDEX($A221:$P221,$D$5),TIMEVALUE(INDEX($A221:$P221,$D$5)))*Inputs!$C$22,0))</f>
        <v/>
      </c>
    </row>
    <row r="222">
      <c r="R222" s="17">
        <f>IF($D$4="","",IF(INDEX($A222:$P222,$D$4)="","",IF(ISNUMBER(INDEX($A222:$P222,$D$4)),INDEX($A222:$P222,$D$4),IFERROR(DATEVALUE(INDEX($A222:$P222,$D$4)),""))))</f>
        <v/>
      </c>
      <c r="S222">
        <f>IF(OR(R222="",$D$6=""),"",IF(LEFT(INDEX($A222:$P222,$D$6),LEN(Inputs!$C$24))=Inputs!$C$24,INDEX($A222:$P222,$D$6),""))</f>
        <v/>
      </c>
      <c r="T222">
        <f>IF(OR(R222="",$D$7=""),"",TRIM(IFERROR(LEFT(INDEX($A222:$P222,$D$7),FIND(",",INDEX($A222:$P222,$D$7))-1),INDEX($A222:$P222,$D$7))))</f>
        <v/>
      </c>
      <c r="U222" s="32">
        <f>IF(OR(R222="",$D$5=""),0,IFERROR(IF(ISNUMBER(INDEX($A222:$P222,$D$5)),INDEX($A222:$P222,$D$5),TIMEVALUE(INDEX($A222:$P222,$D$5)))*Inputs!$C$22,0))</f>
        <v/>
      </c>
    </row>
    <row r="223">
      <c r="R223" s="17">
        <f>IF($D$4="","",IF(INDEX($A223:$P223,$D$4)="","",IF(ISNUMBER(INDEX($A223:$P223,$D$4)),INDEX($A223:$P223,$D$4),IFERROR(DATEVALUE(INDEX($A223:$P223,$D$4)),""))))</f>
        <v/>
      </c>
      <c r="S223">
        <f>IF(OR(R223="",$D$6=""),"",IF(LEFT(INDEX($A223:$P223,$D$6),LEN(Inputs!$C$24))=Inputs!$C$24,INDEX($A223:$P223,$D$6),""))</f>
        <v/>
      </c>
      <c r="T223">
        <f>IF(OR(R223="",$D$7=""),"",TRIM(IFERROR(LEFT(INDEX($A223:$P223,$D$7),FIND(",",INDEX($A223:$P223,$D$7))-1),INDEX($A223:$P223,$D$7))))</f>
        <v/>
      </c>
      <c r="U223" s="32">
        <f>IF(OR(R223="",$D$5=""),0,IFERROR(IF(ISNUMBER(INDEX($A223:$P223,$D$5)),INDEX($A223:$P223,$D$5),TIMEVALUE(INDEX($A223:$P223,$D$5)))*Inputs!$C$22,0))</f>
        <v/>
      </c>
    </row>
    <row r="224">
      <c r="R224" s="17">
        <f>IF($D$4="","",IF(INDEX($A224:$P224,$D$4)="","",IF(ISNUMBER(INDEX($A224:$P224,$D$4)),INDEX($A224:$P224,$D$4),IFERROR(DATEVALUE(INDEX($A224:$P224,$D$4)),""))))</f>
        <v/>
      </c>
      <c r="S224">
        <f>IF(OR(R224="",$D$6=""),"",IF(LEFT(INDEX($A224:$P224,$D$6),LEN(Inputs!$C$24))=Inputs!$C$24,INDEX($A224:$P224,$D$6),""))</f>
        <v/>
      </c>
      <c r="T224">
        <f>IF(OR(R224="",$D$7=""),"",TRIM(IFERROR(LEFT(INDEX($A224:$P224,$D$7),FIND(",",INDEX($A224:$P224,$D$7))-1),INDEX($A224:$P224,$D$7))))</f>
        <v/>
      </c>
      <c r="U224" s="32">
        <f>IF(OR(R224="",$D$5=""),0,IFERROR(IF(ISNUMBER(INDEX($A224:$P224,$D$5)),INDEX($A224:$P224,$D$5),TIMEVALUE(INDEX($A224:$P224,$D$5)))*Inputs!$C$22,0))</f>
        <v/>
      </c>
    </row>
    <row r="225">
      <c r="R225" s="17">
        <f>IF($D$4="","",IF(INDEX($A225:$P225,$D$4)="","",IF(ISNUMBER(INDEX($A225:$P225,$D$4)),INDEX($A225:$P225,$D$4),IFERROR(DATEVALUE(INDEX($A225:$P225,$D$4)),""))))</f>
        <v/>
      </c>
      <c r="S225">
        <f>IF(OR(R225="",$D$6=""),"",IF(LEFT(INDEX($A225:$P225,$D$6),LEN(Inputs!$C$24))=Inputs!$C$24,INDEX($A225:$P225,$D$6),""))</f>
        <v/>
      </c>
      <c r="T225">
        <f>IF(OR(R225="",$D$7=""),"",TRIM(IFERROR(LEFT(INDEX($A225:$P225,$D$7),FIND(",",INDEX($A225:$P225,$D$7))-1),INDEX($A225:$P225,$D$7))))</f>
        <v/>
      </c>
      <c r="U225" s="32">
        <f>IF(OR(R225="",$D$5=""),0,IFERROR(IF(ISNUMBER(INDEX($A225:$P225,$D$5)),INDEX($A225:$P225,$D$5),TIMEVALUE(INDEX($A225:$P225,$D$5)))*Inputs!$C$22,0))</f>
        <v/>
      </c>
    </row>
    <row r="226">
      <c r="R226" s="17">
        <f>IF($D$4="","",IF(INDEX($A226:$P226,$D$4)="","",IF(ISNUMBER(INDEX($A226:$P226,$D$4)),INDEX($A226:$P226,$D$4),IFERROR(DATEVALUE(INDEX($A226:$P226,$D$4)),""))))</f>
        <v/>
      </c>
      <c r="S226">
        <f>IF(OR(R226="",$D$6=""),"",IF(LEFT(INDEX($A226:$P226,$D$6),LEN(Inputs!$C$24))=Inputs!$C$24,INDEX($A226:$P226,$D$6),""))</f>
        <v/>
      </c>
      <c r="T226">
        <f>IF(OR(R226="",$D$7=""),"",TRIM(IFERROR(LEFT(INDEX($A226:$P226,$D$7),FIND(",",INDEX($A226:$P226,$D$7))-1),INDEX($A226:$P226,$D$7))))</f>
        <v/>
      </c>
      <c r="U226" s="32">
        <f>IF(OR(R226="",$D$5=""),0,IFERROR(IF(ISNUMBER(INDEX($A226:$P226,$D$5)),INDEX($A226:$P226,$D$5),TIMEVALUE(INDEX($A226:$P226,$D$5)))*Inputs!$C$22,0))</f>
        <v/>
      </c>
    </row>
    <row r="227">
      <c r="R227" s="17">
        <f>IF($D$4="","",IF(INDEX($A227:$P227,$D$4)="","",IF(ISNUMBER(INDEX($A227:$P227,$D$4)),INDEX($A227:$P227,$D$4),IFERROR(DATEVALUE(INDEX($A227:$P227,$D$4)),""))))</f>
        <v/>
      </c>
      <c r="S227">
        <f>IF(OR(R227="",$D$6=""),"",IF(LEFT(INDEX($A227:$P227,$D$6),LEN(Inputs!$C$24))=Inputs!$C$24,INDEX($A227:$P227,$D$6),""))</f>
        <v/>
      </c>
      <c r="T227">
        <f>IF(OR(R227="",$D$7=""),"",TRIM(IFERROR(LEFT(INDEX($A227:$P227,$D$7),FIND(",",INDEX($A227:$P227,$D$7))-1),INDEX($A227:$P227,$D$7))))</f>
        <v/>
      </c>
      <c r="U227" s="32">
        <f>IF(OR(R227="",$D$5=""),0,IFERROR(IF(ISNUMBER(INDEX($A227:$P227,$D$5)),INDEX($A227:$P227,$D$5),TIMEVALUE(INDEX($A227:$P227,$D$5)))*Inputs!$C$22,0))</f>
        <v/>
      </c>
    </row>
    <row r="228">
      <c r="R228" s="17">
        <f>IF($D$4="","",IF(INDEX($A228:$P228,$D$4)="","",IF(ISNUMBER(INDEX($A228:$P228,$D$4)),INDEX($A228:$P228,$D$4),IFERROR(DATEVALUE(INDEX($A228:$P228,$D$4)),""))))</f>
        <v/>
      </c>
      <c r="S228">
        <f>IF(OR(R228="",$D$6=""),"",IF(LEFT(INDEX($A228:$P228,$D$6),LEN(Inputs!$C$24))=Inputs!$C$24,INDEX($A228:$P228,$D$6),""))</f>
        <v/>
      </c>
      <c r="T228">
        <f>IF(OR(R228="",$D$7=""),"",TRIM(IFERROR(LEFT(INDEX($A228:$P228,$D$7),FIND(",",INDEX($A228:$P228,$D$7))-1),INDEX($A228:$P228,$D$7))))</f>
        <v/>
      </c>
      <c r="U228" s="32">
        <f>IF(OR(R228="",$D$5=""),0,IFERROR(IF(ISNUMBER(INDEX($A228:$P228,$D$5)),INDEX($A228:$P228,$D$5),TIMEVALUE(INDEX($A228:$P228,$D$5)))*Inputs!$C$22,0))</f>
        <v/>
      </c>
    </row>
    <row r="229">
      <c r="R229" s="17">
        <f>IF($D$4="","",IF(INDEX($A229:$P229,$D$4)="","",IF(ISNUMBER(INDEX($A229:$P229,$D$4)),INDEX($A229:$P229,$D$4),IFERROR(DATEVALUE(INDEX($A229:$P229,$D$4)),""))))</f>
        <v/>
      </c>
      <c r="S229">
        <f>IF(OR(R229="",$D$6=""),"",IF(LEFT(INDEX($A229:$P229,$D$6),LEN(Inputs!$C$24))=Inputs!$C$24,INDEX($A229:$P229,$D$6),""))</f>
        <v/>
      </c>
      <c r="T229">
        <f>IF(OR(R229="",$D$7=""),"",TRIM(IFERROR(LEFT(INDEX($A229:$P229,$D$7),FIND(",",INDEX($A229:$P229,$D$7))-1),INDEX($A229:$P229,$D$7))))</f>
        <v/>
      </c>
      <c r="U229" s="32">
        <f>IF(OR(R229="",$D$5=""),0,IFERROR(IF(ISNUMBER(INDEX($A229:$P229,$D$5)),INDEX($A229:$P229,$D$5),TIMEVALUE(INDEX($A229:$P229,$D$5)))*Inputs!$C$22,0))</f>
        <v/>
      </c>
    </row>
    <row r="230">
      <c r="R230" s="17">
        <f>IF($D$4="","",IF(INDEX($A230:$P230,$D$4)="","",IF(ISNUMBER(INDEX($A230:$P230,$D$4)),INDEX($A230:$P230,$D$4),IFERROR(DATEVALUE(INDEX($A230:$P230,$D$4)),""))))</f>
        <v/>
      </c>
      <c r="S230">
        <f>IF(OR(R230="",$D$6=""),"",IF(LEFT(INDEX($A230:$P230,$D$6),LEN(Inputs!$C$24))=Inputs!$C$24,INDEX($A230:$P230,$D$6),""))</f>
        <v/>
      </c>
      <c r="T230">
        <f>IF(OR(R230="",$D$7=""),"",TRIM(IFERROR(LEFT(INDEX($A230:$P230,$D$7),FIND(",",INDEX($A230:$P230,$D$7))-1),INDEX($A230:$P230,$D$7))))</f>
        <v/>
      </c>
      <c r="U230" s="32">
        <f>IF(OR(R230="",$D$5=""),0,IFERROR(IF(ISNUMBER(INDEX($A230:$P230,$D$5)),INDEX($A230:$P230,$D$5),TIMEVALUE(INDEX($A230:$P230,$D$5)))*Inputs!$C$22,0))</f>
        <v/>
      </c>
    </row>
    <row r="231">
      <c r="R231" s="17">
        <f>IF($D$4="","",IF(INDEX($A231:$P231,$D$4)="","",IF(ISNUMBER(INDEX($A231:$P231,$D$4)),INDEX($A231:$P231,$D$4),IFERROR(DATEVALUE(INDEX($A231:$P231,$D$4)),""))))</f>
        <v/>
      </c>
      <c r="S231">
        <f>IF(OR(R231="",$D$6=""),"",IF(LEFT(INDEX($A231:$P231,$D$6),LEN(Inputs!$C$24))=Inputs!$C$24,INDEX($A231:$P231,$D$6),""))</f>
        <v/>
      </c>
      <c r="T231">
        <f>IF(OR(R231="",$D$7=""),"",TRIM(IFERROR(LEFT(INDEX($A231:$P231,$D$7),FIND(",",INDEX($A231:$P231,$D$7))-1),INDEX($A231:$P231,$D$7))))</f>
        <v/>
      </c>
      <c r="U231" s="32">
        <f>IF(OR(R231="",$D$5=""),0,IFERROR(IF(ISNUMBER(INDEX($A231:$P231,$D$5)),INDEX($A231:$P231,$D$5),TIMEVALUE(INDEX($A231:$P231,$D$5)))*Inputs!$C$22,0))</f>
        <v/>
      </c>
    </row>
    <row r="232">
      <c r="R232" s="17">
        <f>IF($D$4="","",IF(INDEX($A232:$P232,$D$4)="","",IF(ISNUMBER(INDEX($A232:$P232,$D$4)),INDEX($A232:$P232,$D$4),IFERROR(DATEVALUE(INDEX($A232:$P232,$D$4)),""))))</f>
        <v/>
      </c>
      <c r="S232">
        <f>IF(OR(R232="",$D$6=""),"",IF(LEFT(INDEX($A232:$P232,$D$6),LEN(Inputs!$C$24))=Inputs!$C$24,INDEX($A232:$P232,$D$6),""))</f>
        <v/>
      </c>
      <c r="T232">
        <f>IF(OR(R232="",$D$7=""),"",TRIM(IFERROR(LEFT(INDEX($A232:$P232,$D$7),FIND(",",INDEX($A232:$P232,$D$7))-1),INDEX($A232:$P232,$D$7))))</f>
        <v/>
      </c>
      <c r="U232" s="32">
        <f>IF(OR(R232="",$D$5=""),0,IFERROR(IF(ISNUMBER(INDEX($A232:$P232,$D$5)),INDEX($A232:$P232,$D$5),TIMEVALUE(INDEX($A232:$P232,$D$5)))*Inputs!$C$22,0))</f>
        <v/>
      </c>
    </row>
    <row r="233">
      <c r="R233" s="17">
        <f>IF($D$4="","",IF(INDEX($A233:$P233,$D$4)="","",IF(ISNUMBER(INDEX($A233:$P233,$D$4)),INDEX($A233:$P233,$D$4),IFERROR(DATEVALUE(INDEX($A233:$P233,$D$4)),""))))</f>
        <v/>
      </c>
      <c r="S233">
        <f>IF(OR(R233="",$D$6=""),"",IF(LEFT(INDEX($A233:$P233,$D$6),LEN(Inputs!$C$24))=Inputs!$C$24,INDEX($A233:$P233,$D$6),""))</f>
        <v/>
      </c>
      <c r="T233">
        <f>IF(OR(R233="",$D$7=""),"",TRIM(IFERROR(LEFT(INDEX($A233:$P233,$D$7),FIND(",",INDEX($A233:$P233,$D$7))-1),INDEX($A233:$P233,$D$7))))</f>
        <v/>
      </c>
      <c r="U233" s="32">
        <f>IF(OR(R233="",$D$5=""),0,IFERROR(IF(ISNUMBER(INDEX($A233:$P233,$D$5)),INDEX($A233:$P233,$D$5),TIMEVALUE(INDEX($A233:$P233,$D$5)))*Inputs!$C$22,0))</f>
        <v/>
      </c>
    </row>
    <row r="234">
      <c r="R234" s="17">
        <f>IF($D$4="","",IF(INDEX($A234:$P234,$D$4)="","",IF(ISNUMBER(INDEX($A234:$P234,$D$4)),INDEX($A234:$P234,$D$4),IFERROR(DATEVALUE(INDEX($A234:$P234,$D$4)),""))))</f>
        <v/>
      </c>
      <c r="S234">
        <f>IF(OR(R234="",$D$6=""),"",IF(LEFT(INDEX($A234:$P234,$D$6),LEN(Inputs!$C$24))=Inputs!$C$24,INDEX($A234:$P234,$D$6),""))</f>
        <v/>
      </c>
      <c r="T234">
        <f>IF(OR(R234="",$D$7=""),"",TRIM(IFERROR(LEFT(INDEX($A234:$P234,$D$7),FIND(",",INDEX($A234:$P234,$D$7))-1),INDEX($A234:$P234,$D$7))))</f>
        <v/>
      </c>
      <c r="U234" s="32">
        <f>IF(OR(R234="",$D$5=""),0,IFERROR(IF(ISNUMBER(INDEX($A234:$P234,$D$5)),INDEX($A234:$P234,$D$5),TIMEVALUE(INDEX($A234:$P234,$D$5)))*Inputs!$C$22,0))</f>
        <v/>
      </c>
    </row>
    <row r="235">
      <c r="R235" s="17">
        <f>IF($D$4="","",IF(INDEX($A235:$P235,$D$4)="","",IF(ISNUMBER(INDEX($A235:$P235,$D$4)),INDEX($A235:$P235,$D$4),IFERROR(DATEVALUE(INDEX($A235:$P235,$D$4)),""))))</f>
        <v/>
      </c>
      <c r="S235">
        <f>IF(OR(R235="",$D$6=""),"",IF(LEFT(INDEX($A235:$P235,$D$6),LEN(Inputs!$C$24))=Inputs!$C$24,INDEX($A235:$P235,$D$6),""))</f>
        <v/>
      </c>
      <c r="T235">
        <f>IF(OR(R235="",$D$7=""),"",TRIM(IFERROR(LEFT(INDEX($A235:$P235,$D$7),FIND(",",INDEX($A235:$P235,$D$7))-1),INDEX($A235:$P235,$D$7))))</f>
        <v/>
      </c>
      <c r="U235" s="32">
        <f>IF(OR(R235="",$D$5=""),0,IFERROR(IF(ISNUMBER(INDEX($A235:$P235,$D$5)),INDEX($A235:$P235,$D$5),TIMEVALUE(INDEX($A235:$P235,$D$5)))*Inputs!$C$22,0))</f>
        <v/>
      </c>
    </row>
    <row r="236">
      <c r="R236" s="17">
        <f>IF($D$4="","",IF(INDEX($A236:$P236,$D$4)="","",IF(ISNUMBER(INDEX($A236:$P236,$D$4)),INDEX($A236:$P236,$D$4),IFERROR(DATEVALUE(INDEX($A236:$P236,$D$4)),""))))</f>
        <v/>
      </c>
      <c r="S236">
        <f>IF(OR(R236="",$D$6=""),"",IF(LEFT(INDEX($A236:$P236,$D$6),LEN(Inputs!$C$24))=Inputs!$C$24,INDEX($A236:$P236,$D$6),""))</f>
        <v/>
      </c>
      <c r="T236">
        <f>IF(OR(R236="",$D$7=""),"",TRIM(IFERROR(LEFT(INDEX($A236:$P236,$D$7),FIND(",",INDEX($A236:$P236,$D$7))-1),INDEX($A236:$P236,$D$7))))</f>
        <v/>
      </c>
      <c r="U236" s="32">
        <f>IF(OR(R236="",$D$5=""),0,IFERROR(IF(ISNUMBER(INDEX($A236:$P236,$D$5)),INDEX($A236:$P236,$D$5),TIMEVALUE(INDEX($A236:$P236,$D$5)))*Inputs!$C$22,0))</f>
        <v/>
      </c>
    </row>
    <row r="237">
      <c r="R237" s="17">
        <f>IF($D$4="","",IF(INDEX($A237:$P237,$D$4)="","",IF(ISNUMBER(INDEX($A237:$P237,$D$4)),INDEX($A237:$P237,$D$4),IFERROR(DATEVALUE(INDEX($A237:$P237,$D$4)),""))))</f>
        <v/>
      </c>
      <c r="S237">
        <f>IF(OR(R237="",$D$6=""),"",IF(LEFT(INDEX($A237:$P237,$D$6),LEN(Inputs!$C$24))=Inputs!$C$24,INDEX($A237:$P237,$D$6),""))</f>
        <v/>
      </c>
      <c r="T237">
        <f>IF(OR(R237="",$D$7=""),"",TRIM(IFERROR(LEFT(INDEX($A237:$P237,$D$7),FIND(",",INDEX($A237:$P237,$D$7))-1),INDEX($A237:$P237,$D$7))))</f>
        <v/>
      </c>
      <c r="U237" s="32">
        <f>IF(OR(R237="",$D$5=""),0,IFERROR(IF(ISNUMBER(INDEX($A237:$P237,$D$5)),INDEX($A237:$P237,$D$5),TIMEVALUE(INDEX($A237:$P237,$D$5)))*Inputs!$C$22,0))</f>
        <v/>
      </c>
    </row>
    <row r="238">
      <c r="R238" s="17">
        <f>IF($D$4="","",IF(INDEX($A238:$P238,$D$4)="","",IF(ISNUMBER(INDEX($A238:$P238,$D$4)),INDEX($A238:$P238,$D$4),IFERROR(DATEVALUE(INDEX($A238:$P238,$D$4)),""))))</f>
        <v/>
      </c>
      <c r="S238">
        <f>IF(OR(R238="",$D$6=""),"",IF(LEFT(INDEX($A238:$P238,$D$6),LEN(Inputs!$C$24))=Inputs!$C$24,INDEX($A238:$P238,$D$6),""))</f>
        <v/>
      </c>
      <c r="T238">
        <f>IF(OR(R238="",$D$7=""),"",TRIM(IFERROR(LEFT(INDEX($A238:$P238,$D$7),FIND(",",INDEX($A238:$P238,$D$7))-1),INDEX($A238:$P238,$D$7))))</f>
        <v/>
      </c>
      <c r="U238" s="32">
        <f>IF(OR(R238="",$D$5=""),0,IFERROR(IF(ISNUMBER(INDEX($A238:$P238,$D$5)),INDEX($A238:$P238,$D$5),TIMEVALUE(INDEX($A238:$P238,$D$5)))*Inputs!$C$22,0))</f>
        <v/>
      </c>
    </row>
    <row r="239">
      <c r="R239" s="17">
        <f>IF($D$4="","",IF(INDEX($A239:$P239,$D$4)="","",IF(ISNUMBER(INDEX($A239:$P239,$D$4)),INDEX($A239:$P239,$D$4),IFERROR(DATEVALUE(INDEX($A239:$P239,$D$4)),""))))</f>
        <v/>
      </c>
      <c r="S239">
        <f>IF(OR(R239="",$D$6=""),"",IF(LEFT(INDEX($A239:$P239,$D$6),LEN(Inputs!$C$24))=Inputs!$C$24,INDEX($A239:$P239,$D$6),""))</f>
        <v/>
      </c>
      <c r="T239">
        <f>IF(OR(R239="",$D$7=""),"",TRIM(IFERROR(LEFT(INDEX($A239:$P239,$D$7),FIND(",",INDEX($A239:$P239,$D$7))-1),INDEX($A239:$P239,$D$7))))</f>
        <v/>
      </c>
      <c r="U239" s="32">
        <f>IF(OR(R239="",$D$5=""),0,IFERROR(IF(ISNUMBER(INDEX($A239:$P239,$D$5)),INDEX($A239:$P239,$D$5),TIMEVALUE(INDEX($A239:$P239,$D$5)))*Inputs!$C$22,0))</f>
        <v/>
      </c>
    </row>
    <row r="240">
      <c r="R240" s="17">
        <f>IF($D$4="","",IF(INDEX($A240:$P240,$D$4)="","",IF(ISNUMBER(INDEX($A240:$P240,$D$4)),INDEX($A240:$P240,$D$4),IFERROR(DATEVALUE(INDEX($A240:$P240,$D$4)),""))))</f>
        <v/>
      </c>
      <c r="S240">
        <f>IF(OR(R240="",$D$6=""),"",IF(LEFT(INDEX($A240:$P240,$D$6),LEN(Inputs!$C$24))=Inputs!$C$24,INDEX($A240:$P240,$D$6),""))</f>
        <v/>
      </c>
      <c r="T240">
        <f>IF(OR(R240="",$D$7=""),"",TRIM(IFERROR(LEFT(INDEX($A240:$P240,$D$7),FIND(",",INDEX($A240:$P240,$D$7))-1),INDEX($A240:$P240,$D$7))))</f>
        <v/>
      </c>
      <c r="U240" s="32">
        <f>IF(OR(R240="",$D$5=""),0,IFERROR(IF(ISNUMBER(INDEX($A240:$P240,$D$5)),INDEX($A240:$P240,$D$5),TIMEVALUE(INDEX($A240:$P240,$D$5)))*Inputs!$C$22,0))</f>
        <v/>
      </c>
    </row>
    <row r="241">
      <c r="R241" s="17">
        <f>IF($D$4="","",IF(INDEX($A241:$P241,$D$4)="","",IF(ISNUMBER(INDEX($A241:$P241,$D$4)),INDEX($A241:$P241,$D$4),IFERROR(DATEVALUE(INDEX($A241:$P241,$D$4)),""))))</f>
        <v/>
      </c>
      <c r="S241">
        <f>IF(OR(R241="",$D$6=""),"",IF(LEFT(INDEX($A241:$P241,$D$6),LEN(Inputs!$C$24))=Inputs!$C$24,INDEX($A241:$P241,$D$6),""))</f>
        <v/>
      </c>
      <c r="T241">
        <f>IF(OR(R241="",$D$7=""),"",TRIM(IFERROR(LEFT(INDEX($A241:$P241,$D$7),FIND(",",INDEX($A241:$P241,$D$7))-1),INDEX($A241:$P241,$D$7))))</f>
        <v/>
      </c>
      <c r="U241" s="32">
        <f>IF(OR(R241="",$D$5=""),0,IFERROR(IF(ISNUMBER(INDEX($A241:$P241,$D$5)),INDEX($A241:$P241,$D$5),TIMEVALUE(INDEX($A241:$P241,$D$5)))*Inputs!$C$22,0))</f>
        <v/>
      </c>
    </row>
    <row r="242">
      <c r="R242" s="17">
        <f>IF($D$4="","",IF(INDEX($A242:$P242,$D$4)="","",IF(ISNUMBER(INDEX($A242:$P242,$D$4)),INDEX($A242:$P242,$D$4),IFERROR(DATEVALUE(INDEX($A242:$P242,$D$4)),""))))</f>
        <v/>
      </c>
      <c r="S242">
        <f>IF(OR(R242="",$D$6=""),"",IF(LEFT(INDEX($A242:$P242,$D$6),LEN(Inputs!$C$24))=Inputs!$C$24,INDEX($A242:$P242,$D$6),""))</f>
        <v/>
      </c>
      <c r="T242">
        <f>IF(OR(R242="",$D$7=""),"",TRIM(IFERROR(LEFT(INDEX($A242:$P242,$D$7),FIND(",",INDEX($A242:$P242,$D$7))-1),INDEX($A242:$P242,$D$7))))</f>
        <v/>
      </c>
      <c r="U242" s="32">
        <f>IF(OR(R242="",$D$5=""),0,IFERROR(IF(ISNUMBER(INDEX($A242:$P242,$D$5)),INDEX($A242:$P242,$D$5),TIMEVALUE(INDEX($A242:$P242,$D$5)))*Inputs!$C$22,0))</f>
        <v/>
      </c>
    </row>
    <row r="243">
      <c r="R243" s="17">
        <f>IF($D$4="","",IF(INDEX($A243:$P243,$D$4)="","",IF(ISNUMBER(INDEX($A243:$P243,$D$4)),INDEX($A243:$P243,$D$4),IFERROR(DATEVALUE(INDEX($A243:$P243,$D$4)),""))))</f>
        <v/>
      </c>
      <c r="S243">
        <f>IF(OR(R243="",$D$6=""),"",IF(LEFT(INDEX($A243:$P243,$D$6),LEN(Inputs!$C$24))=Inputs!$C$24,INDEX($A243:$P243,$D$6),""))</f>
        <v/>
      </c>
      <c r="T243">
        <f>IF(OR(R243="",$D$7=""),"",TRIM(IFERROR(LEFT(INDEX($A243:$P243,$D$7),FIND(",",INDEX($A243:$P243,$D$7))-1),INDEX($A243:$P243,$D$7))))</f>
        <v/>
      </c>
      <c r="U243" s="32">
        <f>IF(OR(R243="",$D$5=""),0,IFERROR(IF(ISNUMBER(INDEX($A243:$P243,$D$5)),INDEX($A243:$P243,$D$5),TIMEVALUE(INDEX($A243:$P243,$D$5)))*Inputs!$C$22,0))</f>
        <v/>
      </c>
    </row>
    <row r="244">
      <c r="R244" s="17">
        <f>IF($D$4="","",IF(INDEX($A244:$P244,$D$4)="","",IF(ISNUMBER(INDEX($A244:$P244,$D$4)),INDEX($A244:$P244,$D$4),IFERROR(DATEVALUE(INDEX($A244:$P244,$D$4)),""))))</f>
        <v/>
      </c>
      <c r="S244">
        <f>IF(OR(R244="",$D$6=""),"",IF(LEFT(INDEX($A244:$P244,$D$6),LEN(Inputs!$C$24))=Inputs!$C$24,INDEX($A244:$P244,$D$6),""))</f>
        <v/>
      </c>
      <c r="T244">
        <f>IF(OR(R244="",$D$7=""),"",TRIM(IFERROR(LEFT(INDEX($A244:$P244,$D$7),FIND(",",INDEX($A244:$P244,$D$7))-1),INDEX($A244:$P244,$D$7))))</f>
        <v/>
      </c>
      <c r="U244" s="32">
        <f>IF(OR(R244="",$D$5=""),0,IFERROR(IF(ISNUMBER(INDEX($A244:$P244,$D$5)),INDEX($A244:$P244,$D$5),TIMEVALUE(INDEX($A244:$P244,$D$5)))*Inputs!$C$22,0))</f>
        <v/>
      </c>
    </row>
    <row r="245">
      <c r="R245" s="17">
        <f>IF($D$4="","",IF(INDEX($A245:$P245,$D$4)="","",IF(ISNUMBER(INDEX($A245:$P245,$D$4)),INDEX($A245:$P245,$D$4),IFERROR(DATEVALUE(INDEX($A245:$P245,$D$4)),""))))</f>
        <v/>
      </c>
      <c r="S245">
        <f>IF(OR(R245="",$D$6=""),"",IF(LEFT(INDEX($A245:$P245,$D$6),LEN(Inputs!$C$24))=Inputs!$C$24,INDEX($A245:$P245,$D$6),""))</f>
        <v/>
      </c>
      <c r="T245">
        <f>IF(OR(R245="",$D$7=""),"",TRIM(IFERROR(LEFT(INDEX($A245:$P245,$D$7),FIND(",",INDEX($A245:$P245,$D$7))-1),INDEX($A245:$P245,$D$7))))</f>
        <v/>
      </c>
      <c r="U245" s="32">
        <f>IF(OR(R245="",$D$5=""),0,IFERROR(IF(ISNUMBER(INDEX($A245:$P245,$D$5)),INDEX($A245:$P245,$D$5),TIMEVALUE(INDEX($A245:$P245,$D$5)))*Inputs!$C$22,0))</f>
        <v/>
      </c>
    </row>
    <row r="246">
      <c r="R246" s="17">
        <f>IF($D$4="","",IF(INDEX($A246:$P246,$D$4)="","",IF(ISNUMBER(INDEX($A246:$P246,$D$4)),INDEX($A246:$P246,$D$4),IFERROR(DATEVALUE(INDEX($A246:$P246,$D$4)),""))))</f>
        <v/>
      </c>
      <c r="S246">
        <f>IF(OR(R246="",$D$6=""),"",IF(LEFT(INDEX($A246:$P246,$D$6),LEN(Inputs!$C$24))=Inputs!$C$24,INDEX($A246:$P246,$D$6),""))</f>
        <v/>
      </c>
      <c r="T246">
        <f>IF(OR(R246="",$D$7=""),"",TRIM(IFERROR(LEFT(INDEX($A246:$P246,$D$7),FIND(",",INDEX($A246:$P246,$D$7))-1),INDEX($A246:$P246,$D$7))))</f>
        <v/>
      </c>
      <c r="U246" s="32">
        <f>IF(OR(R246="",$D$5=""),0,IFERROR(IF(ISNUMBER(INDEX($A246:$P246,$D$5)),INDEX($A246:$P246,$D$5),TIMEVALUE(INDEX($A246:$P246,$D$5)))*Inputs!$C$22,0))</f>
        <v/>
      </c>
    </row>
    <row r="247">
      <c r="R247" s="17">
        <f>IF($D$4="","",IF(INDEX($A247:$P247,$D$4)="","",IF(ISNUMBER(INDEX($A247:$P247,$D$4)),INDEX($A247:$P247,$D$4),IFERROR(DATEVALUE(INDEX($A247:$P247,$D$4)),""))))</f>
        <v/>
      </c>
      <c r="S247">
        <f>IF(OR(R247="",$D$6=""),"",IF(LEFT(INDEX($A247:$P247,$D$6),LEN(Inputs!$C$24))=Inputs!$C$24,INDEX($A247:$P247,$D$6),""))</f>
        <v/>
      </c>
      <c r="T247">
        <f>IF(OR(R247="",$D$7=""),"",TRIM(IFERROR(LEFT(INDEX($A247:$P247,$D$7),FIND(",",INDEX($A247:$P247,$D$7))-1),INDEX($A247:$P247,$D$7))))</f>
        <v/>
      </c>
      <c r="U247" s="32">
        <f>IF(OR(R247="",$D$5=""),0,IFERROR(IF(ISNUMBER(INDEX($A247:$P247,$D$5)),INDEX($A247:$P247,$D$5),TIMEVALUE(INDEX($A247:$P247,$D$5)))*Inputs!$C$22,0))</f>
        <v/>
      </c>
    </row>
    <row r="248">
      <c r="R248" s="17">
        <f>IF($D$4="","",IF(INDEX($A248:$P248,$D$4)="","",IF(ISNUMBER(INDEX($A248:$P248,$D$4)),INDEX($A248:$P248,$D$4),IFERROR(DATEVALUE(INDEX($A248:$P248,$D$4)),""))))</f>
        <v/>
      </c>
      <c r="S248">
        <f>IF(OR(R248="",$D$6=""),"",IF(LEFT(INDEX($A248:$P248,$D$6),LEN(Inputs!$C$24))=Inputs!$C$24,INDEX($A248:$P248,$D$6),""))</f>
        <v/>
      </c>
      <c r="T248">
        <f>IF(OR(R248="",$D$7=""),"",TRIM(IFERROR(LEFT(INDEX($A248:$P248,$D$7),FIND(",",INDEX($A248:$P248,$D$7))-1),INDEX($A248:$P248,$D$7))))</f>
        <v/>
      </c>
      <c r="U248" s="32">
        <f>IF(OR(R248="",$D$5=""),0,IFERROR(IF(ISNUMBER(INDEX($A248:$P248,$D$5)),INDEX($A248:$P248,$D$5),TIMEVALUE(INDEX($A248:$P248,$D$5)))*Inputs!$C$22,0))</f>
        <v/>
      </c>
    </row>
    <row r="249">
      <c r="R249" s="17">
        <f>IF($D$4="","",IF(INDEX($A249:$P249,$D$4)="","",IF(ISNUMBER(INDEX($A249:$P249,$D$4)),INDEX($A249:$P249,$D$4),IFERROR(DATEVALUE(INDEX($A249:$P249,$D$4)),""))))</f>
        <v/>
      </c>
      <c r="S249">
        <f>IF(OR(R249="",$D$6=""),"",IF(LEFT(INDEX($A249:$P249,$D$6),LEN(Inputs!$C$24))=Inputs!$C$24,INDEX($A249:$P249,$D$6),""))</f>
        <v/>
      </c>
      <c r="T249">
        <f>IF(OR(R249="",$D$7=""),"",TRIM(IFERROR(LEFT(INDEX($A249:$P249,$D$7),FIND(",",INDEX($A249:$P249,$D$7))-1),INDEX($A249:$P249,$D$7))))</f>
        <v/>
      </c>
      <c r="U249" s="32">
        <f>IF(OR(R249="",$D$5=""),0,IFERROR(IF(ISNUMBER(INDEX($A249:$P249,$D$5)),INDEX($A249:$P249,$D$5),TIMEVALUE(INDEX($A249:$P249,$D$5)))*Inputs!$C$22,0))</f>
        <v/>
      </c>
    </row>
    <row r="250">
      <c r="R250" s="17">
        <f>IF($D$4="","",IF(INDEX($A250:$P250,$D$4)="","",IF(ISNUMBER(INDEX($A250:$P250,$D$4)),INDEX($A250:$P250,$D$4),IFERROR(DATEVALUE(INDEX($A250:$P250,$D$4)),""))))</f>
        <v/>
      </c>
      <c r="S250">
        <f>IF(OR(R250="",$D$6=""),"",IF(LEFT(INDEX($A250:$P250,$D$6),LEN(Inputs!$C$24))=Inputs!$C$24,INDEX($A250:$P250,$D$6),""))</f>
        <v/>
      </c>
      <c r="T250">
        <f>IF(OR(R250="",$D$7=""),"",TRIM(IFERROR(LEFT(INDEX($A250:$P250,$D$7),FIND(",",INDEX($A250:$P250,$D$7))-1),INDEX($A250:$P250,$D$7))))</f>
        <v/>
      </c>
      <c r="U250" s="32">
        <f>IF(OR(R250="",$D$5=""),0,IFERROR(IF(ISNUMBER(INDEX($A250:$P250,$D$5)),INDEX($A250:$P250,$D$5),TIMEVALUE(INDEX($A250:$P250,$D$5)))*Inputs!$C$22,0))</f>
        <v/>
      </c>
    </row>
    <row r="251">
      <c r="R251" s="17">
        <f>IF($D$4="","",IF(INDEX($A251:$P251,$D$4)="","",IF(ISNUMBER(INDEX($A251:$P251,$D$4)),INDEX($A251:$P251,$D$4),IFERROR(DATEVALUE(INDEX($A251:$P251,$D$4)),""))))</f>
        <v/>
      </c>
      <c r="S251">
        <f>IF(OR(R251="",$D$6=""),"",IF(LEFT(INDEX($A251:$P251,$D$6),LEN(Inputs!$C$24))=Inputs!$C$24,INDEX($A251:$P251,$D$6),""))</f>
        <v/>
      </c>
      <c r="T251">
        <f>IF(OR(R251="",$D$7=""),"",TRIM(IFERROR(LEFT(INDEX($A251:$P251,$D$7),FIND(",",INDEX($A251:$P251,$D$7))-1),INDEX($A251:$P251,$D$7))))</f>
        <v/>
      </c>
      <c r="U251" s="32">
        <f>IF(OR(R251="",$D$5=""),0,IFERROR(IF(ISNUMBER(INDEX($A251:$P251,$D$5)),INDEX($A251:$P251,$D$5),TIMEVALUE(INDEX($A251:$P251,$D$5)))*Inputs!$C$22,0))</f>
        <v/>
      </c>
    </row>
    <row r="252">
      <c r="R252" s="17">
        <f>IF($D$4="","",IF(INDEX($A252:$P252,$D$4)="","",IF(ISNUMBER(INDEX($A252:$P252,$D$4)),INDEX($A252:$P252,$D$4),IFERROR(DATEVALUE(INDEX($A252:$P252,$D$4)),""))))</f>
        <v/>
      </c>
      <c r="S252">
        <f>IF(OR(R252="",$D$6=""),"",IF(LEFT(INDEX($A252:$P252,$D$6),LEN(Inputs!$C$24))=Inputs!$C$24,INDEX($A252:$P252,$D$6),""))</f>
        <v/>
      </c>
      <c r="T252">
        <f>IF(OR(R252="",$D$7=""),"",TRIM(IFERROR(LEFT(INDEX($A252:$P252,$D$7),FIND(",",INDEX($A252:$P252,$D$7))-1),INDEX($A252:$P252,$D$7))))</f>
        <v/>
      </c>
      <c r="U252" s="32">
        <f>IF(OR(R252="",$D$5=""),0,IFERROR(IF(ISNUMBER(INDEX($A252:$P252,$D$5)),INDEX($A252:$P252,$D$5),TIMEVALUE(INDEX($A252:$P252,$D$5)))*Inputs!$C$22,0))</f>
        <v/>
      </c>
    </row>
    <row r="253">
      <c r="R253" s="17">
        <f>IF($D$4="","",IF(INDEX($A253:$P253,$D$4)="","",IF(ISNUMBER(INDEX($A253:$P253,$D$4)),INDEX($A253:$P253,$D$4),IFERROR(DATEVALUE(INDEX($A253:$P253,$D$4)),""))))</f>
        <v/>
      </c>
      <c r="S253">
        <f>IF(OR(R253="",$D$6=""),"",IF(LEFT(INDEX($A253:$P253,$D$6),LEN(Inputs!$C$24))=Inputs!$C$24,INDEX($A253:$P253,$D$6),""))</f>
        <v/>
      </c>
      <c r="T253">
        <f>IF(OR(R253="",$D$7=""),"",TRIM(IFERROR(LEFT(INDEX($A253:$P253,$D$7),FIND(",",INDEX($A253:$P253,$D$7))-1),INDEX($A253:$P253,$D$7))))</f>
        <v/>
      </c>
      <c r="U253" s="32">
        <f>IF(OR(R253="",$D$5=""),0,IFERROR(IF(ISNUMBER(INDEX($A253:$P253,$D$5)),INDEX($A253:$P253,$D$5),TIMEVALUE(INDEX($A253:$P253,$D$5)))*Inputs!$C$22,0))</f>
        <v/>
      </c>
    </row>
    <row r="254">
      <c r="R254" s="17">
        <f>IF($D$4="","",IF(INDEX($A254:$P254,$D$4)="","",IF(ISNUMBER(INDEX($A254:$P254,$D$4)),INDEX($A254:$P254,$D$4),IFERROR(DATEVALUE(INDEX($A254:$P254,$D$4)),""))))</f>
        <v/>
      </c>
      <c r="S254">
        <f>IF(OR(R254="",$D$6=""),"",IF(LEFT(INDEX($A254:$P254,$D$6),LEN(Inputs!$C$24))=Inputs!$C$24,INDEX($A254:$P254,$D$6),""))</f>
        <v/>
      </c>
      <c r="T254">
        <f>IF(OR(R254="",$D$7=""),"",TRIM(IFERROR(LEFT(INDEX($A254:$P254,$D$7),FIND(",",INDEX($A254:$P254,$D$7))-1),INDEX($A254:$P254,$D$7))))</f>
        <v/>
      </c>
      <c r="U254" s="32">
        <f>IF(OR(R254="",$D$5=""),0,IFERROR(IF(ISNUMBER(INDEX($A254:$P254,$D$5)),INDEX($A254:$P254,$D$5),TIMEVALUE(INDEX($A254:$P254,$D$5)))*Inputs!$C$22,0))</f>
        <v/>
      </c>
    </row>
    <row r="255">
      <c r="R255" s="17">
        <f>IF($D$4="","",IF(INDEX($A255:$P255,$D$4)="","",IF(ISNUMBER(INDEX($A255:$P255,$D$4)),INDEX($A255:$P255,$D$4),IFERROR(DATEVALUE(INDEX($A255:$P255,$D$4)),""))))</f>
        <v/>
      </c>
      <c r="S255">
        <f>IF(OR(R255="",$D$6=""),"",IF(LEFT(INDEX($A255:$P255,$D$6),LEN(Inputs!$C$24))=Inputs!$C$24,INDEX($A255:$P255,$D$6),""))</f>
        <v/>
      </c>
      <c r="T255">
        <f>IF(OR(R255="",$D$7=""),"",TRIM(IFERROR(LEFT(INDEX($A255:$P255,$D$7),FIND(",",INDEX($A255:$P255,$D$7))-1),INDEX($A255:$P255,$D$7))))</f>
        <v/>
      </c>
      <c r="U255" s="32">
        <f>IF(OR(R255="",$D$5=""),0,IFERROR(IF(ISNUMBER(INDEX($A255:$P255,$D$5)),INDEX($A255:$P255,$D$5),TIMEVALUE(INDEX($A255:$P255,$D$5)))*Inputs!$C$22,0))</f>
        <v/>
      </c>
    </row>
    <row r="256">
      <c r="R256" s="17">
        <f>IF($D$4="","",IF(INDEX($A256:$P256,$D$4)="","",IF(ISNUMBER(INDEX($A256:$P256,$D$4)),INDEX($A256:$P256,$D$4),IFERROR(DATEVALUE(INDEX($A256:$P256,$D$4)),""))))</f>
        <v/>
      </c>
      <c r="S256">
        <f>IF(OR(R256="",$D$6=""),"",IF(LEFT(INDEX($A256:$P256,$D$6),LEN(Inputs!$C$24))=Inputs!$C$24,INDEX($A256:$P256,$D$6),""))</f>
        <v/>
      </c>
      <c r="T256">
        <f>IF(OR(R256="",$D$7=""),"",TRIM(IFERROR(LEFT(INDEX($A256:$P256,$D$7),FIND(",",INDEX($A256:$P256,$D$7))-1),INDEX($A256:$P256,$D$7))))</f>
        <v/>
      </c>
      <c r="U256" s="32">
        <f>IF(OR(R256="",$D$5=""),0,IFERROR(IF(ISNUMBER(INDEX($A256:$P256,$D$5)),INDEX($A256:$P256,$D$5),TIMEVALUE(INDEX($A256:$P256,$D$5)))*Inputs!$C$22,0))</f>
        <v/>
      </c>
    </row>
    <row r="257">
      <c r="R257" s="17">
        <f>IF($D$4="","",IF(INDEX($A257:$P257,$D$4)="","",IF(ISNUMBER(INDEX($A257:$P257,$D$4)),INDEX($A257:$P257,$D$4),IFERROR(DATEVALUE(INDEX($A257:$P257,$D$4)),""))))</f>
        <v/>
      </c>
      <c r="S257">
        <f>IF(OR(R257="",$D$6=""),"",IF(LEFT(INDEX($A257:$P257,$D$6),LEN(Inputs!$C$24))=Inputs!$C$24,INDEX($A257:$P257,$D$6),""))</f>
        <v/>
      </c>
      <c r="T257">
        <f>IF(OR(R257="",$D$7=""),"",TRIM(IFERROR(LEFT(INDEX($A257:$P257,$D$7),FIND(",",INDEX($A257:$P257,$D$7))-1),INDEX($A257:$P257,$D$7))))</f>
        <v/>
      </c>
      <c r="U257" s="32">
        <f>IF(OR(R257="",$D$5=""),0,IFERROR(IF(ISNUMBER(INDEX($A257:$P257,$D$5)),INDEX($A257:$P257,$D$5),TIMEVALUE(INDEX($A257:$P257,$D$5)))*Inputs!$C$22,0))</f>
        <v/>
      </c>
    </row>
    <row r="258">
      <c r="R258" s="17">
        <f>IF($D$4="","",IF(INDEX($A258:$P258,$D$4)="","",IF(ISNUMBER(INDEX($A258:$P258,$D$4)),INDEX($A258:$P258,$D$4),IFERROR(DATEVALUE(INDEX($A258:$P258,$D$4)),""))))</f>
        <v/>
      </c>
      <c r="S258">
        <f>IF(OR(R258="",$D$6=""),"",IF(LEFT(INDEX($A258:$P258,$D$6),LEN(Inputs!$C$24))=Inputs!$C$24,INDEX($A258:$P258,$D$6),""))</f>
        <v/>
      </c>
      <c r="T258">
        <f>IF(OR(R258="",$D$7=""),"",TRIM(IFERROR(LEFT(INDEX($A258:$P258,$D$7),FIND(",",INDEX($A258:$P258,$D$7))-1),INDEX($A258:$P258,$D$7))))</f>
        <v/>
      </c>
      <c r="U258" s="32">
        <f>IF(OR(R258="",$D$5=""),0,IFERROR(IF(ISNUMBER(INDEX($A258:$P258,$D$5)),INDEX($A258:$P258,$D$5),TIMEVALUE(INDEX($A258:$P258,$D$5)))*Inputs!$C$22,0))</f>
        <v/>
      </c>
    </row>
    <row r="259">
      <c r="R259" s="17">
        <f>IF($D$4="","",IF(INDEX($A259:$P259,$D$4)="","",IF(ISNUMBER(INDEX($A259:$P259,$D$4)),INDEX($A259:$P259,$D$4),IFERROR(DATEVALUE(INDEX($A259:$P259,$D$4)),""))))</f>
        <v/>
      </c>
      <c r="S259">
        <f>IF(OR(R259="",$D$6=""),"",IF(LEFT(INDEX($A259:$P259,$D$6),LEN(Inputs!$C$24))=Inputs!$C$24,INDEX($A259:$P259,$D$6),""))</f>
        <v/>
      </c>
      <c r="T259">
        <f>IF(OR(R259="",$D$7=""),"",TRIM(IFERROR(LEFT(INDEX($A259:$P259,$D$7),FIND(",",INDEX($A259:$P259,$D$7))-1),INDEX($A259:$P259,$D$7))))</f>
        <v/>
      </c>
      <c r="U259" s="32">
        <f>IF(OR(R259="",$D$5=""),0,IFERROR(IF(ISNUMBER(INDEX($A259:$P259,$D$5)),INDEX($A259:$P259,$D$5),TIMEVALUE(INDEX($A259:$P259,$D$5)))*Inputs!$C$22,0))</f>
        <v/>
      </c>
    </row>
    <row r="260">
      <c r="R260" s="17">
        <f>IF($D$4="","",IF(INDEX($A260:$P260,$D$4)="","",IF(ISNUMBER(INDEX($A260:$P260,$D$4)),INDEX($A260:$P260,$D$4),IFERROR(DATEVALUE(INDEX($A260:$P260,$D$4)),""))))</f>
        <v/>
      </c>
      <c r="S260">
        <f>IF(OR(R260="",$D$6=""),"",IF(LEFT(INDEX($A260:$P260,$D$6),LEN(Inputs!$C$24))=Inputs!$C$24,INDEX($A260:$P260,$D$6),""))</f>
        <v/>
      </c>
      <c r="T260">
        <f>IF(OR(R260="",$D$7=""),"",TRIM(IFERROR(LEFT(INDEX($A260:$P260,$D$7),FIND(",",INDEX($A260:$P260,$D$7))-1),INDEX($A260:$P260,$D$7))))</f>
        <v/>
      </c>
      <c r="U260" s="32">
        <f>IF(OR(R260="",$D$5=""),0,IFERROR(IF(ISNUMBER(INDEX($A260:$P260,$D$5)),INDEX($A260:$P260,$D$5),TIMEVALUE(INDEX($A260:$P260,$D$5)))*Inputs!$C$22,0))</f>
        <v/>
      </c>
    </row>
    <row r="261">
      <c r="R261" s="17">
        <f>IF($D$4="","",IF(INDEX($A261:$P261,$D$4)="","",IF(ISNUMBER(INDEX($A261:$P261,$D$4)),INDEX($A261:$P261,$D$4),IFERROR(DATEVALUE(INDEX($A261:$P261,$D$4)),""))))</f>
        <v/>
      </c>
      <c r="S261">
        <f>IF(OR(R261="",$D$6=""),"",IF(LEFT(INDEX($A261:$P261,$D$6),LEN(Inputs!$C$24))=Inputs!$C$24,INDEX($A261:$P261,$D$6),""))</f>
        <v/>
      </c>
      <c r="T261">
        <f>IF(OR(R261="",$D$7=""),"",TRIM(IFERROR(LEFT(INDEX($A261:$P261,$D$7),FIND(",",INDEX($A261:$P261,$D$7))-1),INDEX($A261:$P261,$D$7))))</f>
        <v/>
      </c>
      <c r="U261" s="32">
        <f>IF(OR(R261="",$D$5=""),0,IFERROR(IF(ISNUMBER(INDEX($A261:$P261,$D$5)),INDEX($A261:$P261,$D$5),TIMEVALUE(INDEX($A261:$P261,$D$5)))*Inputs!$C$22,0))</f>
        <v/>
      </c>
    </row>
    <row r="262">
      <c r="R262" s="17">
        <f>IF($D$4="","",IF(INDEX($A262:$P262,$D$4)="","",IF(ISNUMBER(INDEX($A262:$P262,$D$4)),INDEX($A262:$P262,$D$4),IFERROR(DATEVALUE(INDEX($A262:$P262,$D$4)),""))))</f>
        <v/>
      </c>
      <c r="S262">
        <f>IF(OR(R262="",$D$6=""),"",IF(LEFT(INDEX($A262:$P262,$D$6),LEN(Inputs!$C$24))=Inputs!$C$24,INDEX($A262:$P262,$D$6),""))</f>
        <v/>
      </c>
      <c r="T262">
        <f>IF(OR(R262="",$D$7=""),"",TRIM(IFERROR(LEFT(INDEX($A262:$P262,$D$7),FIND(",",INDEX($A262:$P262,$D$7))-1),INDEX($A262:$P262,$D$7))))</f>
        <v/>
      </c>
      <c r="U262" s="32">
        <f>IF(OR(R262="",$D$5=""),0,IFERROR(IF(ISNUMBER(INDEX($A262:$P262,$D$5)),INDEX($A262:$P262,$D$5),TIMEVALUE(INDEX($A262:$P262,$D$5)))*Inputs!$C$22,0))</f>
        <v/>
      </c>
    </row>
    <row r="263">
      <c r="R263" s="17">
        <f>IF($D$4="","",IF(INDEX($A263:$P263,$D$4)="","",IF(ISNUMBER(INDEX($A263:$P263,$D$4)),INDEX($A263:$P263,$D$4),IFERROR(DATEVALUE(INDEX($A263:$P263,$D$4)),""))))</f>
        <v/>
      </c>
      <c r="S263">
        <f>IF(OR(R263="",$D$6=""),"",IF(LEFT(INDEX($A263:$P263,$D$6),LEN(Inputs!$C$24))=Inputs!$C$24,INDEX($A263:$P263,$D$6),""))</f>
        <v/>
      </c>
      <c r="T263">
        <f>IF(OR(R263="",$D$7=""),"",TRIM(IFERROR(LEFT(INDEX($A263:$P263,$D$7),FIND(",",INDEX($A263:$P263,$D$7))-1),INDEX($A263:$P263,$D$7))))</f>
        <v/>
      </c>
      <c r="U263" s="32">
        <f>IF(OR(R263="",$D$5=""),0,IFERROR(IF(ISNUMBER(INDEX($A263:$P263,$D$5)),INDEX($A263:$P263,$D$5),TIMEVALUE(INDEX($A263:$P263,$D$5)))*Inputs!$C$22,0))</f>
        <v/>
      </c>
    </row>
    <row r="264">
      <c r="R264" s="17">
        <f>IF($D$4="","",IF(INDEX($A264:$P264,$D$4)="","",IF(ISNUMBER(INDEX($A264:$P264,$D$4)),INDEX($A264:$P264,$D$4),IFERROR(DATEVALUE(INDEX($A264:$P264,$D$4)),""))))</f>
        <v/>
      </c>
      <c r="S264">
        <f>IF(OR(R264="",$D$6=""),"",IF(LEFT(INDEX($A264:$P264,$D$6),LEN(Inputs!$C$24))=Inputs!$C$24,INDEX($A264:$P264,$D$6),""))</f>
        <v/>
      </c>
      <c r="T264">
        <f>IF(OR(R264="",$D$7=""),"",TRIM(IFERROR(LEFT(INDEX($A264:$P264,$D$7),FIND(",",INDEX($A264:$P264,$D$7))-1),INDEX($A264:$P264,$D$7))))</f>
        <v/>
      </c>
      <c r="U264" s="32">
        <f>IF(OR(R264="",$D$5=""),0,IFERROR(IF(ISNUMBER(INDEX($A264:$P264,$D$5)),INDEX($A264:$P264,$D$5),TIMEVALUE(INDEX($A264:$P264,$D$5)))*Inputs!$C$22,0))</f>
        <v/>
      </c>
    </row>
    <row r="265">
      <c r="R265" s="17">
        <f>IF($D$4="","",IF(INDEX($A265:$P265,$D$4)="","",IF(ISNUMBER(INDEX($A265:$P265,$D$4)),INDEX($A265:$P265,$D$4),IFERROR(DATEVALUE(INDEX($A265:$P265,$D$4)),""))))</f>
        <v/>
      </c>
      <c r="S265">
        <f>IF(OR(R265="",$D$6=""),"",IF(LEFT(INDEX($A265:$P265,$D$6),LEN(Inputs!$C$24))=Inputs!$C$24,INDEX($A265:$P265,$D$6),""))</f>
        <v/>
      </c>
      <c r="T265">
        <f>IF(OR(R265="",$D$7=""),"",TRIM(IFERROR(LEFT(INDEX($A265:$P265,$D$7),FIND(",",INDEX($A265:$P265,$D$7))-1),INDEX($A265:$P265,$D$7))))</f>
        <v/>
      </c>
      <c r="U265" s="32">
        <f>IF(OR(R265="",$D$5=""),0,IFERROR(IF(ISNUMBER(INDEX($A265:$P265,$D$5)),INDEX($A265:$P265,$D$5),TIMEVALUE(INDEX($A265:$P265,$D$5)))*Inputs!$C$22,0))</f>
        <v/>
      </c>
    </row>
    <row r="266">
      <c r="R266" s="17">
        <f>IF($D$4="","",IF(INDEX($A266:$P266,$D$4)="","",IF(ISNUMBER(INDEX($A266:$P266,$D$4)),INDEX($A266:$P266,$D$4),IFERROR(DATEVALUE(INDEX($A266:$P266,$D$4)),""))))</f>
        <v/>
      </c>
      <c r="S266">
        <f>IF(OR(R266="",$D$6=""),"",IF(LEFT(INDEX($A266:$P266,$D$6),LEN(Inputs!$C$24))=Inputs!$C$24,INDEX($A266:$P266,$D$6),""))</f>
        <v/>
      </c>
      <c r="T266">
        <f>IF(OR(R266="",$D$7=""),"",TRIM(IFERROR(LEFT(INDEX($A266:$P266,$D$7),FIND(",",INDEX($A266:$P266,$D$7))-1),INDEX($A266:$P266,$D$7))))</f>
        <v/>
      </c>
      <c r="U266" s="32">
        <f>IF(OR(R266="",$D$5=""),0,IFERROR(IF(ISNUMBER(INDEX($A266:$P266,$D$5)),INDEX($A266:$P266,$D$5),TIMEVALUE(INDEX($A266:$P266,$D$5)))*Inputs!$C$22,0))</f>
        <v/>
      </c>
    </row>
    <row r="267">
      <c r="R267" s="17">
        <f>IF($D$4="","",IF(INDEX($A267:$P267,$D$4)="","",IF(ISNUMBER(INDEX($A267:$P267,$D$4)),INDEX($A267:$P267,$D$4),IFERROR(DATEVALUE(INDEX($A267:$P267,$D$4)),""))))</f>
        <v/>
      </c>
      <c r="S267">
        <f>IF(OR(R267="",$D$6=""),"",IF(LEFT(INDEX($A267:$P267,$D$6),LEN(Inputs!$C$24))=Inputs!$C$24,INDEX($A267:$P267,$D$6),""))</f>
        <v/>
      </c>
      <c r="T267">
        <f>IF(OR(R267="",$D$7=""),"",TRIM(IFERROR(LEFT(INDEX($A267:$P267,$D$7),FIND(",",INDEX($A267:$P267,$D$7))-1),INDEX($A267:$P267,$D$7))))</f>
        <v/>
      </c>
      <c r="U267" s="32">
        <f>IF(OR(R267="",$D$5=""),0,IFERROR(IF(ISNUMBER(INDEX($A267:$P267,$D$5)),INDEX($A267:$P267,$D$5),TIMEVALUE(INDEX($A267:$P267,$D$5)))*Inputs!$C$22,0))</f>
        <v/>
      </c>
    </row>
    <row r="268">
      <c r="R268" s="17">
        <f>IF($D$4="","",IF(INDEX($A268:$P268,$D$4)="","",IF(ISNUMBER(INDEX($A268:$P268,$D$4)),INDEX($A268:$P268,$D$4),IFERROR(DATEVALUE(INDEX($A268:$P268,$D$4)),""))))</f>
        <v/>
      </c>
      <c r="S268">
        <f>IF(OR(R268="",$D$6=""),"",IF(LEFT(INDEX($A268:$P268,$D$6),LEN(Inputs!$C$24))=Inputs!$C$24,INDEX($A268:$P268,$D$6),""))</f>
        <v/>
      </c>
      <c r="T268">
        <f>IF(OR(R268="",$D$7=""),"",TRIM(IFERROR(LEFT(INDEX($A268:$P268,$D$7),FIND(",",INDEX($A268:$P268,$D$7))-1),INDEX($A268:$P268,$D$7))))</f>
        <v/>
      </c>
      <c r="U268" s="32">
        <f>IF(OR(R268="",$D$5=""),0,IFERROR(IF(ISNUMBER(INDEX($A268:$P268,$D$5)),INDEX($A268:$P268,$D$5),TIMEVALUE(INDEX($A268:$P268,$D$5)))*Inputs!$C$22,0))</f>
        <v/>
      </c>
    </row>
    <row r="269">
      <c r="R269" s="17">
        <f>IF($D$4="","",IF(INDEX($A269:$P269,$D$4)="","",IF(ISNUMBER(INDEX($A269:$P269,$D$4)),INDEX($A269:$P269,$D$4),IFERROR(DATEVALUE(INDEX($A269:$P269,$D$4)),""))))</f>
        <v/>
      </c>
      <c r="S269">
        <f>IF(OR(R269="",$D$6=""),"",IF(LEFT(INDEX($A269:$P269,$D$6),LEN(Inputs!$C$24))=Inputs!$C$24,INDEX($A269:$P269,$D$6),""))</f>
        <v/>
      </c>
      <c r="T269">
        <f>IF(OR(R269="",$D$7=""),"",TRIM(IFERROR(LEFT(INDEX($A269:$P269,$D$7),FIND(",",INDEX($A269:$P269,$D$7))-1),INDEX($A269:$P269,$D$7))))</f>
        <v/>
      </c>
      <c r="U269" s="32">
        <f>IF(OR(R269="",$D$5=""),0,IFERROR(IF(ISNUMBER(INDEX($A269:$P269,$D$5)),INDEX($A269:$P269,$D$5),TIMEVALUE(INDEX($A269:$P269,$D$5)))*Inputs!$C$22,0))</f>
        <v/>
      </c>
    </row>
    <row r="270">
      <c r="R270" s="17">
        <f>IF($D$4="","",IF(INDEX($A270:$P270,$D$4)="","",IF(ISNUMBER(INDEX($A270:$P270,$D$4)),INDEX($A270:$P270,$D$4),IFERROR(DATEVALUE(INDEX($A270:$P270,$D$4)),""))))</f>
        <v/>
      </c>
      <c r="S270">
        <f>IF(OR(R270="",$D$6=""),"",IF(LEFT(INDEX($A270:$P270,$D$6),LEN(Inputs!$C$24))=Inputs!$C$24,INDEX($A270:$P270,$D$6),""))</f>
        <v/>
      </c>
      <c r="T270">
        <f>IF(OR(R270="",$D$7=""),"",TRIM(IFERROR(LEFT(INDEX($A270:$P270,$D$7),FIND(",",INDEX($A270:$P270,$D$7))-1),INDEX($A270:$P270,$D$7))))</f>
        <v/>
      </c>
      <c r="U270" s="32">
        <f>IF(OR(R270="",$D$5=""),0,IFERROR(IF(ISNUMBER(INDEX($A270:$P270,$D$5)),INDEX($A270:$P270,$D$5),TIMEVALUE(INDEX($A270:$P270,$D$5)))*Inputs!$C$22,0))</f>
        <v/>
      </c>
    </row>
    <row r="271">
      <c r="R271" s="17">
        <f>IF($D$4="","",IF(INDEX($A271:$P271,$D$4)="","",IF(ISNUMBER(INDEX($A271:$P271,$D$4)),INDEX($A271:$P271,$D$4),IFERROR(DATEVALUE(INDEX($A271:$P271,$D$4)),""))))</f>
        <v/>
      </c>
      <c r="S271">
        <f>IF(OR(R271="",$D$6=""),"",IF(LEFT(INDEX($A271:$P271,$D$6),LEN(Inputs!$C$24))=Inputs!$C$24,INDEX($A271:$P271,$D$6),""))</f>
        <v/>
      </c>
      <c r="T271">
        <f>IF(OR(R271="",$D$7=""),"",TRIM(IFERROR(LEFT(INDEX($A271:$P271,$D$7),FIND(",",INDEX($A271:$P271,$D$7))-1),INDEX($A271:$P271,$D$7))))</f>
        <v/>
      </c>
      <c r="U271" s="32">
        <f>IF(OR(R271="",$D$5=""),0,IFERROR(IF(ISNUMBER(INDEX($A271:$P271,$D$5)),INDEX($A271:$P271,$D$5),TIMEVALUE(INDEX($A271:$P271,$D$5)))*Inputs!$C$22,0))</f>
        <v/>
      </c>
    </row>
    <row r="272">
      <c r="R272" s="17">
        <f>IF($D$4="","",IF(INDEX($A272:$P272,$D$4)="","",IF(ISNUMBER(INDEX($A272:$P272,$D$4)),INDEX($A272:$P272,$D$4),IFERROR(DATEVALUE(INDEX($A272:$P272,$D$4)),""))))</f>
        <v/>
      </c>
      <c r="S272">
        <f>IF(OR(R272="",$D$6=""),"",IF(LEFT(INDEX($A272:$P272,$D$6),LEN(Inputs!$C$24))=Inputs!$C$24,INDEX($A272:$P272,$D$6),""))</f>
        <v/>
      </c>
      <c r="T272">
        <f>IF(OR(R272="",$D$7=""),"",TRIM(IFERROR(LEFT(INDEX($A272:$P272,$D$7),FIND(",",INDEX($A272:$P272,$D$7))-1),INDEX($A272:$P272,$D$7))))</f>
        <v/>
      </c>
      <c r="U272" s="32">
        <f>IF(OR(R272="",$D$5=""),0,IFERROR(IF(ISNUMBER(INDEX($A272:$P272,$D$5)),INDEX($A272:$P272,$D$5),TIMEVALUE(INDEX($A272:$P272,$D$5)))*Inputs!$C$22,0))</f>
        <v/>
      </c>
    </row>
    <row r="273">
      <c r="R273" s="17">
        <f>IF($D$4="","",IF(INDEX($A273:$P273,$D$4)="","",IF(ISNUMBER(INDEX($A273:$P273,$D$4)),INDEX($A273:$P273,$D$4),IFERROR(DATEVALUE(INDEX($A273:$P273,$D$4)),""))))</f>
        <v/>
      </c>
      <c r="S273">
        <f>IF(OR(R273="",$D$6=""),"",IF(LEFT(INDEX($A273:$P273,$D$6),LEN(Inputs!$C$24))=Inputs!$C$24,INDEX($A273:$P273,$D$6),""))</f>
        <v/>
      </c>
      <c r="T273">
        <f>IF(OR(R273="",$D$7=""),"",TRIM(IFERROR(LEFT(INDEX($A273:$P273,$D$7),FIND(",",INDEX($A273:$P273,$D$7))-1),INDEX($A273:$P273,$D$7))))</f>
        <v/>
      </c>
      <c r="U273" s="32">
        <f>IF(OR(R273="",$D$5=""),0,IFERROR(IF(ISNUMBER(INDEX($A273:$P273,$D$5)),INDEX($A273:$P273,$D$5),TIMEVALUE(INDEX($A273:$P273,$D$5)))*Inputs!$C$22,0))</f>
        <v/>
      </c>
    </row>
    <row r="274">
      <c r="R274" s="17">
        <f>IF($D$4="","",IF(INDEX($A274:$P274,$D$4)="","",IF(ISNUMBER(INDEX($A274:$P274,$D$4)),INDEX($A274:$P274,$D$4),IFERROR(DATEVALUE(INDEX($A274:$P274,$D$4)),""))))</f>
        <v/>
      </c>
      <c r="S274">
        <f>IF(OR(R274="",$D$6=""),"",IF(LEFT(INDEX($A274:$P274,$D$6),LEN(Inputs!$C$24))=Inputs!$C$24,INDEX($A274:$P274,$D$6),""))</f>
        <v/>
      </c>
      <c r="T274">
        <f>IF(OR(R274="",$D$7=""),"",TRIM(IFERROR(LEFT(INDEX($A274:$P274,$D$7),FIND(",",INDEX($A274:$P274,$D$7))-1),INDEX($A274:$P274,$D$7))))</f>
        <v/>
      </c>
      <c r="U274" s="32">
        <f>IF(OR(R274="",$D$5=""),0,IFERROR(IF(ISNUMBER(INDEX($A274:$P274,$D$5)),INDEX($A274:$P274,$D$5),TIMEVALUE(INDEX($A274:$P274,$D$5)))*Inputs!$C$22,0))</f>
        <v/>
      </c>
    </row>
    <row r="275">
      <c r="R275" s="17">
        <f>IF($D$4="","",IF(INDEX($A275:$P275,$D$4)="","",IF(ISNUMBER(INDEX($A275:$P275,$D$4)),INDEX($A275:$P275,$D$4),IFERROR(DATEVALUE(INDEX($A275:$P275,$D$4)),""))))</f>
        <v/>
      </c>
      <c r="S275">
        <f>IF(OR(R275="",$D$6=""),"",IF(LEFT(INDEX($A275:$P275,$D$6),LEN(Inputs!$C$24))=Inputs!$C$24,INDEX($A275:$P275,$D$6),""))</f>
        <v/>
      </c>
      <c r="T275">
        <f>IF(OR(R275="",$D$7=""),"",TRIM(IFERROR(LEFT(INDEX($A275:$P275,$D$7),FIND(",",INDEX($A275:$P275,$D$7))-1),INDEX($A275:$P275,$D$7))))</f>
        <v/>
      </c>
      <c r="U275" s="32">
        <f>IF(OR(R275="",$D$5=""),0,IFERROR(IF(ISNUMBER(INDEX($A275:$P275,$D$5)),INDEX($A275:$P275,$D$5),TIMEVALUE(INDEX($A275:$P275,$D$5)))*Inputs!$C$22,0))</f>
        <v/>
      </c>
    </row>
    <row r="276">
      <c r="R276" s="17">
        <f>IF($D$4="","",IF(INDEX($A276:$P276,$D$4)="","",IF(ISNUMBER(INDEX($A276:$P276,$D$4)),INDEX($A276:$P276,$D$4),IFERROR(DATEVALUE(INDEX($A276:$P276,$D$4)),""))))</f>
        <v/>
      </c>
      <c r="S276">
        <f>IF(OR(R276="",$D$6=""),"",IF(LEFT(INDEX($A276:$P276,$D$6),LEN(Inputs!$C$24))=Inputs!$C$24,INDEX($A276:$P276,$D$6),""))</f>
        <v/>
      </c>
      <c r="T276">
        <f>IF(OR(R276="",$D$7=""),"",TRIM(IFERROR(LEFT(INDEX($A276:$P276,$D$7),FIND(",",INDEX($A276:$P276,$D$7))-1),INDEX($A276:$P276,$D$7))))</f>
        <v/>
      </c>
      <c r="U276" s="32">
        <f>IF(OR(R276="",$D$5=""),0,IFERROR(IF(ISNUMBER(INDEX($A276:$P276,$D$5)),INDEX($A276:$P276,$D$5),TIMEVALUE(INDEX($A276:$P276,$D$5)))*Inputs!$C$22,0))</f>
        <v/>
      </c>
    </row>
    <row r="277">
      <c r="R277" s="17">
        <f>IF($D$4="","",IF(INDEX($A277:$P277,$D$4)="","",IF(ISNUMBER(INDEX($A277:$P277,$D$4)),INDEX($A277:$P277,$D$4),IFERROR(DATEVALUE(INDEX($A277:$P277,$D$4)),""))))</f>
        <v/>
      </c>
      <c r="S277">
        <f>IF(OR(R277="",$D$6=""),"",IF(LEFT(INDEX($A277:$P277,$D$6),LEN(Inputs!$C$24))=Inputs!$C$24,INDEX($A277:$P277,$D$6),""))</f>
        <v/>
      </c>
      <c r="T277">
        <f>IF(OR(R277="",$D$7=""),"",TRIM(IFERROR(LEFT(INDEX($A277:$P277,$D$7),FIND(",",INDEX($A277:$P277,$D$7))-1),INDEX($A277:$P277,$D$7))))</f>
        <v/>
      </c>
      <c r="U277" s="32">
        <f>IF(OR(R277="",$D$5=""),0,IFERROR(IF(ISNUMBER(INDEX($A277:$P277,$D$5)),INDEX($A277:$P277,$D$5),TIMEVALUE(INDEX($A277:$P277,$D$5)))*Inputs!$C$22,0))</f>
        <v/>
      </c>
    </row>
    <row r="278">
      <c r="R278" s="17">
        <f>IF($D$4="","",IF(INDEX($A278:$P278,$D$4)="","",IF(ISNUMBER(INDEX($A278:$P278,$D$4)),INDEX($A278:$P278,$D$4),IFERROR(DATEVALUE(INDEX($A278:$P278,$D$4)),""))))</f>
        <v/>
      </c>
      <c r="S278">
        <f>IF(OR(R278="",$D$6=""),"",IF(LEFT(INDEX($A278:$P278,$D$6),LEN(Inputs!$C$24))=Inputs!$C$24,INDEX($A278:$P278,$D$6),""))</f>
        <v/>
      </c>
      <c r="T278">
        <f>IF(OR(R278="",$D$7=""),"",TRIM(IFERROR(LEFT(INDEX($A278:$P278,$D$7),FIND(",",INDEX($A278:$P278,$D$7))-1),INDEX($A278:$P278,$D$7))))</f>
        <v/>
      </c>
      <c r="U278" s="32">
        <f>IF(OR(R278="",$D$5=""),0,IFERROR(IF(ISNUMBER(INDEX($A278:$P278,$D$5)),INDEX($A278:$P278,$D$5),TIMEVALUE(INDEX($A278:$P278,$D$5)))*Inputs!$C$22,0))</f>
        <v/>
      </c>
    </row>
    <row r="279">
      <c r="R279" s="17">
        <f>IF($D$4="","",IF(INDEX($A279:$P279,$D$4)="","",IF(ISNUMBER(INDEX($A279:$P279,$D$4)),INDEX($A279:$P279,$D$4),IFERROR(DATEVALUE(INDEX($A279:$P279,$D$4)),""))))</f>
        <v/>
      </c>
      <c r="S279">
        <f>IF(OR(R279="",$D$6=""),"",IF(LEFT(INDEX($A279:$P279,$D$6),LEN(Inputs!$C$24))=Inputs!$C$24,INDEX($A279:$P279,$D$6),""))</f>
        <v/>
      </c>
      <c r="T279">
        <f>IF(OR(R279="",$D$7=""),"",TRIM(IFERROR(LEFT(INDEX($A279:$P279,$D$7),FIND(",",INDEX($A279:$P279,$D$7))-1),INDEX($A279:$P279,$D$7))))</f>
        <v/>
      </c>
      <c r="U279" s="32">
        <f>IF(OR(R279="",$D$5=""),0,IFERROR(IF(ISNUMBER(INDEX($A279:$P279,$D$5)),INDEX($A279:$P279,$D$5),TIMEVALUE(INDEX($A279:$P279,$D$5)))*Inputs!$C$22,0))</f>
        <v/>
      </c>
    </row>
    <row r="280">
      <c r="R280" s="17">
        <f>IF($D$4="","",IF(INDEX($A280:$P280,$D$4)="","",IF(ISNUMBER(INDEX($A280:$P280,$D$4)),INDEX($A280:$P280,$D$4),IFERROR(DATEVALUE(INDEX($A280:$P280,$D$4)),""))))</f>
        <v/>
      </c>
      <c r="S280">
        <f>IF(OR(R280="",$D$6=""),"",IF(LEFT(INDEX($A280:$P280,$D$6),LEN(Inputs!$C$24))=Inputs!$C$24,INDEX($A280:$P280,$D$6),""))</f>
        <v/>
      </c>
      <c r="T280">
        <f>IF(OR(R280="",$D$7=""),"",TRIM(IFERROR(LEFT(INDEX($A280:$P280,$D$7),FIND(",",INDEX($A280:$P280,$D$7))-1),INDEX($A280:$P280,$D$7))))</f>
        <v/>
      </c>
      <c r="U280" s="32">
        <f>IF(OR(R280="",$D$5=""),0,IFERROR(IF(ISNUMBER(INDEX($A280:$P280,$D$5)),INDEX($A280:$P280,$D$5),TIMEVALUE(INDEX($A280:$P280,$D$5)))*Inputs!$C$22,0))</f>
        <v/>
      </c>
    </row>
    <row r="281">
      <c r="R281" s="17">
        <f>IF($D$4="","",IF(INDEX($A281:$P281,$D$4)="","",IF(ISNUMBER(INDEX($A281:$P281,$D$4)),INDEX($A281:$P281,$D$4),IFERROR(DATEVALUE(INDEX($A281:$P281,$D$4)),""))))</f>
        <v/>
      </c>
      <c r="S281">
        <f>IF(OR(R281="",$D$6=""),"",IF(LEFT(INDEX($A281:$P281,$D$6),LEN(Inputs!$C$24))=Inputs!$C$24,INDEX($A281:$P281,$D$6),""))</f>
        <v/>
      </c>
      <c r="T281">
        <f>IF(OR(R281="",$D$7=""),"",TRIM(IFERROR(LEFT(INDEX($A281:$P281,$D$7),FIND(",",INDEX($A281:$P281,$D$7))-1),INDEX($A281:$P281,$D$7))))</f>
        <v/>
      </c>
      <c r="U281" s="32">
        <f>IF(OR(R281="",$D$5=""),0,IFERROR(IF(ISNUMBER(INDEX($A281:$P281,$D$5)),INDEX($A281:$P281,$D$5),TIMEVALUE(INDEX($A281:$P281,$D$5)))*Inputs!$C$22,0))</f>
        <v/>
      </c>
    </row>
    <row r="282">
      <c r="R282" s="17">
        <f>IF($D$4="","",IF(INDEX($A282:$P282,$D$4)="","",IF(ISNUMBER(INDEX($A282:$P282,$D$4)),INDEX($A282:$P282,$D$4),IFERROR(DATEVALUE(INDEX($A282:$P282,$D$4)),""))))</f>
        <v/>
      </c>
      <c r="S282">
        <f>IF(OR(R282="",$D$6=""),"",IF(LEFT(INDEX($A282:$P282,$D$6),LEN(Inputs!$C$24))=Inputs!$C$24,INDEX($A282:$P282,$D$6),""))</f>
        <v/>
      </c>
      <c r="T282">
        <f>IF(OR(R282="",$D$7=""),"",TRIM(IFERROR(LEFT(INDEX($A282:$P282,$D$7),FIND(",",INDEX($A282:$P282,$D$7))-1),INDEX($A282:$P282,$D$7))))</f>
        <v/>
      </c>
      <c r="U282" s="32">
        <f>IF(OR(R282="",$D$5=""),0,IFERROR(IF(ISNUMBER(INDEX($A282:$P282,$D$5)),INDEX($A282:$P282,$D$5),TIMEVALUE(INDEX($A282:$P282,$D$5)))*Inputs!$C$22,0))</f>
        <v/>
      </c>
    </row>
    <row r="283">
      <c r="R283" s="17">
        <f>IF($D$4="","",IF(INDEX($A283:$P283,$D$4)="","",IF(ISNUMBER(INDEX($A283:$P283,$D$4)),INDEX($A283:$P283,$D$4),IFERROR(DATEVALUE(INDEX($A283:$P283,$D$4)),""))))</f>
        <v/>
      </c>
      <c r="S283">
        <f>IF(OR(R283="",$D$6=""),"",IF(LEFT(INDEX($A283:$P283,$D$6),LEN(Inputs!$C$24))=Inputs!$C$24,INDEX($A283:$P283,$D$6),""))</f>
        <v/>
      </c>
      <c r="T283">
        <f>IF(OR(R283="",$D$7=""),"",TRIM(IFERROR(LEFT(INDEX($A283:$P283,$D$7),FIND(",",INDEX($A283:$P283,$D$7))-1),INDEX($A283:$P283,$D$7))))</f>
        <v/>
      </c>
      <c r="U283" s="32">
        <f>IF(OR(R283="",$D$5=""),0,IFERROR(IF(ISNUMBER(INDEX($A283:$P283,$D$5)),INDEX($A283:$P283,$D$5),TIMEVALUE(INDEX($A283:$P283,$D$5)))*Inputs!$C$22,0))</f>
        <v/>
      </c>
    </row>
    <row r="284">
      <c r="R284" s="17">
        <f>IF($D$4="","",IF(INDEX($A284:$P284,$D$4)="","",IF(ISNUMBER(INDEX($A284:$P284,$D$4)),INDEX($A284:$P284,$D$4),IFERROR(DATEVALUE(INDEX($A284:$P284,$D$4)),""))))</f>
        <v/>
      </c>
      <c r="S284">
        <f>IF(OR(R284="",$D$6=""),"",IF(LEFT(INDEX($A284:$P284,$D$6),LEN(Inputs!$C$24))=Inputs!$C$24,INDEX($A284:$P284,$D$6),""))</f>
        <v/>
      </c>
      <c r="T284">
        <f>IF(OR(R284="",$D$7=""),"",TRIM(IFERROR(LEFT(INDEX($A284:$P284,$D$7),FIND(",",INDEX($A284:$P284,$D$7))-1),INDEX($A284:$P284,$D$7))))</f>
        <v/>
      </c>
      <c r="U284" s="32">
        <f>IF(OR(R284="",$D$5=""),0,IFERROR(IF(ISNUMBER(INDEX($A284:$P284,$D$5)),INDEX($A284:$P284,$D$5),TIMEVALUE(INDEX($A284:$P284,$D$5)))*Inputs!$C$22,0))</f>
        <v/>
      </c>
    </row>
    <row r="285">
      <c r="R285" s="17">
        <f>IF($D$4="","",IF(INDEX($A285:$P285,$D$4)="","",IF(ISNUMBER(INDEX($A285:$P285,$D$4)),INDEX($A285:$P285,$D$4),IFERROR(DATEVALUE(INDEX($A285:$P285,$D$4)),""))))</f>
        <v/>
      </c>
      <c r="S285">
        <f>IF(OR(R285="",$D$6=""),"",IF(LEFT(INDEX($A285:$P285,$D$6),LEN(Inputs!$C$24))=Inputs!$C$24,INDEX($A285:$P285,$D$6),""))</f>
        <v/>
      </c>
      <c r="T285">
        <f>IF(OR(R285="",$D$7=""),"",TRIM(IFERROR(LEFT(INDEX($A285:$P285,$D$7),FIND(",",INDEX($A285:$P285,$D$7))-1),INDEX($A285:$P285,$D$7))))</f>
        <v/>
      </c>
      <c r="U285" s="32">
        <f>IF(OR(R285="",$D$5=""),0,IFERROR(IF(ISNUMBER(INDEX($A285:$P285,$D$5)),INDEX($A285:$P285,$D$5),TIMEVALUE(INDEX($A285:$P285,$D$5)))*Inputs!$C$22,0))</f>
        <v/>
      </c>
    </row>
    <row r="286">
      <c r="R286" s="17">
        <f>IF($D$4="","",IF(INDEX($A286:$P286,$D$4)="","",IF(ISNUMBER(INDEX($A286:$P286,$D$4)),INDEX($A286:$P286,$D$4),IFERROR(DATEVALUE(INDEX($A286:$P286,$D$4)),""))))</f>
        <v/>
      </c>
      <c r="S286">
        <f>IF(OR(R286="",$D$6=""),"",IF(LEFT(INDEX($A286:$P286,$D$6),LEN(Inputs!$C$24))=Inputs!$C$24,INDEX($A286:$P286,$D$6),""))</f>
        <v/>
      </c>
      <c r="T286">
        <f>IF(OR(R286="",$D$7=""),"",TRIM(IFERROR(LEFT(INDEX($A286:$P286,$D$7),FIND(",",INDEX($A286:$P286,$D$7))-1),INDEX($A286:$P286,$D$7))))</f>
        <v/>
      </c>
      <c r="U286" s="32">
        <f>IF(OR(R286="",$D$5=""),0,IFERROR(IF(ISNUMBER(INDEX($A286:$P286,$D$5)),INDEX($A286:$P286,$D$5),TIMEVALUE(INDEX($A286:$P286,$D$5)))*Inputs!$C$22,0))</f>
        <v/>
      </c>
    </row>
    <row r="287">
      <c r="R287" s="17">
        <f>IF($D$4="","",IF(INDEX($A287:$P287,$D$4)="","",IF(ISNUMBER(INDEX($A287:$P287,$D$4)),INDEX($A287:$P287,$D$4),IFERROR(DATEVALUE(INDEX($A287:$P287,$D$4)),""))))</f>
        <v/>
      </c>
      <c r="S287">
        <f>IF(OR(R287="",$D$6=""),"",IF(LEFT(INDEX($A287:$P287,$D$6),LEN(Inputs!$C$24))=Inputs!$C$24,INDEX($A287:$P287,$D$6),""))</f>
        <v/>
      </c>
      <c r="T287">
        <f>IF(OR(R287="",$D$7=""),"",TRIM(IFERROR(LEFT(INDEX($A287:$P287,$D$7),FIND(",",INDEX($A287:$P287,$D$7))-1),INDEX($A287:$P287,$D$7))))</f>
        <v/>
      </c>
      <c r="U287" s="32">
        <f>IF(OR(R287="",$D$5=""),0,IFERROR(IF(ISNUMBER(INDEX($A287:$P287,$D$5)),INDEX($A287:$P287,$D$5),TIMEVALUE(INDEX($A287:$P287,$D$5)))*Inputs!$C$22,0))</f>
        <v/>
      </c>
    </row>
    <row r="288">
      <c r="R288" s="17">
        <f>IF($D$4="","",IF(INDEX($A288:$P288,$D$4)="","",IF(ISNUMBER(INDEX($A288:$P288,$D$4)),INDEX($A288:$P288,$D$4),IFERROR(DATEVALUE(INDEX($A288:$P288,$D$4)),""))))</f>
        <v/>
      </c>
      <c r="S288">
        <f>IF(OR(R288="",$D$6=""),"",IF(LEFT(INDEX($A288:$P288,$D$6),LEN(Inputs!$C$24))=Inputs!$C$24,INDEX($A288:$P288,$D$6),""))</f>
        <v/>
      </c>
      <c r="T288">
        <f>IF(OR(R288="",$D$7=""),"",TRIM(IFERROR(LEFT(INDEX($A288:$P288,$D$7),FIND(",",INDEX($A288:$P288,$D$7))-1),INDEX($A288:$P288,$D$7))))</f>
        <v/>
      </c>
      <c r="U288" s="32">
        <f>IF(OR(R288="",$D$5=""),0,IFERROR(IF(ISNUMBER(INDEX($A288:$P288,$D$5)),INDEX($A288:$P288,$D$5),TIMEVALUE(INDEX($A288:$P288,$D$5)))*Inputs!$C$22,0))</f>
        <v/>
      </c>
    </row>
    <row r="289">
      <c r="R289" s="17">
        <f>IF($D$4="","",IF(INDEX($A289:$P289,$D$4)="","",IF(ISNUMBER(INDEX($A289:$P289,$D$4)),INDEX($A289:$P289,$D$4),IFERROR(DATEVALUE(INDEX($A289:$P289,$D$4)),""))))</f>
        <v/>
      </c>
      <c r="S289">
        <f>IF(OR(R289="",$D$6=""),"",IF(LEFT(INDEX($A289:$P289,$D$6),LEN(Inputs!$C$24))=Inputs!$C$24,INDEX($A289:$P289,$D$6),""))</f>
        <v/>
      </c>
      <c r="T289">
        <f>IF(OR(R289="",$D$7=""),"",TRIM(IFERROR(LEFT(INDEX($A289:$P289,$D$7),FIND(",",INDEX($A289:$P289,$D$7))-1),INDEX($A289:$P289,$D$7))))</f>
        <v/>
      </c>
      <c r="U289" s="32">
        <f>IF(OR(R289="",$D$5=""),0,IFERROR(IF(ISNUMBER(INDEX($A289:$P289,$D$5)),INDEX($A289:$P289,$D$5),TIMEVALUE(INDEX($A289:$P289,$D$5)))*Inputs!$C$22,0))</f>
        <v/>
      </c>
    </row>
    <row r="290">
      <c r="R290" s="17">
        <f>IF($D$4="","",IF(INDEX($A290:$P290,$D$4)="","",IF(ISNUMBER(INDEX($A290:$P290,$D$4)),INDEX($A290:$P290,$D$4),IFERROR(DATEVALUE(INDEX($A290:$P290,$D$4)),""))))</f>
        <v/>
      </c>
      <c r="S290">
        <f>IF(OR(R290="",$D$6=""),"",IF(LEFT(INDEX($A290:$P290,$D$6),LEN(Inputs!$C$24))=Inputs!$C$24,INDEX($A290:$P290,$D$6),""))</f>
        <v/>
      </c>
      <c r="T290">
        <f>IF(OR(R290="",$D$7=""),"",TRIM(IFERROR(LEFT(INDEX($A290:$P290,$D$7),FIND(",",INDEX($A290:$P290,$D$7))-1),INDEX($A290:$P290,$D$7))))</f>
        <v/>
      </c>
      <c r="U290" s="32">
        <f>IF(OR(R290="",$D$5=""),0,IFERROR(IF(ISNUMBER(INDEX($A290:$P290,$D$5)),INDEX($A290:$P290,$D$5),TIMEVALUE(INDEX($A290:$P290,$D$5)))*Inputs!$C$22,0))</f>
        <v/>
      </c>
    </row>
    <row r="291">
      <c r="R291" s="17">
        <f>IF($D$4="","",IF(INDEX($A291:$P291,$D$4)="","",IF(ISNUMBER(INDEX($A291:$P291,$D$4)),INDEX($A291:$P291,$D$4),IFERROR(DATEVALUE(INDEX($A291:$P291,$D$4)),""))))</f>
        <v/>
      </c>
      <c r="S291">
        <f>IF(OR(R291="",$D$6=""),"",IF(LEFT(INDEX($A291:$P291,$D$6),LEN(Inputs!$C$24))=Inputs!$C$24,INDEX($A291:$P291,$D$6),""))</f>
        <v/>
      </c>
      <c r="T291">
        <f>IF(OR(R291="",$D$7=""),"",TRIM(IFERROR(LEFT(INDEX($A291:$P291,$D$7),FIND(",",INDEX($A291:$P291,$D$7))-1),INDEX($A291:$P291,$D$7))))</f>
        <v/>
      </c>
      <c r="U291" s="32">
        <f>IF(OR(R291="",$D$5=""),0,IFERROR(IF(ISNUMBER(INDEX($A291:$P291,$D$5)),INDEX($A291:$P291,$D$5),TIMEVALUE(INDEX($A291:$P291,$D$5)))*Inputs!$C$22,0))</f>
        <v/>
      </c>
    </row>
    <row r="292">
      <c r="R292" s="17">
        <f>IF($D$4="","",IF(INDEX($A292:$P292,$D$4)="","",IF(ISNUMBER(INDEX($A292:$P292,$D$4)),INDEX($A292:$P292,$D$4),IFERROR(DATEVALUE(INDEX($A292:$P292,$D$4)),""))))</f>
        <v/>
      </c>
      <c r="S292">
        <f>IF(OR(R292="",$D$6=""),"",IF(LEFT(INDEX($A292:$P292,$D$6),LEN(Inputs!$C$24))=Inputs!$C$24,INDEX($A292:$P292,$D$6),""))</f>
        <v/>
      </c>
      <c r="T292">
        <f>IF(OR(R292="",$D$7=""),"",TRIM(IFERROR(LEFT(INDEX($A292:$P292,$D$7),FIND(",",INDEX($A292:$P292,$D$7))-1),INDEX($A292:$P292,$D$7))))</f>
        <v/>
      </c>
      <c r="U292" s="32">
        <f>IF(OR(R292="",$D$5=""),0,IFERROR(IF(ISNUMBER(INDEX($A292:$P292,$D$5)),INDEX($A292:$P292,$D$5),TIMEVALUE(INDEX($A292:$P292,$D$5)))*Inputs!$C$22,0))</f>
        <v/>
      </c>
    </row>
    <row r="293">
      <c r="R293" s="17">
        <f>IF($D$4="","",IF(INDEX($A293:$P293,$D$4)="","",IF(ISNUMBER(INDEX($A293:$P293,$D$4)),INDEX($A293:$P293,$D$4),IFERROR(DATEVALUE(INDEX($A293:$P293,$D$4)),""))))</f>
        <v/>
      </c>
      <c r="S293">
        <f>IF(OR(R293="",$D$6=""),"",IF(LEFT(INDEX($A293:$P293,$D$6),LEN(Inputs!$C$24))=Inputs!$C$24,INDEX($A293:$P293,$D$6),""))</f>
        <v/>
      </c>
      <c r="T293">
        <f>IF(OR(R293="",$D$7=""),"",TRIM(IFERROR(LEFT(INDEX($A293:$P293,$D$7),FIND(",",INDEX($A293:$P293,$D$7))-1),INDEX($A293:$P293,$D$7))))</f>
        <v/>
      </c>
      <c r="U293" s="32">
        <f>IF(OR(R293="",$D$5=""),0,IFERROR(IF(ISNUMBER(INDEX($A293:$P293,$D$5)),INDEX($A293:$P293,$D$5),TIMEVALUE(INDEX($A293:$P293,$D$5)))*Inputs!$C$22,0))</f>
        <v/>
      </c>
    </row>
    <row r="294">
      <c r="R294" s="17">
        <f>IF($D$4="","",IF(INDEX($A294:$P294,$D$4)="","",IF(ISNUMBER(INDEX($A294:$P294,$D$4)),INDEX($A294:$P294,$D$4),IFERROR(DATEVALUE(INDEX($A294:$P294,$D$4)),""))))</f>
        <v/>
      </c>
      <c r="S294">
        <f>IF(OR(R294="",$D$6=""),"",IF(LEFT(INDEX($A294:$P294,$D$6),LEN(Inputs!$C$24))=Inputs!$C$24,INDEX($A294:$P294,$D$6),""))</f>
        <v/>
      </c>
      <c r="T294">
        <f>IF(OR(R294="",$D$7=""),"",TRIM(IFERROR(LEFT(INDEX($A294:$P294,$D$7),FIND(",",INDEX($A294:$P294,$D$7))-1),INDEX($A294:$P294,$D$7))))</f>
        <v/>
      </c>
      <c r="U294" s="32">
        <f>IF(OR(R294="",$D$5=""),0,IFERROR(IF(ISNUMBER(INDEX($A294:$P294,$D$5)),INDEX($A294:$P294,$D$5),TIMEVALUE(INDEX($A294:$P294,$D$5)))*Inputs!$C$22,0))</f>
        <v/>
      </c>
    </row>
    <row r="295">
      <c r="R295" s="17">
        <f>IF($D$4="","",IF(INDEX($A295:$P295,$D$4)="","",IF(ISNUMBER(INDEX($A295:$P295,$D$4)),INDEX($A295:$P295,$D$4),IFERROR(DATEVALUE(INDEX($A295:$P295,$D$4)),""))))</f>
        <v/>
      </c>
      <c r="S295">
        <f>IF(OR(R295="",$D$6=""),"",IF(LEFT(INDEX($A295:$P295,$D$6),LEN(Inputs!$C$24))=Inputs!$C$24,INDEX($A295:$P295,$D$6),""))</f>
        <v/>
      </c>
      <c r="T295">
        <f>IF(OR(R295="",$D$7=""),"",TRIM(IFERROR(LEFT(INDEX($A295:$P295,$D$7),FIND(",",INDEX($A295:$P295,$D$7))-1),INDEX($A295:$P295,$D$7))))</f>
        <v/>
      </c>
      <c r="U295" s="32">
        <f>IF(OR(R295="",$D$5=""),0,IFERROR(IF(ISNUMBER(INDEX($A295:$P295,$D$5)),INDEX($A295:$P295,$D$5),TIMEVALUE(INDEX($A295:$P295,$D$5)))*Inputs!$C$22,0))</f>
        <v/>
      </c>
    </row>
    <row r="296">
      <c r="R296" s="17">
        <f>IF($D$4="","",IF(INDEX($A296:$P296,$D$4)="","",IF(ISNUMBER(INDEX($A296:$P296,$D$4)),INDEX($A296:$P296,$D$4),IFERROR(DATEVALUE(INDEX($A296:$P296,$D$4)),""))))</f>
        <v/>
      </c>
      <c r="S296">
        <f>IF(OR(R296="",$D$6=""),"",IF(LEFT(INDEX($A296:$P296,$D$6),LEN(Inputs!$C$24))=Inputs!$C$24,INDEX($A296:$P296,$D$6),""))</f>
        <v/>
      </c>
      <c r="T296">
        <f>IF(OR(R296="",$D$7=""),"",TRIM(IFERROR(LEFT(INDEX($A296:$P296,$D$7),FIND(",",INDEX($A296:$P296,$D$7))-1),INDEX($A296:$P296,$D$7))))</f>
        <v/>
      </c>
      <c r="U296" s="32">
        <f>IF(OR(R296="",$D$5=""),0,IFERROR(IF(ISNUMBER(INDEX($A296:$P296,$D$5)),INDEX($A296:$P296,$D$5),TIMEVALUE(INDEX($A296:$P296,$D$5)))*Inputs!$C$22,0))</f>
        <v/>
      </c>
    </row>
    <row r="297">
      <c r="R297" s="17">
        <f>IF($D$4="","",IF(INDEX($A297:$P297,$D$4)="","",IF(ISNUMBER(INDEX($A297:$P297,$D$4)),INDEX($A297:$P297,$D$4),IFERROR(DATEVALUE(INDEX($A297:$P297,$D$4)),""))))</f>
        <v/>
      </c>
      <c r="S297">
        <f>IF(OR(R297="",$D$6=""),"",IF(LEFT(INDEX($A297:$P297,$D$6),LEN(Inputs!$C$24))=Inputs!$C$24,INDEX($A297:$P297,$D$6),""))</f>
        <v/>
      </c>
      <c r="T297">
        <f>IF(OR(R297="",$D$7=""),"",TRIM(IFERROR(LEFT(INDEX($A297:$P297,$D$7),FIND(",",INDEX($A297:$P297,$D$7))-1),INDEX($A297:$P297,$D$7))))</f>
        <v/>
      </c>
      <c r="U297" s="32">
        <f>IF(OR(R297="",$D$5=""),0,IFERROR(IF(ISNUMBER(INDEX($A297:$P297,$D$5)),INDEX($A297:$P297,$D$5),TIMEVALUE(INDEX($A297:$P297,$D$5)))*Inputs!$C$22,0))</f>
        <v/>
      </c>
    </row>
    <row r="298">
      <c r="R298" s="17">
        <f>IF($D$4="","",IF(INDEX($A298:$P298,$D$4)="","",IF(ISNUMBER(INDEX($A298:$P298,$D$4)),INDEX($A298:$P298,$D$4),IFERROR(DATEVALUE(INDEX($A298:$P298,$D$4)),""))))</f>
        <v/>
      </c>
      <c r="S298">
        <f>IF(OR(R298="",$D$6=""),"",IF(LEFT(INDEX($A298:$P298,$D$6),LEN(Inputs!$C$24))=Inputs!$C$24,INDEX($A298:$P298,$D$6),""))</f>
        <v/>
      </c>
      <c r="T298">
        <f>IF(OR(R298="",$D$7=""),"",TRIM(IFERROR(LEFT(INDEX($A298:$P298,$D$7),FIND(",",INDEX($A298:$P298,$D$7))-1),INDEX($A298:$P298,$D$7))))</f>
        <v/>
      </c>
      <c r="U298" s="32">
        <f>IF(OR(R298="",$D$5=""),0,IFERROR(IF(ISNUMBER(INDEX($A298:$P298,$D$5)),INDEX($A298:$P298,$D$5),TIMEVALUE(INDEX($A298:$P298,$D$5)))*Inputs!$C$22,0))</f>
        <v/>
      </c>
    </row>
    <row r="299">
      <c r="R299" s="17">
        <f>IF($D$4="","",IF(INDEX($A299:$P299,$D$4)="","",IF(ISNUMBER(INDEX($A299:$P299,$D$4)),INDEX($A299:$P299,$D$4),IFERROR(DATEVALUE(INDEX($A299:$P299,$D$4)),""))))</f>
        <v/>
      </c>
      <c r="S299">
        <f>IF(OR(R299="",$D$6=""),"",IF(LEFT(INDEX($A299:$P299,$D$6),LEN(Inputs!$C$24))=Inputs!$C$24,INDEX($A299:$P299,$D$6),""))</f>
        <v/>
      </c>
      <c r="T299">
        <f>IF(OR(R299="",$D$7=""),"",TRIM(IFERROR(LEFT(INDEX($A299:$P299,$D$7),FIND(",",INDEX($A299:$P299,$D$7))-1),INDEX($A299:$P299,$D$7))))</f>
        <v/>
      </c>
      <c r="U299" s="32">
        <f>IF(OR(R299="",$D$5=""),0,IFERROR(IF(ISNUMBER(INDEX($A299:$P299,$D$5)),INDEX($A299:$P299,$D$5),TIMEVALUE(INDEX($A299:$P299,$D$5)))*Inputs!$C$22,0))</f>
        <v/>
      </c>
    </row>
    <row r="300">
      <c r="R300" s="17">
        <f>IF($D$4="","",IF(INDEX($A300:$P300,$D$4)="","",IF(ISNUMBER(INDEX($A300:$P300,$D$4)),INDEX($A300:$P300,$D$4),IFERROR(DATEVALUE(INDEX($A300:$P300,$D$4)),""))))</f>
        <v/>
      </c>
      <c r="S300">
        <f>IF(OR(R300="",$D$6=""),"",IF(LEFT(INDEX($A300:$P300,$D$6),LEN(Inputs!$C$24))=Inputs!$C$24,INDEX($A300:$P300,$D$6),""))</f>
        <v/>
      </c>
      <c r="T300">
        <f>IF(OR(R300="",$D$7=""),"",TRIM(IFERROR(LEFT(INDEX($A300:$P300,$D$7),FIND(",",INDEX($A300:$P300,$D$7))-1),INDEX($A300:$P300,$D$7))))</f>
        <v/>
      </c>
      <c r="U300" s="32">
        <f>IF(OR(R300="",$D$5=""),0,IFERROR(IF(ISNUMBER(INDEX($A300:$P300,$D$5)),INDEX($A300:$P300,$D$5),TIMEVALUE(INDEX($A300:$P300,$D$5)))*Inputs!$C$22,0))</f>
        <v/>
      </c>
    </row>
    <row r="301">
      <c r="R301" s="17">
        <f>IF($D$4="","",IF(INDEX($A301:$P301,$D$4)="","",IF(ISNUMBER(INDEX($A301:$P301,$D$4)),INDEX($A301:$P301,$D$4),IFERROR(DATEVALUE(INDEX($A301:$P301,$D$4)),""))))</f>
        <v/>
      </c>
      <c r="S301">
        <f>IF(OR(R301="",$D$6=""),"",IF(LEFT(INDEX($A301:$P301,$D$6),LEN(Inputs!$C$24))=Inputs!$C$24,INDEX($A301:$P301,$D$6),""))</f>
        <v/>
      </c>
      <c r="T301">
        <f>IF(OR(R301="",$D$7=""),"",TRIM(IFERROR(LEFT(INDEX($A301:$P301,$D$7),FIND(",",INDEX($A301:$P301,$D$7))-1),INDEX($A301:$P301,$D$7))))</f>
        <v/>
      </c>
      <c r="U301" s="32">
        <f>IF(OR(R301="",$D$5=""),0,IFERROR(IF(ISNUMBER(INDEX($A301:$P301,$D$5)),INDEX($A301:$P301,$D$5),TIMEVALUE(INDEX($A301:$P301,$D$5)))*Inputs!$C$22,0))</f>
        <v/>
      </c>
    </row>
    <row r="302">
      <c r="R302" s="17">
        <f>IF($D$4="","",IF(INDEX($A302:$P302,$D$4)="","",IF(ISNUMBER(INDEX($A302:$P302,$D$4)),INDEX($A302:$P302,$D$4),IFERROR(DATEVALUE(INDEX($A302:$P302,$D$4)),""))))</f>
        <v/>
      </c>
      <c r="S302">
        <f>IF(OR(R302="",$D$6=""),"",IF(LEFT(INDEX($A302:$P302,$D$6),LEN(Inputs!$C$24))=Inputs!$C$24,INDEX($A302:$P302,$D$6),""))</f>
        <v/>
      </c>
      <c r="T302">
        <f>IF(OR(R302="",$D$7=""),"",TRIM(IFERROR(LEFT(INDEX($A302:$P302,$D$7),FIND(",",INDEX($A302:$P302,$D$7))-1),INDEX($A302:$P302,$D$7))))</f>
        <v/>
      </c>
      <c r="U302" s="32">
        <f>IF(OR(R302="",$D$5=""),0,IFERROR(IF(ISNUMBER(INDEX($A302:$P302,$D$5)),INDEX($A302:$P302,$D$5),TIMEVALUE(INDEX($A302:$P302,$D$5)))*Inputs!$C$22,0))</f>
        <v/>
      </c>
    </row>
    <row r="303">
      <c r="R303" s="17">
        <f>IF($D$4="","",IF(INDEX($A303:$P303,$D$4)="","",IF(ISNUMBER(INDEX($A303:$P303,$D$4)),INDEX($A303:$P303,$D$4),IFERROR(DATEVALUE(INDEX($A303:$P303,$D$4)),""))))</f>
        <v/>
      </c>
      <c r="S303">
        <f>IF(OR(R303="",$D$6=""),"",IF(LEFT(INDEX($A303:$P303,$D$6),LEN(Inputs!$C$24))=Inputs!$C$24,INDEX($A303:$P303,$D$6),""))</f>
        <v/>
      </c>
      <c r="T303">
        <f>IF(OR(R303="",$D$7=""),"",TRIM(IFERROR(LEFT(INDEX($A303:$P303,$D$7),FIND(",",INDEX($A303:$P303,$D$7))-1),INDEX($A303:$P303,$D$7))))</f>
        <v/>
      </c>
      <c r="U303" s="32">
        <f>IF(OR(R303="",$D$5=""),0,IFERROR(IF(ISNUMBER(INDEX($A303:$P303,$D$5)),INDEX($A303:$P303,$D$5),TIMEVALUE(INDEX($A303:$P303,$D$5)))*Inputs!$C$22,0))</f>
        <v/>
      </c>
    </row>
    <row r="304">
      <c r="R304" s="17">
        <f>IF($D$4="","",IF(INDEX($A304:$P304,$D$4)="","",IF(ISNUMBER(INDEX($A304:$P304,$D$4)),INDEX($A304:$P304,$D$4),IFERROR(DATEVALUE(INDEX($A304:$P304,$D$4)),""))))</f>
        <v/>
      </c>
      <c r="S304">
        <f>IF(OR(R304="",$D$6=""),"",IF(LEFT(INDEX($A304:$P304,$D$6),LEN(Inputs!$C$24))=Inputs!$C$24,INDEX($A304:$P304,$D$6),""))</f>
        <v/>
      </c>
      <c r="T304">
        <f>IF(OR(R304="",$D$7=""),"",TRIM(IFERROR(LEFT(INDEX($A304:$P304,$D$7),FIND(",",INDEX($A304:$P304,$D$7))-1),INDEX($A304:$P304,$D$7))))</f>
        <v/>
      </c>
      <c r="U304" s="32">
        <f>IF(OR(R304="",$D$5=""),0,IFERROR(IF(ISNUMBER(INDEX($A304:$P304,$D$5)),INDEX($A304:$P304,$D$5),TIMEVALUE(INDEX($A304:$P304,$D$5)))*Inputs!$C$22,0))</f>
        <v/>
      </c>
    </row>
    <row r="305">
      <c r="R305" s="17">
        <f>IF($D$4="","",IF(INDEX($A305:$P305,$D$4)="","",IF(ISNUMBER(INDEX($A305:$P305,$D$4)),INDEX($A305:$P305,$D$4),IFERROR(DATEVALUE(INDEX($A305:$P305,$D$4)),""))))</f>
        <v/>
      </c>
      <c r="S305">
        <f>IF(OR(R305="",$D$6=""),"",IF(LEFT(INDEX($A305:$P305,$D$6),LEN(Inputs!$C$24))=Inputs!$C$24,INDEX($A305:$P305,$D$6),""))</f>
        <v/>
      </c>
      <c r="T305">
        <f>IF(OR(R305="",$D$7=""),"",TRIM(IFERROR(LEFT(INDEX($A305:$P305,$D$7),FIND(",",INDEX($A305:$P305,$D$7))-1),INDEX($A305:$P305,$D$7))))</f>
        <v/>
      </c>
      <c r="U305" s="32">
        <f>IF(OR(R305="",$D$5=""),0,IFERROR(IF(ISNUMBER(INDEX($A305:$P305,$D$5)),INDEX($A305:$P305,$D$5),TIMEVALUE(INDEX($A305:$P305,$D$5)))*Inputs!$C$22,0))</f>
        <v/>
      </c>
    </row>
    <row r="306">
      <c r="R306" s="17">
        <f>IF($D$4="","",IF(INDEX($A306:$P306,$D$4)="","",IF(ISNUMBER(INDEX($A306:$P306,$D$4)),INDEX($A306:$P306,$D$4),IFERROR(DATEVALUE(INDEX($A306:$P306,$D$4)),""))))</f>
        <v/>
      </c>
      <c r="S306">
        <f>IF(OR(R306="",$D$6=""),"",IF(LEFT(INDEX($A306:$P306,$D$6),LEN(Inputs!$C$24))=Inputs!$C$24,INDEX($A306:$P306,$D$6),""))</f>
        <v/>
      </c>
      <c r="T306">
        <f>IF(OR(R306="",$D$7=""),"",TRIM(IFERROR(LEFT(INDEX($A306:$P306,$D$7),FIND(",",INDEX($A306:$P306,$D$7))-1),INDEX($A306:$P306,$D$7))))</f>
        <v/>
      </c>
      <c r="U306" s="32">
        <f>IF(OR(R306="",$D$5=""),0,IFERROR(IF(ISNUMBER(INDEX($A306:$P306,$D$5)),INDEX($A306:$P306,$D$5),TIMEVALUE(INDEX($A306:$P306,$D$5)))*Inputs!$C$22,0))</f>
        <v/>
      </c>
    </row>
    <row r="307">
      <c r="R307" s="17">
        <f>IF($D$4="","",IF(INDEX($A307:$P307,$D$4)="","",IF(ISNUMBER(INDEX($A307:$P307,$D$4)),INDEX($A307:$P307,$D$4),IFERROR(DATEVALUE(INDEX($A307:$P307,$D$4)),""))))</f>
        <v/>
      </c>
      <c r="S307">
        <f>IF(OR(R307="",$D$6=""),"",IF(LEFT(INDEX($A307:$P307,$D$6),LEN(Inputs!$C$24))=Inputs!$C$24,INDEX($A307:$P307,$D$6),""))</f>
        <v/>
      </c>
      <c r="T307">
        <f>IF(OR(R307="",$D$7=""),"",TRIM(IFERROR(LEFT(INDEX($A307:$P307,$D$7),FIND(",",INDEX($A307:$P307,$D$7))-1),INDEX($A307:$P307,$D$7))))</f>
        <v/>
      </c>
      <c r="U307" s="32">
        <f>IF(OR(R307="",$D$5=""),0,IFERROR(IF(ISNUMBER(INDEX($A307:$P307,$D$5)),INDEX($A307:$P307,$D$5),TIMEVALUE(INDEX($A307:$P307,$D$5)))*Inputs!$C$22,0))</f>
        <v/>
      </c>
    </row>
    <row r="308">
      <c r="R308" s="17">
        <f>IF($D$4="","",IF(INDEX($A308:$P308,$D$4)="","",IF(ISNUMBER(INDEX($A308:$P308,$D$4)),INDEX($A308:$P308,$D$4),IFERROR(DATEVALUE(INDEX($A308:$P308,$D$4)),""))))</f>
        <v/>
      </c>
      <c r="S308">
        <f>IF(OR(R308="",$D$6=""),"",IF(LEFT(INDEX($A308:$P308,$D$6),LEN(Inputs!$C$24))=Inputs!$C$24,INDEX($A308:$P308,$D$6),""))</f>
        <v/>
      </c>
      <c r="T308">
        <f>IF(OR(R308="",$D$7=""),"",TRIM(IFERROR(LEFT(INDEX($A308:$P308,$D$7),FIND(",",INDEX($A308:$P308,$D$7))-1),INDEX($A308:$P308,$D$7))))</f>
        <v/>
      </c>
      <c r="U308" s="32">
        <f>IF(OR(R308="",$D$5=""),0,IFERROR(IF(ISNUMBER(INDEX($A308:$P308,$D$5)),INDEX($A308:$P308,$D$5),TIMEVALUE(INDEX($A308:$P308,$D$5)))*Inputs!$C$22,0))</f>
        <v/>
      </c>
    </row>
    <row r="309">
      <c r="R309" s="17">
        <f>IF($D$4="","",IF(INDEX($A309:$P309,$D$4)="","",IF(ISNUMBER(INDEX($A309:$P309,$D$4)),INDEX($A309:$P309,$D$4),IFERROR(DATEVALUE(INDEX($A309:$P309,$D$4)),""))))</f>
        <v/>
      </c>
      <c r="S309">
        <f>IF(OR(R309="",$D$6=""),"",IF(LEFT(INDEX($A309:$P309,$D$6),LEN(Inputs!$C$24))=Inputs!$C$24,INDEX($A309:$P309,$D$6),""))</f>
        <v/>
      </c>
      <c r="T309">
        <f>IF(OR(R309="",$D$7=""),"",TRIM(IFERROR(LEFT(INDEX($A309:$P309,$D$7),FIND(",",INDEX($A309:$P309,$D$7))-1),INDEX($A309:$P309,$D$7))))</f>
        <v/>
      </c>
      <c r="U309" s="32">
        <f>IF(OR(R309="",$D$5=""),0,IFERROR(IF(ISNUMBER(INDEX($A309:$P309,$D$5)),INDEX($A309:$P309,$D$5),TIMEVALUE(INDEX($A309:$P309,$D$5)))*Inputs!$C$22,0))</f>
        <v/>
      </c>
    </row>
    <row r="310">
      <c r="R310" s="17">
        <f>IF($D$4="","",IF(INDEX($A310:$P310,$D$4)="","",IF(ISNUMBER(INDEX($A310:$P310,$D$4)),INDEX($A310:$P310,$D$4),IFERROR(DATEVALUE(INDEX($A310:$P310,$D$4)),""))))</f>
        <v/>
      </c>
      <c r="S310">
        <f>IF(OR(R310="",$D$6=""),"",IF(LEFT(INDEX($A310:$P310,$D$6),LEN(Inputs!$C$24))=Inputs!$C$24,INDEX($A310:$P310,$D$6),""))</f>
        <v/>
      </c>
      <c r="T310">
        <f>IF(OR(R310="",$D$7=""),"",TRIM(IFERROR(LEFT(INDEX($A310:$P310,$D$7),FIND(",",INDEX($A310:$P310,$D$7))-1),INDEX($A310:$P310,$D$7))))</f>
        <v/>
      </c>
      <c r="U310" s="32">
        <f>IF(OR(R310="",$D$5=""),0,IFERROR(IF(ISNUMBER(INDEX($A310:$P310,$D$5)),INDEX($A310:$P310,$D$5),TIMEVALUE(INDEX($A310:$P310,$D$5)))*Inputs!$C$22,0))</f>
        <v/>
      </c>
    </row>
    <row r="311">
      <c r="R311" s="17">
        <f>IF($D$4="","",IF(INDEX($A311:$P311,$D$4)="","",IF(ISNUMBER(INDEX($A311:$P311,$D$4)),INDEX($A311:$P311,$D$4),IFERROR(DATEVALUE(INDEX($A311:$P311,$D$4)),""))))</f>
        <v/>
      </c>
      <c r="S311">
        <f>IF(OR(R311="",$D$6=""),"",IF(LEFT(INDEX($A311:$P311,$D$6),LEN(Inputs!$C$24))=Inputs!$C$24,INDEX($A311:$P311,$D$6),""))</f>
        <v/>
      </c>
      <c r="T311">
        <f>IF(OR(R311="",$D$7=""),"",TRIM(IFERROR(LEFT(INDEX($A311:$P311,$D$7),FIND(",",INDEX($A311:$P311,$D$7))-1),INDEX($A311:$P311,$D$7))))</f>
        <v/>
      </c>
      <c r="U311" s="32">
        <f>IF(OR(R311="",$D$5=""),0,IFERROR(IF(ISNUMBER(INDEX($A311:$P311,$D$5)),INDEX($A311:$P311,$D$5),TIMEVALUE(INDEX($A311:$P311,$D$5)))*Inputs!$C$22,0))</f>
        <v/>
      </c>
    </row>
    <row r="312">
      <c r="R312" s="17">
        <f>IF($D$4="","",IF(INDEX($A312:$P312,$D$4)="","",IF(ISNUMBER(INDEX($A312:$P312,$D$4)),INDEX($A312:$P312,$D$4),IFERROR(DATEVALUE(INDEX($A312:$P312,$D$4)),""))))</f>
        <v/>
      </c>
      <c r="S312">
        <f>IF(OR(R312="",$D$6=""),"",IF(LEFT(INDEX($A312:$P312,$D$6),LEN(Inputs!$C$24))=Inputs!$C$24,INDEX($A312:$P312,$D$6),""))</f>
        <v/>
      </c>
      <c r="T312">
        <f>IF(OR(R312="",$D$7=""),"",TRIM(IFERROR(LEFT(INDEX($A312:$P312,$D$7),FIND(",",INDEX($A312:$P312,$D$7))-1),INDEX($A312:$P312,$D$7))))</f>
        <v/>
      </c>
      <c r="U312" s="32">
        <f>IF(OR(R312="",$D$5=""),0,IFERROR(IF(ISNUMBER(INDEX($A312:$P312,$D$5)),INDEX($A312:$P312,$D$5),TIMEVALUE(INDEX($A312:$P312,$D$5)))*Inputs!$C$22,0))</f>
        <v/>
      </c>
    </row>
    <row r="313">
      <c r="R313" s="17">
        <f>IF($D$4="","",IF(INDEX($A313:$P313,$D$4)="","",IF(ISNUMBER(INDEX($A313:$P313,$D$4)),INDEX($A313:$P313,$D$4),IFERROR(DATEVALUE(INDEX($A313:$P313,$D$4)),""))))</f>
        <v/>
      </c>
      <c r="S313">
        <f>IF(OR(R313="",$D$6=""),"",IF(LEFT(INDEX($A313:$P313,$D$6),LEN(Inputs!$C$24))=Inputs!$C$24,INDEX($A313:$P313,$D$6),""))</f>
        <v/>
      </c>
      <c r="T313">
        <f>IF(OR(R313="",$D$7=""),"",TRIM(IFERROR(LEFT(INDEX($A313:$P313,$D$7),FIND(",",INDEX($A313:$P313,$D$7))-1),INDEX($A313:$P313,$D$7))))</f>
        <v/>
      </c>
      <c r="U313" s="32">
        <f>IF(OR(R313="",$D$5=""),0,IFERROR(IF(ISNUMBER(INDEX($A313:$P313,$D$5)),INDEX($A313:$P313,$D$5),TIMEVALUE(INDEX($A313:$P313,$D$5)))*Inputs!$C$22,0))</f>
        <v/>
      </c>
    </row>
    <row r="314">
      <c r="R314" s="17">
        <f>IF($D$4="","",IF(INDEX($A314:$P314,$D$4)="","",IF(ISNUMBER(INDEX($A314:$P314,$D$4)),INDEX($A314:$P314,$D$4),IFERROR(DATEVALUE(INDEX($A314:$P314,$D$4)),""))))</f>
        <v/>
      </c>
      <c r="S314">
        <f>IF(OR(R314="",$D$6=""),"",IF(LEFT(INDEX($A314:$P314,$D$6),LEN(Inputs!$C$24))=Inputs!$C$24,INDEX($A314:$P314,$D$6),""))</f>
        <v/>
      </c>
      <c r="T314">
        <f>IF(OR(R314="",$D$7=""),"",TRIM(IFERROR(LEFT(INDEX($A314:$P314,$D$7),FIND(",",INDEX($A314:$P314,$D$7))-1),INDEX($A314:$P314,$D$7))))</f>
        <v/>
      </c>
      <c r="U314" s="32">
        <f>IF(OR(R314="",$D$5=""),0,IFERROR(IF(ISNUMBER(INDEX($A314:$P314,$D$5)),INDEX($A314:$P314,$D$5),TIMEVALUE(INDEX($A314:$P314,$D$5)))*Inputs!$C$22,0))</f>
        <v/>
      </c>
    </row>
    <row r="315">
      <c r="R315" s="17">
        <f>IF($D$4="","",IF(INDEX($A315:$P315,$D$4)="","",IF(ISNUMBER(INDEX($A315:$P315,$D$4)),INDEX($A315:$P315,$D$4),IFERROR(DATEVALUE(INDEX($A315:$P315,$D$4)),""))))</f>
        <v/>
      </c>
      <c r="S315">
        <f>IF(OR(R315="",$D$6=""),"",IF(LEFT(INDEX($A315:$P315,$D$6),LEN(Inputs!$C$24))=Inputs!$C$24,INDEX($A315:$P315,$D$6),""))</f>
        <v/>
      </c>
      <c r="T315">
        <f>IF(OR(R315="",$D$7=""),"",TRIM(IFERROR(LEFT(INDEX($A315:$P315,$D$7),FIND(",",INDEX($A315:$P315,$D$7))-1),INDEX($A315:$P315,$D$7))))</f>
        <v/>
      </c>
      <c r="U315" s="32">
        <f>IF(OR(R315="",$D$5=""),0,IFERROR(IF(ISNUMBER(INDEX($A315:$P315,$D$5)),INDEX($A315:$P315,$D$5),TIMEVALUE(INDEX($A315:$P315,$D$5)))*Inputs!$C$22,0))</f>
        <v/>
      </c>
    </row>
    <row r="316">
      <c r="R316" s="17">
        <f>IF($D$4="","",IF(INDEX($A316:$P316,$D$4)="","",IF(ISNUMBER(INDEX($A316:$P316,$D$4)),INDEX($A316:$P316,$D$4),IFERROR(DATEVALUE(INDEX($A316:$P316,$D$4)),""))))</f>
        <v/>
      </c>
      <c r="S316">
        <f>IF(OR(R316="",$D$6=""),"",IF(LEFT(INDEX($A316:$P316,$D$6),LEN(Inputs!$C$24))=Inputs!$C$24,INDEX($A316:$P316,$D$6),""))</f>
        <v/>
      </c>
      <c r="T316">
        <f>IF(OR(R316="",$D$7=""),"",TRIM(IFERROR(LEFT(INDEX($A316:$P316,$D$7),FIND(",",INDEX($A316:$P316,$D$7))-1),INDEX($A316:$P316,$D$7))))</f>
        <v/>
      </c>
      <c r="U316" s="32">
        <f>IF(OR(R316="",$D$5=""),0,IFERROR(IF(ISNUMBER(INDEX($A316:$P316,$D$5)),INDEX($A316:$P316,$D$5),TIMEVALUE(INDEX($A316:$P316,$D$5)))*Inputs!$C$22,0))</f>
        <v/>
      </c>
    </row>
    <row r="317">
      <c r="R317" s="17">
        <f>IF($D$4="","",IF(INDEX($A317:$P317,$D$4)="","",IF(ISNUMBER(INDEX($A317:$P317,$D$4)),INDEX($A317:$P317,$D$4),IFERROR(DATEVALUE(INDEX($A317:$P317,$D$4)),""))))</f>
        <v/>
      </c>
      <c r="S317">
        <f>IF(OR(R317="",$D$6=""),"",IF(LEFT(INDEX($A317:$P317,$D$6),LEN(Inputs!$C$24))=Inputs!$C$24,INDEX($A317:$P317,$D$6),""))</f>
        <v/>
      </c>
      <c r="T317">
        <f>IF(OR(R317="",$D$7=""),"",TRIM(IFERROR(LEFT(INDEX($A317:$P317,$D$7),FIND(",",INDEX($A317:$P317,$D$7))-1),INDEX($A317:$P317,$D$7))))</f>
        <v/>
      </c>
      <c r="U317" s="32">
        <f>IF(OR(R317="",$D$5=""),0,IFERROR(IF(ISNUMBER(INDEX($A317:$P317,$D$5)),INDEX($A317:$P317,$D$5),TIMEVALUE(INDEX($A317:$P317,$D$5)))*Inputs!$C$22,0))</f>
        <v/>
      </c>
    </row>
    <row r="318">
      <c r="R318" s="17">
        <f>IF($D$4="","",IF(INDEX($A318:$P318,$D$4)="","",IF(ISNUMBER(INDEX($A318:$P318,$D$4)),INDEX($A318:$P318,$D$4),IFERROR(DATEVALUE(INDEX($A318:$P318,$D$4)),""))))</f>
        <v/>
      </c>
      <c r="S318">
        <f>IF(OR(R318="",$D$6=""),"",IF(LEFT(INDEX($A318:$P318,$D$6),LEN(Inputs!$C$24))=Inputs!$C$24,INDEX($A318:$P318,$D$6),""))</f>
        <v/>
      </c>
      <c r="T318">
        <f>IF(OR(R318="",$D$7=""),"",TRIM(IFERROR(LEFT(INDEX($A318:$P318,$D$7),FIND(",",INDEX($A318:$P318,$D$7))-1),INDEX($A318:$P318,$D$7))))</f>
        <v/>
      </c>
      <c r="U318" s="32">
        <f>IF(OR(R318="",$D$5=""),0,IFERROR(IF(ISNUMBER(INDEX($A318:$P318,$D$5)),INDEX($A318:$P318,$D$5),TIMEVALUE(INDEX($A318:$P318,$D$5)))*Inputs!$C$22,0))</f>
        <v/>
      </c>
    </row>
    <row r="319">
      <c r="R319" s="17">
        <f>IF($D$4="","",IF(INDEX($A319:$P319,$D$4)="","",IF(ISNUMBER(INDEX($A319:$P319,$D$4)),INDEX($A319:$P319,$D$4),IFERROR(DATEVALUE(INDEX($A319:$P319,$D$4)),""))))</f>
        <v/>
      </c>
      <c r="S319">
        <f>IF(OR(R319="",$D$6=""),"",IF(LEFT(INDEX($A319:$P319,$D$6),LEN(Inputs!$C$24))=Inputs!$C$24,INDEX($A319:$P319,$D$6),""))</f>
        <v/>
      </c>
      <c r="T319">
        <f>IF(OR(R319="",$D$7=""),"",TRIM(IFERROR(LEFT(INDEX($A319:$P319,$D$7),FIND(",",INDEX($A319:$P319,$D$7))-1),INDEX($A319:$P319,$D$7))))</f>
        <v/>
      </c>
      <c r="U319" s="32">
        <f>IF(OR(R319="",$D$5=""),0,IFERROR(IF(ISNUMBER(INDEX($A319:$P319,$D$5)),INDEX($A319:$P319,$D$5),TIMEVALUE(INDEX($A319:$P319,$D$5)))*Inputs!$C$22,0))</f>
        <v/>
      </c>
    </row>
    <row r="320">
      <c r="R320" s="17">
        <f>IF($D$4="","",IF(INDEX($A320:$P320,$D$4)="","",IF(ISNUMBER(INDEX($A320:$P320,$D$4)),INDEX($A320:$P320,$D$4),IFERROR(DATEVALUE(INDEX($A320:$P320,$D$4)),""))))</f>
        <v/>
      </c>
      <c r="S320">
        <f>IF(OR(R320="",$D$6=""),"",IF(LEFT(INDEX($A320:$P320,$D$6),LEN(Inputs!$C$24))=Inputs!$C$24,INDEX($A320:$P320,$D$6),""))</f>
        <v/>
      </c>
      <c r="T320">
        <f>IF(OR(R320="",$D$7=""),"",TRIM(IFERROR(LEFT(INDEX($A320:$P320,$D$7),FIND(",",INDEX($A320:$P320,$D$7))-1),INDEX($A320:$P320,$D$7))))</f>
        <v/>
      </c>
      <c r="U320" s="32">
        <f>IF(OR(R320="",$D$5=""),0,IFERROR(IF(ISNUMBER(INDEX($A320:$P320,$D$5)),INDEX($A320:$P320,$D$5),TIMEVALUE(INDEX($A320:$P320,$D$5)))*Inputs!$C$22,0))</f>
        <v/>
      </c>
    </row>
    <row r="321">
      <c r="R321" s="17">
        <f>IF($D$4="","",IF(INDEX($A321:$P321,$D$4)="","",IF(ISNUMBER(INDEX($A321:$P321,$D$4)),INDEX($A321:$P321,$D$4),IFERROR(DATEVALUE(INDEX($A321:$P321,$D$4)),""))))</f>
        <v/>
      </c>
      <c r="S321">
        <f>IF(OR(R321="",$D$6=""),"",IF(LEFT(INDEX($A321:$P321,$D$6),LEN(Inputs!$C$24))=Inputs!$C$24,INDEX($A321:$P321,$D$6),""))</f>
        <v/>
      </c>
      <c r="T321">
        <f>IF(OR(R321="",$D$7=""),"",TRIM(IFERROR(LEFT(INDEX($A321:$P321,$D$7),FIND(",",INDEX($A321:$P321,$D$7))-1),INDEX($A321:$P321,$D$7))))</f>
        <v/>
      </c>
      <c r="U321" s="32">
        <f>IF(OR(R321="",$D$5=""),0,IFERROR(IF(ISNUMBER(INDEX($A321:$P321,$D$5)),INDEX($A321:$P321,$D$5),TIMEVALUE(INDEX($A321:$P321,$D$5)))*Inputs!$C$22,0))</f>
        <v/>
      </c>
    </row>
    <row r="322">
      <c r="R322" s="17">
        <f>IF($D$4="","",IF(INDEX($A322:$P322,$D$4)="","",IF(ISNUMBER(INDEX($A322:$P322,$D$4)),INDEX($A322:$P322,$D$4),IFERROR(DATEVALUE(INDEX($A322:$P322,$D$4)),""))))</f>
        <v/>
      </c>
      <c r="S322">
        <f>IF(OR(R322="",$D$6=""),"",IF(LEFT(INDEX($A322:$P322,$D$6),LEN(Inputs!$C$24))=Inputs!$C$24,INDEX($A322:$P322,$D$6),""))</f>
        <v/>
      </c>
      <c r="T322">
        <f>IF(OR(R322="",$D$7=""),"",TRIM(IFERROR(LEFT(INDEX($A322:$P322,$D$7),FIND(",",INDEX($A322:$P322,$D$7))-1),INDEX($A322:$P322,$D$7))))</f>
        <v/>
      </c>
      <c r="U322" s="32">
        <f>IF(OR(R322="",$D$5=""),0,IFERROR(IF(ISNUMBER(INDEX($A322:$P322,$D$5)),INDEX($A322:$P322,$D$5),TIMEVALUE(INDEX($A322:$P322,$D$5)))*Inputs!$C$22,0))</f>
        <v/>
      </c>
    </row>
    <row r="323">
      <c r="R323" s="17">
        <f>IF($D$4="","",IF(INDEX($A323:$P323,$D$4)="","",IF(ISNUMBER(INDEX($A323:$P323,$D$4)),INDEX($A323:$P323,$D$4),IFERROR(DATEVALUE(INDEX($A323:$P323,$D$4)),""))))</f>
        <v/>
      </c>
      <c r="S323">
        <f>IF(OR(R323="",$D$6=""),"",IF(LEFT(INDEX($A323:$P323,$D$6),LEN(Inputs!$C$24))=Inputs!$C$24,INDEX($A323:$P323,$D$6),""))</f>
        <v/>
      </c>
      <c r="T323">
        <f>IF(OR(R323="",$D$7=""),"",TRIM(IFERROR(LEFT(INDEX($A323:$P323,$D$7),FIND(",",INDEX($A323:$P323,$D$7))-1),INDEX($A323:$P323,$D$7))))</f>
        <v/>
      </c>
      <c r="U323" s="32">
        <f>IF(OR(R323="",$D$5=""),0,IFERROR(IF(ISNUMBER(INDEX($A323:$P323,$D$5)),INDEX($A323:$P323,$D$5),TIMEVALUE(INDEX($A323:$P323,$D$5)))*Inputs!$C$22,0))</f>
        <v/>
      </c>
    </row>
    <row r="324">
      <c r="R324" s="17">
        <f>IF($D$4="","",IF(INDEX($A324:$P324,$D$4)="","",IF(ISNUMBER(INDEX($A324:$P324,$D$4)),INDEX($A324:$P324,$D$4),IFERROR(DATEVALUE(INDEX($A324:$P324,$D$4)),""))))</f>
        <v/>
      </c>
      <c r="S324">
        <f>IF(OR(R324="",$D$6=""),"",IF(LEFT(INDEX($A324:$P324,$D$6),LEN(Inputs!$C$24))=Inputs!$C$24,INDEX($A324:$P324,$D$6),""))</f>
        <v/>
      </c>
      <c r="T324">
        <f>IF(OR(R324="",$D$7=""),"",TRIM(IFERROR(LEFT(INDEX($A324:$P324,$D$7),FIND(",",INDEX($A324:$P324,$D$7))-1),INDEX($A324:$P324,$D$7))))</f>
        <v/>
      </c>
      <c r="U324" s="32">
        <f>IF(OR(R324="",$D$5=""),0,IFERROR(IF(ISNUMBER(INDEX($A324:$P324,$D$5)),INDEX($A324:$P324,$D$5),TIMEVALUE(INDEX($A324:$P324,$D$5)))*Inputs!$C$22,0))</f>
        <v/>
      </c>
    </row>
    <row r="325">
      <c r="R325" s="17">
        <f>IF($D$4="","",IF(INDEX($A325:$P325,$D$4)="","",IF(ISNUMBER(INDEX($A325:$P325,$D$4)),INDEX($A325:$P325,$D$4),IFERROR(DATEVALUE(INDEX($A325:$P325,$D$4)),""))))</f>
        <v/>
      </c>
      <c r="S325">
        <f>IF(OR(R325="",$D$6=""),"",IF(LEFT(INDEX($A325:$P325,$D$6),LEN(Inputs!$C$24))=Inputs!$C$24,INDEX($A325:$P325,$D$6),""))</f>
        <v/>
      </c>
      <c r="T325">
        <f>IF(OR(R325="",$D$7=""),"",TRIM(IFERROR(LEFT(INDEX($A325:$P325,$D$7),FIND(",",INDEX($A325:$P325,$D$7))-1),INDEX($A325:$P325,$D$7))))</f>
        <v/>
      </c>
      <c r="U325" s="32">
        <f>IF(OR(R325="",$D$5=""),0,IFERROR(IF(ISNUMBER(INDEX($A325:$P325,$D$5)),INDEX($A325:$P325,$D$5),TIMEVALUE(INDEX($A325:$P325,$D$5)))*Inputs!$C$22,0))</f>
        <v/>
      </c>
    </row>
    <row r="326">
      <c r="R326" s="17">
        <f>IF($D$4="","",IF(INDEX($A326:$P326,$D$4)="","",IF(ISNUMBER(INDEX($A326:$P326,$D$4)),INDEX($A326:$P326,$D$4),IFERROR(DATEVALUE(INDEX($A326:$P326,$D$4)),""))))</f>
        <v/>
      </c>
      <c r="S326">
        <f>IF(OR(R326="",$D$6=""),"",IF(LEFT(INDEX($A326:$P326,$D$6),LEN(Inputs!$C$24))=Inputs!$C$24,INDEX($A326:$P326,$D$6),""))</f>
        <v/>
      </c>
      <c r="T326">
        <f>IF(OR(R326="",$D$7=""),"",TRIM(IFERROR(LEFT(INDEX($A326:$P326,$D$7),FIND(",",INDEX($A326:$P326,$D$7))-1),INDEX($A326:$P326,$D$7))))</f>
        <v/>
      </c>
      <c r="U326" s="32">
        <f>IF(OR(R326="",$D$5=""),0,IFERROR(IF(ISNUMBER(INDEX($A326:$P326,$D$5)),INDEX($A326:$P326,$D$5),TIMEVALUE(INDEX($A326:$P326,$D$5)))*Inputs!$C$22,0))</f>
        <v/>
      </c>
    </row>
    <row r="327">
      <c r="R327" s="17">
        <f>IF($D$4="","",IF(INDEX($A327:$P327,$D$4)="","",IF(ISNUMBER(INDEX($A327:$P327,$D$4)),INDEX($A327:$P327,$D$4),IFERROR(DATEVALUE(INDEX($A327:$P327,$D$4)),""))))</f>
        <v/>
      </c>
      <c r="S327">
        <f>IF(OR(R327="",$D$6=""),"",IF(LEFT(INDEX($A327:$P327,$D$6),LEN(Inputs!$C$24))=Inputs!$C$24,INDEX($A327:$P327,$D$6),""))</f>
        <v/>
      </c>
      <c r="T327">
        <f>IF(OR(R327="",$D$7=""),"",TRIM(IFERROR(LEFT(INDEX($A327:$P327,$D$7),FIND(",",INDEX($A327:$P327,$D$7))-1),INDEX($A327:$P327,$D$7))))</f>
        <v/>
      </c>
      <c r="U327" s="32">
        <f>IF(OR(R327="",$D$5=""),0,IFERROR(IF(ISNUMBER(INDEX($A327:$P327,$D$5)),INDEX($A327:$P327,$D$5),TIMEVALUE(INDEX($A327:$P327,$D$5)))*Inputs!$C$22,0))</f>
        <v/>
      </c>
    </row>
    <row r="328">
      <c r="R328" s="17">
        <f>IF($D$4="","",IF(INDEX($A328:$P328,$D$4)="","",IF(ISNUMBER(INDEX($A328:$P328,$D$4)),INDEX($A328:$P328,$D$4),IFERROR(DATEVALUE(INDEX($A328:$P328,$D$4)),""))))</f>
        <v/>
      </c>
      <c r="S328">
        <f>IF(OR(R328="",$D$6=""),"",IF(LEFT(INDEX($A328:$P328,$D$6),LEN(Inputs!$C$24))=Inputs!$C$24,INDEX($A328:$P328,$D$6),""))</f>
        <v/>
      </c>
      <c r="T328">
        <f>IF(OR(R328="",$D$7=""),"",TRIM(IFERROR(LEFT(INDEX($A328:$P328,$D$7),FIND(",",INDEX($A328:$P328,$D$7))-1),INDEX($A328:$P328,$D$7))))</f>
        <v/>
      </c>
      <c r="U328" s="32">
        <f>IF(OR(R328="",$D$5=""),0,IFERROR(IF(ISNUMBER(INDEX($A328:$P328,$D$5)),INDEX($A328:$P328,$D$5),TIMEVALUE(INDEX($A328:$P328,$D$5)))*Inputs!$C$22,0))</f>
        <v/>
      </c>
    </row>
    <row r="329">
      <c r="R329" s="17">
        <f>IF($D$4="","",IF(INDEX($A329:$P329,$D$4)="","",IF(ISNUMBER(INDEX($A329:$P329,$D$4)),INDEX($A329:$P329,$D$4),IFERROR(DATEVALUE(INDEX($A329:$P329,$D$4)),""))))</f>
        <v/>
      </c>
      <c r="S329">
        <f>IF(OR(R329="",$D$6=""),"",IF(LEFT(INDEX($A329:$P329,$D$6),LEN(Inputs!$C$24))=Inputs!$C$24,INDEX($A329:$P329,$D$6),""))</f>
        <v/>
      </c>
      <c r="T329">
        <f>IF(OR(R329="",$D$7=""),"",TRIM(IFERROR(LEFT(INDEX($A329:$P329,$D$7),FIND(",",INDEX($A329:$P329,$D$7))-1),INDEX($A329:$P329,$D$7))))</f>
        <v/>
      </c>
      <c r="U329" s="32">
        <f>IF(OR(R329="",$D$5=""),0,IFERROR(IF(ISNUMBER(INDEX($A329:$P329,$D$5)),INDEX($A329:$P329,$D$5),TIMEVALUE(INDEX($A329:$P329,$D$5)))*Inputs!$C$22,0))</f>
        <v/>
      </c>
    </row>
    <row r="330">
      <c r="R330" s="17">
        <f>IF($D$4="","",IF(INDEX($A330:$P330,$D$4)="","",IF(ISNUMBER(INDEX($A330:$P330,$D$4)),INDEX($A330:$P330,$D$4),IFERROR(DATEVALUE(INDEX($A330:$P330,$D$4)),""))))</f>
        <v/>
      </c>
      <c r="S330">
        <f>IF(OR(R330="",$D$6=""),"",IF(LEFT(INDEX($A330:$P330,$D$6),LEN(Inputs!$C$24))=Inputs!$C$24,INDEX($A330:$P330,$D$6),""))</f>
        <v/>
      </c>
      <c r="T330">
        <f>IF(OR(R330="",$D$7=""),"",TRIM(IFERROR(LEFT(INDEX($A330:$P330,$D$7),FIND(",",INDEX($A330:$P330,$D$7))-1),INDEX($A330:$P330,$D$7))))</f>
        <v/>
      </c>
      <c r="U330" s="32">
        <f>IF(OR(R330="",$D$5=""),0,IFERROR(IF(ISNUMBER(INDEX($A330:$P330,$D$5)),INDEX($A330:$P330,$D$5),TIMEVALUE(INDEX($A330:$P330,$D$5)))*Inputs!$C$22,0))</f>
        <v/>
      </c>
    </row>
    <row r="331">
      <c r="R331" s="17">
        <f>IF($D$4="","",IF(INDEX($A331:$P331,$D$4)="","",IF(ISNUMBER(INDEX($A331:$P331,$D$4)),INDEX($A331:$P331,$D$4),IFERROR(DATEVALUE(INDEX($A331:$P331,$D$4)),""))))</f>
        <v/>
      </c>
      <c r="S331">
        <f>IF(OR(R331="",$D$6=""),"",IF(LEFT(INDEX($A331:$P331,$D$6),LEN(Inputs!$C$24))=Inputs!$C$24,INDEX($A331:$P331,$D$6),""))</f>
        <v/>
      </c>
      <c r="T331">
        <f>IF(OR(R331="",$D$7=""),"",TRIM(IFERROR(LEFT(INDEX($A331:$P331,$D$7),FIND(",",INDEX($A331:$P331,$D$7))-1),INDEX($A331:$P331,$D$7))))</f>
        <v/>
      </c>
      <c r="U331" s="32">
        <f>IF(OR(R331="",$D$5=""),0,IFERROR(IF(ISNUMBER(INDEX($A331:$P331,$D$5)),INDEX($A331:$P331,$D$5),TIMEVALUE(INDEX($A331:$P331,$D$5)))*Inputs!$C$22,0))</f>
        <v/>
      </c>
    </row>
    <row r="332">
      <c r="R332" s="17">
        <f>IF($D$4="","",IF(INDEX($A332:$P332,$D$4)="","",IF(ISNUMBER(INDEX($A332:$P332,$D$4)),INDEX($A332:$P332,$D$4),IFERROR(DATEVALUE(INDEX($A332:$P332,$D$4)),""))))</f>
        <v/>
      </c>
      <c r="S332">
        <f>IF(OR(R332="",$D$6=""),"",IF(LEFT(INDEX($A332:$P332,$D$6),LEN(Inputs!$C$24))=Inputs!$C$24,INDEX($A332:$P332,$D$6),""))</f>
        <v/>
      </c>
      <c r="T332">
        <f>IF(OR(R332="",$D$7=""),"",TRIM(IFERROR(LEFT(INDEX($A332:$P332,$D$7),FIND(",",INDEX($A332:$P332,$D$7))-1),INDEX($A332:$P332,$D$7))))</f>
        <v/>
      </c>
      <c r="U332" s="32">
        <f>IF(OR(R332="",$D$5=""),0,IFERROR(IF(ISNUMBER(INDEX($A332:$P332,$D$5)),INDEX($A332:$P332,$D$5),TIMEVALUE(INDEX($A332:$P332,$D$5)))*Inputs!$C$22,0))</f>
        <v/>
      </c>
    </row>
    <row r="333">
      <c r="R333" s="17">
        <f>IF($D$4="","",IF(INDEX($A333:$P333,$D$4)="","",IF(ISNUMBER(INDEX($A333:$P333,$D$4)),INDEX($A333:$P333,$D$4),IFERROR(DATEVALUE(INDEX($A333:$P333,$D$4)),""))))</f>
        <v/>
      </c>
      <c r="S333">
        <f>IF(OR(R333="",$D$6=""),"",IF(LEFT(INDEX($A333:$P333,$D$6),LEN(Inputs!$C$24))=Inputs!$C$24,INDEX($A333:$P333,$D$6),""))</f>
        <v/>
      </c>
      <c r="T333">
        <f>IF(OR(R333="",$D$7=""),"",TRIM(IFERROR(LEFT(INDEX($A333:$P333,$D$7),FIND(",",INDEX($A333:$P333,$D$7))-1),INDEX($A333:$P333,$D$7))))</f>
        <v/>
      </c>
      <c r="U333" s="32">
        <f>IF(OR(R333="",$D$5=""),0,IFERROR(IF(ISNUMBER(INDEX($A333:$P333,$D$5)),INDEX($A333:$P333,$D$5),TIMEVALUE(INDEX($A333:$P333,$D$5)))*Inputs!$C$22,0))</f>
        <v/>
      </c>
    </row>
    <row r="334">
      <c r="R334" s="17">
        <f>IF($D$4="","",IF(INDEX($A334:$P334,$D$4)="","",IF(ISNUMBER(INDEX($A334:$P334,$D$4)),INDEX($A334:$P334,$D$4),IFERROR(DATEVALUE(INDEX($A334:$P334,$D$4)),""))))</f>
        <v/>
      </c>
      <c r="S334">
        <f>IF(OR(R334="",$D$6=""),"",IF(LEFT(INDEX($A334:$P334,$D$6),LEN(Inputs!$C$24))=Inputs!$C$24,INDEX($A334:$P334,$D$6),""))</f>
        <v/>
      </c>
      <c r="T334">
        <f>IF(OR(R334="",$D$7=""),"",TRIM(IFERROR(LEFT(INDEX($A334:$P334,$D$7),FIND(",",INDEX($A334:$P334,$D$7))-1),INDEX($A334:$P334,$D$7))))</f>
        <v/>
      </c>
      <c r="U334" s="32">
        <f>IF(OR(R334="",$D$5=""),0,IFERROR(IF(ISNUMBER(INDEX($A334:$P334,$D$5)),INDEX($A334:$P334,$D$5),TIMEVALUE(INDEX($A334:$P334,$D$5)))*Inputs!$C$22,0))</f>
        <v/>
      </c>
    </row>
    <row r="335">
      <c r="R335" s="17">
        <f>IF($D$4="","",IF(INDEX($A335:$P335,$D$4)="","",IF(ISNUMBER(INDEX($A335:$P335,$D$4)),INDEX($A335:$P335,$D$4),IFERROR(DATEVALUE(INDEX($A335:$P335,$D$4)),""))))</f>
        <v/>
      </c>
      <c r="S335">
        <f>IF(OR(R335="",$D$6=""),"",IF(LEFT(INDEX($A335:$P335,$D$6),LEN(Inputs!$C$24))=Inputs!$C$24,INDEX($A335:$P335,$D$6),""))</f>
        <v/>
      </c>
      <c r="T335">
        <f>IF(OR(R335="",$D$7=""),"",TRIM(IFERROR(LEFT(INDEX($A335:$P335,$D$7),FIND(",",INDEX($A335:$P335,$D$7))-1),INDEX($A335:$P335,$D$7))))</f>
        <v/>
      </c>
      <c r="U335" s="32">
        <f>IF(OR(R335="",$D$5=""),0,IFERROR(IF(ISNUMBER(INDEX($A335:$P335,$D$5)),INDEX($A335:$P335,$D$5),TIMEVALUE(INDEX($A335:$P335,$D$5)))*Inputs!$C$22,0))</f>
        <v/>
      </c>
    </row>
    <row r="336">
      <c r="R336" s="17">
        <f>IF($D$4="","",IF(INDEX($A336:$P336,$D$4)="","",IF(ISNUMBER(INDEX($A336:$P336,$D$4)),INDEX($A336:$P336,$D$4),IFERROR(DATEVALUE(INDEX($A336:$P336,$D$4)),""))))</f>
        <v/>
      </c>
      <c r="S336">
        <f>IF(OR(R336="",$D$6=""),"",IF(LEFT(INDEX($A336:$P336,$D$6),LEN(Inputs!$C$24))=Inputs!$C$24,INDEX($A336:$P336,$D$6),""))</f>
        <v/>
      </c>
      <c r="T336">
        <f>IF(OR(R336="",$D$7=""),"",TRIM(IFERROR(LEFT(INDEX($A336:$P336,$D$7),FIND(",",INDEX($A336:$P336,$D$7))-1),INDEX($A336:$P336,$D$7))))</f>
        <v/>
      </c>
      <c r="U336" s="32">
        <f>IF(OR(R336="",$D$5=""),0,IFERROR(IF(ISNUMBER(INDEX($A336:$P336,$D$5)),INDEX($A336:$P336,$D$5),TIMEVALUE(INDEX($A336:$P336,$D$5)))*Inputs!$C$22,0))</f>
        <v/>
      </c>
    </row>
    <row r="337">
      <c r="R337" s="17">
        <f>IF($D$4="","",IF(INDEX($A337:$P337,$D$4)="","",IF(ISNUMBER(INDEX($A337:$P337,$D$4)),INDEX($A337:$P337,$D$4),IFERROR(DATEVALUE(INDEX($A337:$P337,$D$4)),""))))</f>
        <v/>
      </c>
      <c r="S337">
        <f>IF(OR(R337="",$D$6=""),"",IF(LEFT(INDEX($A337:$P337,$D$6),LEN(Inputs!$C$24))=Inputs!$C$24,INDEX($A337:$P337,$D$6),""))</f>
        <v/>
      </c>
      <c r="T337">
        <f>IF(OR(R337="",$D$7=""),"",TRIM(IFERROR(LEFT(INDEX($A337:$P337,$D$7),FIND(",",INDEX($A337:$P337,$D$7))-1),INDEX($A337:$P337,$D$7))))</f>
        <v/>
      </c>
      <c r="U337" s="32">
        <f>IF(OR(R337="",$D$5=""),0,IFERROR(IF(ISNUMBER(INDEX($A337:$P337,$D$5)),INDEX($A337:$P337,$D$5),TIMEVALUE(INDEX($A337:$P337,$D$5)))*Inputs!$C$22,0))</f>
        <v/>
      </c>
    </row>
    <row r="338">
      <c r="R338" s="17">
        <f>IF($D$4="","",IF(INDEX($A338:$P338,$D$4)="","",IF(ISNUMBER(INDEX($A338:$P338,$D$4)),INDEX($A338:$P338,$D$4),IFERROR(DATEVALUE(INDEX($A338:$P338,$D$4)),""))))</f>
        <v/>
      </c>
      <c r="S338">
        <f>IF(OR(R338="",$D$6=""),"",IF(LEFT(INDEX($A338:$P338,$D$6),LEN(Inputs!$C$24))=Inputs!$C$24,INDEX($A338:$P338,$D$6),""))</f>
        <v/>
      </c>
      <c r="T338">
        <f>IF(OR(R338="",$D$7=""),"",TRIM(IFERROR(LEFT(INDEX($A338:$P338,$D$7),FIND(",",INDEX($A338:$P338,$D$7))-1),INDEX($A338:$P338,$D$7))))</f>
        <v/>
      </c>
      <c r="U338" s="32">
        <f>IF(OR(R338="",$D$5=""),0,IFERROR(IF(ISNUMBER(INDEX($A338:$P338,$D$5)),INDEX($A338:$P338,$D$5),TIMEVALUE(INDEX($A338:$P338,$D$5)))*Inputs!$C$22,0))</f>
        <v/>
      </c>
    </row>
    <row r="339">
      <c r="R339" s="17">
        <f>IF($D$4="","",IF(INDEX($A339:$P339,$D$4)="","",IF(ISNUMBER(INDEX($A339:$P339,$D$4)),INDEX($A339:$P339,$D$4),IFERROR(DATEVALUE(INDEX($A339:$P339,$D$4)),""))))</f>
        <v/>
      </c>
      <c r="S339">
        <f>IF(OR(R339="",$D$6=""),"",IF(LEFT(INDEX($A339:$P339,$D$6),LEN(Inputs!$C$24))=Inputs!$C$24,INDEX($A339:$P339,$D$6),""))</f>
        <v/>
      </c>
      <c r="T339">
        <f>IF(OR(R339="",$D$7=""),"",TRIM(IFERROR(LEFT(INDEX($A339:$P339,$D$7),FIND(",",INDEX($A339:$P339,$D$7))-1),INDEX($A339:$P339,$D$7))))</f>
        <v/>
      </c>
      <c r="U339" s="32">
        <f>IF(OR(R339="",$D$5=""),0,IFERROR(IF(ISNUMBER(INDEX($A339:$P339,$D$5)),INDEX($A339:$P339,$D$5),TIMEVALUE(INDEX($A339:$P339,$D$5)))*Inputs!$C$22,0))</f>
        <v/>
      </c>
    </row>
    <row r="340">
      <c r="R340" s="17">
        <f>IF($D$4="","",IF(INDEX($A340:$P340,$D$4)="","",IF(ISNUMBER(INDEX($A340:$P340,$D$4)),INDEX($A340:$P340,$D$4),IFERROR(DATEVALUE(INDEX($A340:$P340,$D$4)),""))))</f>
        <v/>
      </c>
      <c r="S340">
        <f>IF(OR(R340="",$D$6=""),"",IF(LEFT(INDEX($A340:$P340,$D$6),LEN(Inputs!$C$24))=Inputs!$C$24,INDEX($A340:$P340,$D$6),""))</f>
        <v/>
      </c>
      <c r="T340">
        <f>IF(OR(R340="",$D$7=""),"",TRIM(IFERROR(LEFT(INDEX($A340:$P340,$D$7),FIND(",",INDEX($A340:$P340,$D$7))-1),INDEX($A340:$P340,$D$7))))</f>
        <v/>
      </c>
      <c r="U340" s="32">
        <f>IF(OR(R340="",$D$5=""),0,IFERROR(IF(ISNUMBER(INDEX($A340:$P340,$D$5)),INDEX($A340:$P340,$D$5),TIMEVALUE(INDEX($A340:$P340,$D$5)))*Inputs!$C$22,0))</f>
        <v/>
      </c>
    </row>
    <row r="341">
      <c r="R341" s="17">
        <f>IF($D$4="","",IF(INDEX($A341:$P341,$D$4)="","",IF(ISNUMBER(INDEX($A341:$P341,$D$4)),INDEX($A341:$P341,$D$4),IFERROR(DATEVALUE(INDEX($A341:$P341,$D$4)),""))))</f>
        <v/>
      </c>
      <c r="S341">
        <f>IF(OR(R341="",$D$6=""),"",IF(LEFT(INDEX($A341:$P341,$D$6),LEN(Inputs!$C$24))=Inputs!$C$24,INDEX($A341:$P341,$D$6),""))</f>
        <v/>
      </c>
      <c r="T341">
        <f>IF(OR(R341="",$D$7=""),"",TRIM(IFERROR(LEFT(INDEX($A341:$P341,$D$7),FIND(",",INDEX($A341:$P341,$D$7))-1),INDEX($A341:$P341,$D$7))))</f>
        <v/>
      </c>
      <c r="U341" s="32">
        <f>IF(OR(R341="",$D$5=""),0,IFERROR(IF(ISNUMBER(INDEX($A341:$P341,$D$5)),INDEX($A341:$P341,$D$5),TIMEVALUE(INDEX($A341:$P341,$D$5)))*Inputs!$C$22,0))</f>
        <v/>
      </c>
    </row>
    <row r="342">
      <c r="R342" s="17">
        <f>IF($D$4="","",IF(INDEX($A342:$P342,$D$4)="","",IF(ISNUMBER(INDEX($A342:$P342,$D$4)),INDEX($A342:$P342,$D$4),IFERROR(DATEVALUE(INDEX($A342:$P342,$D$4)),""))))</f>
        <v/>
      </c>
      <c r="S342">
        <f>IF(OR(R342="",$D$6=""),"",IF(LEFT(INDEX($A342:$P342,$D$6),LEN(Inputs!$C$24))=Inputs!$C$24,INDEX($A342:$P342,$D$6),""))</f>
        <v/>
      </c>
      <c r="T342">
        <f>IF(OR(R342="",$D$7=""),"",TRIM(IFERROR(LEFT(INDEX($A342:$P342,$D$7),FIND(",",INDEX($A342:$P342,$D$7))-1),INDEX($A342:$P342,$D$7))))</f>
        <v/>
      </c>
      <c r="U342" s="32">
        <f>IF(OR(R342="",$D$5=""),0,IFERROR(IF(ISNUMBER(INDEX($A342:$P342,$D$5)),INDEX($A342:$P342,$D$5),TIMEVALUE(INDEX($A342:$P342,$D$5)))*Inputs!$C$22,0))</f>
        <v/>
      </c>
    </row>
    <row r="343">
      <c r="R343" s="17">
        <f>IF($D$4="","",IF(INDEX($A343:$P343,$D$4)="","",IF(ISNUMBER(INDEX($A343:$P343,$D$4)),INDEX($A343:$P343,$D$4),IFERROR(DATEVALUE(INDEX($A343:$P343,$D$4)),""))))</f>
        <v/>
      </c>
      <c r="S343">
        <f>IF(OR(R343="",$D$6=""),"",IF(LEFT(INDEX($A343:$P343,$D$6),LEN(Inputs!$C$24))=Inputs!$C$24,INDEX($A343:$P343,$D$6),""))</f>
        <v/>
      </c>
      <c r="T343">
        <f>IF(OR(R343="",$D$7=""),"",TRIM(IFERROR(LEFT(INDEX($A343:$P343,$D$7),FIND(",",INDEX($A343:$P343,$D$7))-1),INDEX($A343:$P343,$D$7))))</f>
        <v/>
      </c>
      <c r="U343" s="32">
        <f>IF(OR(R343="",$D$5=""),0,IFERROR(IF(ISNUMBER(INDEX($A343:$P343,$D$5)),INDEX($A343:$P343,$D$5),TIMEVALUE(INDEX($A343:$P343,$D$5)))*Inputs!$C$22,0))</f>
        <v/>
      </c>
    </row>
    <row r="344">
      <c r="R344" s="17">
        <f>IF($D$4="","",IF(INDEX($A344:$P344,$D$4)="","",IF(ISNUMBER(INDEX($A344:$P344,$D$4)),INDEX($A344:$P344,$D$4),IFERROR(DATEVALUE(INDEX($A344:$P344,$D$4)),""))))</f>
        <v/>
      </c>
      <c r="S344">
        <f>IF(OR(R344="",$D$6=""),"",IF(LEFT(INDEX($A344:$P344,$D$6),LEN(Inputs!$C$24))=Inputs!$C$24,INDEX($A344:$P344,$D$6),""))</f>
        <v/>
      </c>
      <c r="T344">
        <f>IF(OR(R344="",$D$7=""),"",TRIM(IFERROR(LEFT(INDEX($A344:$P344,$D$7),FIND(",",INDEX($A344:$P344,$D$7))-1),INDEX($A344:$P344,$D$7))))</f>
        <v/>
      </c>
      <c r="U344" s="32">
        <f>IF(OR(R344="",$D$5=""),0,IFERROR(IF(ISNUMBER(INDEX($A344:$P344,$D$5)),INDEX($A344:$P344,$D$5),TIMEVALUE(INDEX($A344:$P344,$D$5)))*Inputs!$C$22,0))</f>
        <v/>
      </c>
    </row>
    <row r="345">
      <c r="R345" s="17">
        <f>IF($D$4="","",IF(INDEX($A345:$P345,$D$4)="","",IF(ISNUMBER(INDEX($A345:$P345,$D$4)),INDEX($A345:$P345,$D$4),IFERROR(DATEVALUE(INDEX($A345:$P345,$D$4)),""))))</f>
        <v/>
      </c>
      <c r="S345">
        <f>IF(OR(R345="",$D$6=""),"",IF(LEFT(INDEX($A345:$P345,$D$6),LEN(Inputs!$C$24))=Inputs!$C$24,INDEX($A345:$P345,$D$6),""))</f>
        <v/>
      </c>
      <c r="T345">
        <f>IF(OR(R345="",$D$7=""),"",TRIM(IFERROR(LEFT(INDEX($A345:$P345,$D$7),FIND(",",INDEX($A345:$P345,$D$7))-1),INDEX($A345:$P345,$D$7))))</f>
        <v/>
      </c>
      <c r="U345" s="32">
        <f>IF(OR(R345="",$D$5=""),0,IFERROR(IF(ISNUMBER(INDEX($A345:$P345,$D$5)),INDEX($A345:$P345,$D$5),TIMEVALUE(INDEX($A345:$P345,$D$5)))*Inputs!$C$22,0))</f>
        <v/>
      </c>
    </row>
    <row r="346">
      <c r="R346" s="17">
        <f>IF($D$4="","",IF(INDEX($A346:$P346,$D$4)="","",IF(ISNUMBER(INDEX($A346:$P346,$D$4)),INDEX($A346:$P346,$D$4),IFERROR(DATEVALUE(INDEX($A346:$P346,$D$4)),""))))</f>
        <v/>
      </c>
      <c r="S346">
        <f>IF(OR(R346="",$D$6=""),"",IF(LEFT(INDEX($A346:$P346,$D$6),LEN(Inputs!$C$24))=Inputs!$C$24,INDEX($A346:$P346,$D$6),""))</f>
        <v/>
      </c>
      <c r="T346">
        <f>IF(OR(R346="",$D$7=""),"",TRIM(IFERROR(LEFT(INDEX($A346:$P346,$D$7),FIND(",",INDEX($A346:$P346,$D$7))-1),INDEX($A346:$P346,$D$7))))</f>
        <v/>
      </c>
      <c r="U346" s="32">
        <f>IF(OR(R346="",$D$5=""),0,IFERROR(IF(ISNUMBER(INDEX($A346:$P346,$D$5)),INDEX($A346:$P346,$D$5),TIMEVALUE(INDEX($A346:$P346,$D$5)))*Inputs!$C$22,0))</f>
        <v/>
      </c>
    </row>
    <row r="347">
      <c r="R347" s="17">
        <f>IF($D$4="","",IF(INDEX($A347:$P347,$D$4)="","",IF(ISNUMBER(INDEX($A347:$P347,$D$4)),INDEX($A347:$P347,$D$4),IFERROR(DATEVALUE(INDEX($A347:$P347,$D$4)),""))))</f>
        <v/>
      </c>
      <c r="S347">
        <f>IF(OR(R347="",$D$6=""),"",IF(LEFT(INDEX($A347:$P347,$D$6),LEN(Inputs!$C$24))=Inputs!$C$24,INDEX($A347:$P347,$D$6),""))</f>
        <v/>
      </c>
      <c r="T347">
        <f>IF(OR(R347="",$D$7=""),"",TRIM(IFERROR(LEFT(INDEX($A347:$P347,$D$7),FIND(",",INDEX($A347:$P347,$D$7))-1),INDEX($A347:$P347,$D$7))))</f>
        <v/>
      </c>
      <c r="U347" s="32">
        <f>IF(OR(R347="",$D$5=""),0,IFERROR(IF(ISNUMBER(INDEX($A347:$P347,$D$5)),INDEX($A347:$P347,$D$5),TIMEVALUE(INDEX($A347:$P347,$D$5)))*Inputs!$C$22,0))</f>
        <v/>
      </c>
    </row>
    <row r="348">
      <c r="R348" s="17">
        <f>IF($D$4="","",IF(INDEX($A348:$P348,$D$4)="","",IF(ISNUMBER(INDEX($A348:$P348,$D$4)),INDEX($A348:$P348,$D$4),IFERROR(DATEVALUE(INDEX($A348:$P348,$D$4)),""))))</f>
        <v/>
      </c>
      <c r="S348">
        <f>IF(OR(R348="",$D$6=""),"",IF(LEFT(INDEX($A348:$P348,$D$6),LEN(Inputs!$C$24))=Inputs!$C$24,INDEX($A348:$P348,$D$6),""))</f>
        <v/>
      </c>
      <c r="T348">
        <f>IF(OR(R348="",$D$7=""),"",TRIM(IFERROR(LEFT(INDEX($A348:$P348,$D$7),FIND(",",INDEX($A348:$P348,$D$7))-1),INDEX($A348:$P348,$D$7))))</f>
        <v/>
      </c>
      <c r="U348" s="32">
        <f>IF(OR(R348="",$D$5=""),0,IFERROR(IF(ISNUMBER(INDEX($A348:$P348,$D$5)),INDEX($A348:$P348,$D$5),TIMEVALUE(INDEX($A348:$P348,$D$5)))*Inputs!$C$22,0))</f>
        <v/>
      </c>
    </row>
    <row r="349">
      <c r="R349" s="17">
        <f>IF($D$4="","",IF(INDEX($A349:$P349,$D$4)="","",IF(ISNUMBER(INDEX($A349:$P349,$D$4)),INDEX($A349:$P349,$D$4),IFERROR(DATEVALUE(INDEX($A349:$P349,$D$4)),""))))</f>
        <v/>
      </c>
      <c r="S349">
        <f>IF(OR(R349="",$D$6=""),"",IF(LEFT(INDEX($A349:$P349,$D$6),LEN(Inputs!$C$24))=Inputs!$C$24,INDEX($A349:$P349,$D$6),""))</f>
        <v/>
      </c>
      <c r="T349">
        <f>IF(OR(R349="",$D$7=""),"",TRIM(IFERROR(LEFT(INDEX($A349:$P349,$D$7),FIND(",",INDEX($A349:$P349,$D$7))-1),INDEX($A349:$P349,$D$7))))</f>
        <v/>
      </c>
      <c r="U349" s="32">
        <f>IF(OR(R349="",$D$5=""),0,IFERROR(IF(ISNUMBER(INDEX($A349:$P349,$D$5)),INDEX($A349:$P349,$D$5),TIMEVALUE(INDEX($A349:$P349,$D$5)))*Inputs!$C$22,0))</f>
        <v/>
      </c>
    </row>
    <row r="350">
      <c r="R350" s="17">
        <f>IF($D$4="","",IF(INDEX($A350:$P350,$D$4)="","",IF(ISNUMBER(INDEX($A350:$P350,$D$4)),INDEX($A350:$P350,$D$4),IFERROR(DATEVALUE(INDEX($A350:$P350,$D$4)),""))))</f>
        <v/>
      </c>
      <c r="S350">
        <f>IF(OR(R350="",$D$6=""),"",IF(LEFT(INDEX($A350:$P350,$D$6),LEN(Inputs!$C$24))=Inputs!$C$24,INDEX($A350:$P350,$D$6),""))</f>
        <v/>
      </c>
      <c r="T350">
        <f>IF(OR(R350="",$D$7=""),"",TRIM(IFERROR(LEFT(INDEX($A350:$P350,$D$7),FIND(",",INDEX($A350:$P350,$D$7))-1),INDEX($A350:$P350,$D$7))))</f>
        <v/>
      </c>
      <c r="U350" s="32">
        <f>IF(OR(R350="",$D$5=""),0,IFERROR(IF(ISNUMBER(INDEX($A350:$P350,$D$5)),INDEX($A350:$P350,$D$5),TIMEVALUE(INDEX($A350:$P350,$D$5)))*Inputs!$C$22,0))</f>
        <v/>
      </c>
    </row>
    <row r="351">
      <c r="R351" s="17">
        <f>IF($D$4="","",IF(INDEX($A351:$P351,$D$4)="","",IF(ISNUMBER(INDEX($A351:$P351,$D$4)),INDEX($A351:$P351,$D$4),IFERROR(DATEVALUE(INDEX($A351:$P351,$D$4)),""))))</f>
        <v/>
      </c>
      <c r="S351">
        <f>IF(OR(R351="",$D$6=""),"",IF(LEFT(INDEX($A351:$P351,$D$6),LEN(Inputs!$C$24))=Inputs!$C$24,INDEX($A351:$P351,$D$6),""))</f>
        <v/>
      </c>
      <c r="T351">
        <f>IF(OR(R351="",$D$7=""),"",TRIM(IFERROR(LEFT(INDEX($A351:$P351,$D$7),FIND(",",INDEX($A351:$P351,$D$7))-1),INDEX($A351:$P351,$D$7))))</f>
        <v/>
      </c>
      <c r="U351" s="32">
        <f>IF(OR(R351="",$D$5=""),0,IFERROR(IF(ISNUMBER(INDEX($A351:$P351,$D$5)),INDEX($A351:$P351,$D$5),TIMEVALUE(INDEX($A351:$P351,$D$5)))*Inputs!$C$22,0))</f>
        <v/>
      </c>
    </row>
    <row r="352">
      <c r="R352" s="17">
        <f>IF($D$4="","",IF(INDEX($A352:$P352,$D$4)="","",IF(ISNUMBER(INDEX($A352:$P352,$D$4)),INDEX($A352:$P352,$D$4),IFERROR(DATEVALUE(INDEX($A352:$P352,$D$4)),""))))</f>
        <v/>
      </c>
      <c r="S352">
        <f>IF(OR(R352="",$D$6=""),"",IF(LEFT(INDEX($A352:$P352,$D$6),LEN(Inputs!$C$24))=Inputs!$C$24,INDEX($A352:$P352,$D$6),""))</f>
        <v/>
      </c>
      <c r="T352">
        <f>IF(OR(R352="",$D$7=""),"",TRIM(IFERROR(LEFT(INDEX($A352:$P352,$D$7),FIND(",",INDEX($A352:$P352,$D$7))-1),INDEX($A352:$P352,$D$7))))</f>
        <v/>
      </c>
      <c r="U352" s="32">
        <f>IF(OR(R352="",$D$5=""),0,IFERROR(IF(ISNUMBER(INDEX($A352:$P352,$D$5)),INDEX($A352:$P352,$D$5),TIMEVALUE(INDEX($A352:$P352,$D$5)))*Inputs!$C$22,0))</f>
        <v/>
      </c>
    </row>
    <row r="353">
      <c r="R353" s="17">
        <f>IF($D$4="","",IF(INDEX($A353:$P353,$D$4)="","",IF(ISNUMBER(INDEX($A353:$P353,$D$4)),INDEX($A353:$P353,$D$4),IFERROR(DATEVALUE(INDEX($A353:$P353,$D$4)),""))))</f>
        <v/>
      </c>
      <c r="S353">
        <f>IF(OR(R353="",$D$6=""),"",IF(LEFT(INDEX($A353:$P353,$D$6),LEN(Inputs!$C$24))=Inputs!$C$24,INDEX($A353:$P353,$D$6),""))</f>
        <v/>
      </c>
      <c r="T353">
        <f>IF(OR(R353="",$D$7=""),"",TRIM(IFERROR(LEFT(INDEX($A353:$P353,$D$7),FIND(",",INDEX($A353:$P353,$D$7))-1),INDEX($A353:$P353,$D$7))))</f>
        <v/>
      </c>
      <c r="U353" s="32">
        <f>IF(OR(R353="",$D$5=""),0,IFERROR(IF(ISNUMBER(INDEX($A353:$P353,$D$5)),INDEX($A353:$P353,$D$5),TIMEVALUE(INDEX($A353:$P353,$D$5)))*Inputs!$C$22,0))</f>
        <v/>
      </c>
    </row>
    <row r="354">
      <c r="R354" s="17">
        <f>IF($D$4="","",IF(INDEX($A354:$P354,$D$4)="","",IF(ISNUMBER(INDEX($A354:$P354,$D$4)),INDEX($A354:$P354,$D$4),IFERROR(DATEVALUE(INDEX($A354:$P354,$D$4)),""))))</f>
        <v/>
      </c>
      <c r="S354">
        <f>IF(OR(R354="",$D$6=""),"",IF(LEFT(INDEX($A354:$P354,$D$6),LEN(Inputs!$C$24))=Inputs!$C$24,INDEX($A354:$P354,$D$6),""))</f>
        <v/>
      </c>
      <c r="T354">
        <f>IF(OR(R354="",$D$7=""),"",TRIM(IFERROR(LEFT(INDEX($A354:$P354,$D$7),FIND(",",INDEX($A354:$P354,$D$7))-1),INDEX($A354:$P354,$D$7))))</f>
        <v/>
      </c>
      <c r="U354" s="32">
        <f>IF(OR(R354="",$D$5=""),0,IFERROR(IF(ISNUMBER(INDEX($A354:$P354,$D$5)),INDEX($A354:$P354,$D$5),TIMEVALUE(INDEX($A354:$P354,$D$5)))*Inputs!$C$22,0))</f>
        <v/>
      </c>
    </row>
    <row r="355">
      <c r="R355" s="17">
        <f>IF($D$4="","",IF(INDEX($A355:$P355,$D$4)="","",IF(ISNUMBER(INDEX($A355:$P355,$D$4)),INDEX($A355:$P355,$D$4),IFERROR(DATEVALUE(INDEX($A355:$P355,$D$4)),""))))</f>
        <v/>
      </c>
      <c r="S355">
        <f>IF(OR(R355="",$D$6=""),"",IF(LEFT(INDEX($A355:$P355,$D$6),LEN(Inputs!$C$24))=Inputs!$C$24,INDEX($A355:$P355,$D$6),""))</f>
        <v/>
      </c>
      <c r="T355">
        <f>IF(OR(R355="",$D$7=""),"",TRIM(IFERROR(LEFT(INDEX($A355:$P355,$D$7),FIND(",",INDEX($A355:$P355,$D$7))-1),INDEX($A355:$P355,$D$7))))</f>
        <v/>
      </c>
      <c r="U355" s="32">
        <f>IF(OR(R355="",$D$5=""),0,IFERROR(IF(ISNUMBER(INDEX($A355:$P355,$D$5)),INDEX($A355:$P355,$D$5),TIMEVALUE(INDEX($A355:$P355,$D$5)))*Inputs!$C$22,0))</f>
        <v/>
      </c>
    </row>
    <row r="356">
      <c r="R356" s="17">
        <f>IF($D$4="","",IF(INDEX($A356:$P356,$D$4)="","",IF(ISNUMBER(INDEX($A356:$P356,$D$4)),INDEX($A356:$P356,$D$4),IFERROR(DATEVALUE(INDEX($A356:$P356,$D$4)),""))))</f>
        <v/>
      </c>
      <c r="S356">
        <f>IF(OR(R356="",$D$6=""),"",IF(LEFT(INDEX($A356:$P356,$D$6),LEN(Inputs!$C$24))=Inputs!$C$24,INDEX($A356:$P356,$D$6),""))</f>
        <v/>
      </c>
      <c r="T356">
        <f>IF(OR(R356="",$D$7=""),"",TRIM(IFERROR(LEFT(INDEX($A356:$P356,$D$7),FIND(",",INDEX($A356:$P356,$D$7))-1),INDEX($A356:$P356,$D$7))))</f>
        <v/>
      </c>
      <c r="U356" s="32">
        <f>IF(OR(R356="",$D$5=""),0,IFERROR(IF(ISNUMBER(INDEX($A356:$P356,$D$5)),INDEX($A356:$P356,$D$5),TIMEVALUE(INDEX($A356:$P356,$D$5)))*Inputs!$C$22,0))</f>
        <v/>
      </c>
    </row>
    <row r="357">
      <c r="R357" s="17">
        <f>IF($D$4="","",IF(INDEX($A357:$P357,$D$4)="","",IF(ISNUMBER(INDEX($A357:$P357,$D$4)),INDEX($A357:$P357,$D$4),IFERROR(DATEVALUE(INDEX($A357:$P357,$D$4)),""))))</f>
        <v/>
      </c>
      <c r="S357">
        <f>IF(OR(R357="",$D$6=""),"",IF(LEFT(INDEX($A357:$P357,$D$6),LEN(Inputs!$C$24))=Inputs!$C$24,INDEX($A357:$P357,$D$6),""))</f>
        <v/>
      </c>
      <c r="T357">
        <f>IF(OR(R357="",$D$7=""),"",TRIM(IFERROR(LEFT(INDEX($A357:$P357,$D$7),FIND(",",INDEX($A357:$P357,$D$7))-1),INDEX($A357:$P357,$D$7))))</f>
        <v/>
      </c>
      <c r="U357" s="32">
        <f>IF(OR(R357="",$D$5=""),0,IFERROR(IF(ISNUMBER(INDEX($A357:$P357,$D$5)),INDEX($A357:$P357,$D$5),TIMEVALUE(INDEX($A357:$P357,$D$5)))*Inputs!$C$22,0))</f>
        <v/>
      </c>
    </row>
    <row r="358">
      <c r="R358" s="17">
        <f>IF($D$4="","",IF(INDEX($A358:$P358,$D$4)="","",IF(ISNUMBER(INDEX($A358:$P358,$D$4)),INDEX($A358:$P358,$D$4),IFERROR(DATEVALUE(INDEX($A358:$P358,$D$4)),""))))</f>
        <v/>
      </c>
      <c r="S358">
        <f>IF(OR(R358="",$D$6=""),"",IF(LEFT(INDEX($A358:$P358,$D$6),LEN(Inputs!$C$24))=Inputs!$C$24,INDEX($A358:$P358,$D$6),""))</f>
        <v/>
      </c>
      <c r="T358">
        <f>IF(OR(R358="",$D$7=""),"",TRIM(IFERROR(LEFT(INDEX($A358:$P358,$D$7),FIND(",",INDEX($A358:$P358,$D$7))-1),INDEX($A358:$P358,$D$7))))</f>
        <v/>
      </c>
      <c r="U358" s="32">
        <f>IF(OR(R358="",$D$5=""),0,IFERROR(IF(ISNUMBER(INDEX($A358:$P358,$D$5)),INDEX($A358:$P358,$D$5),TIMEVALUE(INDEX($A358:$P358,$D$5)))*Inputs!$C$22,0))</f>
        <v/>
      </c>
    </row>
    <row r="359">
      <c r="R359" s="17">
        <f>IF($D$4="","",IF(INDEX($A359:$P359,$D$4)="","",IF(ISNUMBER(INDEX($A359:$P359,$D$4)),INDEX($A359:$P359,$D$4),IFERROR(DATEVALUE(INDEX($A359:$P359,$D$4)),""))))</f>
        <v/>
      </c>
      <c r="S359">
        <f>IF(OR(R359="",$D$6=""),"",IF(LEFT(INDEX($A359:$P359,$D$6),LEN(Inputs!$C$24))=Inputs!$C$24,INDEX($A359:$P359,$D$6),""))</f>
        <v/>
      </c>
      <c r="T359">
        <f>IF(OR(R359="",$D$7=""),"",TRIM(IFERROR(LEFT(INDEX($A359:$P359,$D$7),FIND(",",INDEX($A359:$P359,$D$7))-1),INDEX($A359:$P359,$D$7))))</f>
        <v/>
      </c>
      <c r="U359" s="32">
        <f>IF(OR(R359="",$D$5=""),0,IFERROR(IF(ISNUMBER(INDEX($A359:$P359,$D$5)),INDEX($A359:$P359,$D$5),TIMEVALUE(INDEX($A359:$P359,$D$5)))*Inputs!$C$22,0))</f>
        <v/>
      </c>
    </row>
    <row r="360">
      <c r="R360" s="17">
        <f>IF($D$4="","",IF(INDEX($A360:$P360,$D$4)="","",IF(ISNUMBER(INDEX($A360:$P360,$D$4)),INDEX($A360:$P360,$D$4),IFERROR(DATEVALUE(INDEX($A360:$P360,$D$4)),""))))</f>
        <v/>
      </c>
      <c r="S360">
        <f>IF(OR(R360="",$D$6=""),"",IF(LEFT(INDEX($A360:$P360,$D$6),LEN(Inputs!$C$24))=Inputs!$C$24,INDEX($A360:$P360,$D$6),""))</f>
        <v/>
      </c>
      <c r="T360">
        <f>IF(OR(R360="",$D$7=""),"",TRIM(IFERROR(LEFT(INDEX($A360:$P360,$D$7),FIND(",",INDEX($A360:$P360,$D$7))-1),INDEX($A360:$P360,$D$7))))</f>
        <v/>
      </c>
      <c r="U360" s="32">
        <f>IF(OR(R360="",$D$5=""),0,IFERROR(IF(ISNUMBER(INDEX($A360:$P360,$D$5)),INDEX($A360:$P360,$D$5),TIMEVALUE(INDEX($A360:$P360,$D$5)))*Inputs!$C$22,0))</f>
        <v/>
      </c>
    </row>
    <row r="361">
      <c r="R361" s="17">
        <f>IF($D$4="","",IF(INDEX($A361:$P361,$D$4)="","",IF(ISNUMBER(INDEX($A361:$P361,$D$4)),INDEX($A361:$P361,$D$4),IFERROR(DATEVALUE(INDEX($A361:$P361,$D$4)),""))))</f>
        <v/>
      </c>
      <c r="S361">
        <f>IF(OR(R361="",$D$6=""),"",IF(LEFT(INDEX($A361:$P361,$D$6),LEN(Inputs!$C$24))=Inputs!$C$24,INDEX($A361:$P361,$D$6),""))</f>
        <v/>
      </c>
      <c r="T361">
        <f>IF(OR(R361="",$D$7=""),"",TRIM(IFERROR(LEFT(INDEX($A361:$P361,$D$7),FIND(",",INDEX($A361:$P361,$D$7))-1),INDEX($A361:$P361,$D$7))))</f>
        <v/>
      </c>
      <c r="U361" s="32">
        <f>IF(OR(R361="",$D$5=""),0,IFERROR(IF(ISNUMBER(INDEX($A361:$P361,$D$5)),INDEX($A361:$P361,$D$5),TIMEVALUE(INDEX($A361:$P361,$D$5)))*Inputs!$C$22,0))</f>
        <v/>
      </c>
    </row>
    <row r="362">
      <c r="R362" s="17">
        <f>IF($D$4="","",IF(INDEX($A362:$P362,$D$4)="","",IF(ISNUMBER(INDEX($A362:$P362,$D$4)),INDEX($A362:$P362,$D$4),IFERROR(DATEVALUE(INDEX($A362:$P362,$D$4)),""))))</f>
        <v/>
      </c>
      <c r="S362">
        <f>IF(OR(R362="",$D$6=""),"",IF(LEFT(INDEX($A362:$P362,$D$6),LEN(Inputs!$C$24))=Inputs!$C$24,INDEX($A362:$P362,$D$6),""))</f>
        <v/>
      </c>
      <c r="T362">
        <f>IF(OR(R362="",$D$7=""),"",TRIM(IFERROR(LEFT(INDEX($A362:$P362,$D$7),FIND(",",INDEX($A362:$P362,$D$7))-1),INDEX($A362:$P362,$D$7))))</f>
        <v/>
      </c>
      <c r="U362" s="32">
        <f>IF(OR(R362="",$D$5=""),0,IFERROR(IF(ISNUMBER(INDEX($A362:$P362,$D$5)),INDEX($A362:$P362,$D$5),TIMEVALUE(INDEX($A362:$P362,$D$5)))*Inputs!$C$22,0))</f>
        <v/>
      </c>
    </row>
    <row r="363">
      <c r="R363" s="17">
        <f>IF($D$4="","",IF(INDEX($A363:$P363,$D$4)="","",IF(ISNUMBER(INDEX($A363:$P363,$D$4)),INDEX($A363:$P363,$D$4),IFERROR(DATEVALUE(INDEX($A363:$P363,$D$4)),""))))</f>
        <v/>
      </c>
      <c r="S363">
        <f>IF(OR(R363="",$D$6=""),"",IF(LEFT(INDEX($A363:$P363,$D$6),LEN(Inputs!$C$24))=Inputs!$C$24,INDEX($A363:$P363,$D$6),""))</f>
        <v/>
      </c>
      <c r="T363">
        <f>IF(OR(R363="",$D$7=""),"",TRIM(IFERROR(LEFT(INDEX($A363:$P363,$D$7),FIND(",",INDEX($A363:$P363,$D$7))-1),INDEX($A363:$P363,$D$7))))</f>
        <v/>
      </c>
      <c r="U363" s="32">
        <f>IF(OR(R363="",$D$5=""),0,IFERROR(IF(ISNUMBER(INDEX($A363:$P363,$D$5)),INDEX($A363:$P363,$D$5),TIMEVALUE(INDEX($A363:$P363,$D$5)))*Inputs!$C$22,0))</f>
        <v/>
      </c>
    </row>
    <row r="364">
      <c r="R364" s="17">
        <f>IF($D$4="","",IF(INDEX($A364:$P364,$D$4)="","",IF(ISNUMBER(INDEX($A364:$P364,$D$4)),INDEX($A364:$P364,$D$4),IFERROR(DATEVALUE(INDEX($A364:$P364,$D$4)),""))))</f>
        <v/>
      </c>
      <c r="S364">
        <f>IF(OR(R364="",$D$6=""),"",IF(LEFT(INDEX($A364:$P364,$D$6),LEN(Inputs!$C$24))=Inputs!$C$24,INDEX($A364:$P364,$D$6),""))</f>
        <v/>
      </c>
      <c r="T364">
        <f>IF(OR(R364="",$D$7=""),"",TRIM(IFERROR(LEFT(INDEX($A364:$P364,$D$7),FIND(",",INDEX($A364:$P364,$D$7))-1),INDEX($A364:$P364,$D$7))))</f>
        <v/>
      </c>
      <c r="U364" s="32">
        <f>IF(OR(R364="",$D$5=""),0,IFERROR(IF(ISNUMBER(INDEX($A364:$P364,$D$5)),INDEX($A364:$P364,$D$5),TIMEVALUE(INDEX($A364:$P364,$D$5)))*Inputs!$C$22,0))</f>
        <v/>
      </c>
    </row>
    <row r="365">
      <c r="R365" s="17">
        <f>IF($D$4="","",IF(INDEX($A365:$P365,$D$4)="","",IF(ISNUMBER(INDEX($A365:$P365,$D$4)),INDEX($A365:$P365,$D$4),IFERROR(DATEVALUE(INDEX($A365:$P365,$D$4)),""))))</f>
        <v/>
      </c>
      <c r="S365">
        <f>IF(OR(R365="",$D$6=""),"",IF(LEFT(INDEX($A365:$P365,$D$6),LEN(Inputs!$C$24))=Inputs!$C$24,INDEX($A365:$P365,$D$6),""))</f>
        <v/>
      </c>
      <c r="T365">
        <f>IF(OR(R365="",$D$7=""),"",TRIM(IFERROR(LEFT(INDEX($A365:$P365,$D$7),FIND(",",INDEX($A365:$P365,$D$7))-1),INDEX($A365:$P365,$D$7))))</f>
        <v/>
      </c>
      <c r="U365" s="32">
        <f>IF(OR(R365="",$D$5=""),0,IFERROR(IF(ISNUMBER(INDEX($A365:$P365,$D$5)),INDEX($A365:$P365,$D$5),TIMEVALUE(INDEX($A365:$P365,$D$5)))*Inputs!$C$22,0))</f>
        <v/>
      </c>
    </row>
    <row r="366">
      <c r="R366" s="17">
        <f>IF($D$4="","",IF(INDEX($A366:$P366,$D$4)="","",IF(ISNUMBER(INDEX($A366:$P366,$D$4)),INDEX($A366:$P366,$D$4),IFERROR(DATEVALUE(INDEX($A366:$P366,$D$4)),""))))</f>
        <v/>
      </c>
      <c r="S366">
        <f>IF(OR(R366="",$D$6=""),"",IF(LEFT(INDEX($A366:$P366,$D$6),LEN(Inputs!$C$24))=Inputs!$C$24,INDEX($A366:$P366,$D$6),""))</f>
        <v/>
      </c>
      <c r="T366">
        <f>IF(OR(R366="",$D$7=""),"",TRIM(IFERROR(LEFT(INDEX($A366:$P366,$D$7),FIND(",",INDEX($A366:$P366,$D$7))-1),INDEX($A366:$P366,$D$7))))</f>
        <v/>
      </c>
      <c r="U366" s="32">
        <f>IF(OR(R366="",$D$5=""),0,IFERROR(IF(ISNUMBER(INDEX($A366:$P366,$D$5)),INDEX($A366:$P366,$D$5),TIMEVALUE(INDEX($A366:$P366,$D$5)))*Inputs!$C$22,0))</f>
        <v/>
      </c>
    </row>
    <row r="367">
      <c r="R367" s="17">
        <f>IF($D$4="","",IF(INDEX($A367:$P367,$D$4)="","",IF(ISNUMBER(INDEX($A367:$P367,$D$4)),INDEX($A367:$P367,$D$4),IFERROR(DATEVALUE(INDEX($A367:$P367,$D$4)),""))))</f>
        <v/>
      </c>
      <c r="S367">
        <f>IF(OR(R367="",$D$6=""),"",IF(LEFT(INDEX($A367:$P367,$D$6),LEN(Inputs!$C$24))=Inputs!$C$24,INDEX($A367:$P367,$D$6),""))</f>
        <v/>
      </c>
      <c r="T367">
        <f>IF(OR(R367="",$D$7=""),"",TRIM(IFERROR(LEFT(INDEX($A367:$P367,$D$7),FIND(",",INDEX($A367:$P367,$D$7))-1),INDEX($A367:$P367,$D$7))))</f>
        <v/>
      </c>
      <c r="U367" s="32">
        <f>IF(OR(R367="",$D$5=""),0,IFERROR(IF(ISNUMBER(INDEX($A367:$P367,$D$5)),INDEX($A367:$P367,$D$5),TIMEVALUE(INDEX($A367:$P367,$D$5)))*Inputs!$C$22,0))</f>
        <v/>
      </c>
    </row>
    <row r="368">
      <c r="R368" s="17">
        <f>IF($D$4="","",IF(INDEX($A368:$P368,$D$4)="","",IF(ISNUMBER(INDEX($A368:$P368,$D$4)),INDEX($A368:$P368,$D$4),IFERROR(DATEVALUE(INDEX($A368:$P368,$D$4)),""))))</f>
        <v/>
      </c>
      <c r="S368">
        <f>IF(OR(R368="",$D$6=""),"",IF(LEFT(INDEX($A368:$P368,$D$6),LEN(Inputs!$C$24))=Inputs!$C$24,INDEX($A368:$P368,$D$6),""))</f>
        <v/>
      </c>
      <c r="T368">
        <f>IF(OR(R368="",$D$7=""),"",TRIM(IFERROR(LEFT(INDEX($A368:$P368,$D$7),FIND(",",INDEX($A368:$P368,$D$7))-1),INDEX($A368:$P368,$D$7))))</f>
        <v/>
      </c>
      <c r="U368" s="32">
        <f>IF(OR(R368="",$D$5=""),0,IFERROR(IF(ISNUMBER(INDEX($A368:$P368,$D$5)),INDEX($A368:$P368,$D$5),TIMEVALUE(INDEX($A368:$P368,$D$5)))*Inputs!$C$22,0))</f>
        <v/>
      </c>
    </row>
    <row r="369">
      <c r="R369" s="17">
        <f>IF($D$4="","",IF(INDEX($A369:$P369,$D$4)="","",IF(ISNUMBER(INDEX($A369:$P369,$D$4)),INDEX($A369:$P369,$D$4),IFERROR(DATEVALUE(INDEX($A369:$P369,$D$4)),""))))</f>
        <v/>
      </c>
      <c r="S369">
        <f>IF(OR(R369="",$D$6=""),"",IF(LEFT(INDEX($A369:$P369,$D$6),LEN(Inputs!$C$24))=Inputs!$C$24,INDEX($A369:$P369,$D$6),""))</f>
        <v/>
      </c>
      <c r="T369">
        <f>IF(OR(R369="",$D$7=""),"",TRIM(IFERROR(LEFT(INDEX($A369:$P369,$D$7),FIND(",",INDEX($A369:$P369,$D$7))-1),INDEX($A369:$P369,$D$7))))</f>
        <v/>
      </c>
      <c r="U369" s="32">
        <f>IF(OR(R369="",$D$5=""),0,IFERROR(IF(ISNUMBER(INDEX($A369:$P369,$D$5)),INDEX($A369:$P369,$D$5),TIMEVALUE(INDEX($A369:$P369,$D$5)))*Inputs!$C$22,0))</f>
        <v/>
      </c>
    </row>
    <row r="370">
      <c r="R370" s="17">
        <f>IF($D$4="","",IF(INDEX($A370:$P370,$D$4)="","",IF(ISNUMBER(INDEX($A370:$P370,$D$4)),INDEX($A370:$P370,$D$4),IFERROR(DATEVALUE(INDEX($A370:$P370,$D$4)),""))))</f>
        <v/>
      </c>
      <c r="S370">
        <f>IF(OR(R370="",$D$6=""),"",IF(LEFT(INDEX($A370:$P370,$D$6),LEN(Inputs!$C$24))=Inputs!$C$24,INDEX($A370:$P370,$D$6),""))</f>
        <v/>
      </c>
      <c r="T370">
        <f>IF(OR(R370="",$D$7=""),"",TRIM(IFERROR(LEFT(INDEX($A370:$P370,$D$7),FIND(",",INDEX($A370:$P370,$D$7))-1),INDEX($A370:$P370,$D$7))))</f>
        <v/>
      </c>
      <c r="U370" s="32">
        <f>IF(OR(R370="",$D$5=""),0,IFERROR(IF(ISNUMBER(INDEX($A370:$P370,$D$5)),INDEX($A370:$P370,$D$5),TIMEVALUE(INDEX($A370:$P370,$D$5)))*Inputs!$C$22,0))</f>
        <v/>
      </c>
    </row>
    <row r="371">
      <c r="R371" s="17">
        <f>IF($D$4="","",IF(INDEX($A371:$P371,$D$4)="","",IF(ISNUMBER(INDEX($A371:$P371,$D$4)),INDEX($A371:$P371,$D$4),IFERROR(DATEVALUE(INDEX($A371:$P371,$D$4)),""))))</f>
        <v/>
      </c>
      <c r="S371">
        <f>IF(OR(R371="",$D$6=""),"",IF(LEFT(INDEX($A371:$P371,$D$6),LEN(Inputs!$C$24))=Inputs!$C$24,INDEX($A371:$P371,$D$6),""))</f>
        <v/>
      </c>
      <c r="T371">
        <f>IF(OR(R371="",$D$7=""),"",TRIM(IFERROR(LEFT(INDEX($A371:$P371,$D$7),FIND(",",INDEX($A371:$P371,$D$7))-1),INDEX($A371:$P371,$D$7))))</f>
        <v/>
      </c>
      <c r="U371" s="32">
        <f>IF(OR(R371="",$D$5=""),0,IFERROR(IF(ISNUMBER(INDEX($A371:$P371,$D$5)),INDEX($A371:$P371,$D$5),TIMEVALUE(INDEX($A371:$P371,$D$5)))*Inputs!$C$22,0))</f>
        <v/>
      </c>
    </row>
    <row r="372">
      <c r="R372" s="17">
        <f>IF($D$4="","",IF(INDEX($A372:$P372,$D$4)="","",IF(ISNUMBER(INDEX($A372:$P372,$D$4)),INDEX($A372:$P372,$D$4),IFERROR(DATEVALUE(INDEX($A372:$P372,$D$4)),""))))</f>
        <v/>
      </c>
      <c r="S372">
        <f>IF(OR(R372="",$D$6=""),"",IF(LEFT(INDEX($A372:$P372,$D$6),LEN(Inputs!$C$24))=Inputs!$C$24,INDEX($A372:$P372,$D$6),""))</f>
        <v/>
      </c>
      <c r="T372">
        <f>IF(OR(R372="",$D$7=""),"",TRIM(IFERROR(LEFT(INDEX($A372:$P372,$D$7),FIND(",",INDEX($A372:$P372,$D$7))-1),INDEX($A372:$P372,$D$7))))</f>
        <v/>
      </c>
      <c r="U372" s="32">
        <f>IF(OR(R372="",$D$5=""),0,IFERROR(IF(ISNUMBER(INDEX($A372:$P372,$D$5)),INDEX($A372:$P372,$D$5),TIMEVALUE(INDEX($A372:$P372,$D$5)))*Inputs!$C$22,0))</f>
        <v/>
      </c>
    </row>
    <row r="373">
      <c r="R373" s="17">
        <f>IF($D$4="","",IF(INDEX($A373:$P373,$D$4)="","",IF(ISNUMBER(INDEX($A373:$P373,$D$4)),INDEX($A373:$P373,$D$4),IFERROR(DATEVALUE(INDEX($A373:$P373,$D$4)),""))))</f>
        <v/>
      </c>
      <c r="S373">
        <f>IF(OR(R373="",$D$6=""),"",IF(LEFT(INDEX($A373:$P373,$D$6),LEN(Inputs!$C$24))=Inputs!$C$24,INDEX($A373:$P373,$D$6),""))</f>
        <v/>
      </c>
      <c r="T373">
        <f>IF(OR(R373="",$D$7=""),"",TRIM(IFERROR(LEFT(INDEX($A373:$P373,$D$7),FIND(",",INDEX($A373:$P373,$D$7))-1),INDEX($A373:$P373,$D$7))))</f>
        <v/>
      </c>
      <c r="U373" s="32">
        <f>IF(OR(R373="",$D$5=""),0,IFERROR(IF(ISNUMBER(INDEX($A373:$P373,$D$5)),INDEX($A373:$P373,$D$5),TIMEVALUE(INDEX($A373:$P373,$D$5)))*Inputs!$C$22,0))</f>
        <v/>
      </c>
    </row>
    <row r="374">
      <c r="R374" s="17">
        <f>IF($D$4="","",IF(INDEX($A374:$P374,$D$4)="","",IF(ISNUMBER(INDEX($A374:$P374,$D$4)),INDEX($A374:$P374,$D$4),IFERROR(DATEVALUE(INDEX($A374:$P374,$D$4)),""))))</f>
        <v/>
      </c>
      <c r="S374">
        <f>IF(OR(R374="",$D$6=""),"",IF(LEFT(INDEX($A374:$P374,$D$6),LEN(Inputs!$C$24))=Inputs!$C$24,INDEX($A374:$P374,$D$6),""))</f>
        <v/>
      </c>
      <c r="T374">
        <f>IF(OR(R374="",$D$7=""),"",TRIM(IFERROR(LEFT(INDEX($A374:$P374,$D$7),FIND(",",INDEX($A374:$P374,$D$7))-1),INDEX($A374:$P374,$D$7))))</f>
        <v/>
      </c>
      <c r="U374" s="32">
        <f>IF(OR(R374="",$D$5=""),0,IFERROR(IF(ISNUMBER(INDEX($A374:$P374,$D$5)),INDEX($A374:$P374,$D$5),TIMEVALUE(INDEX($A374:$P374,$D$5)))*Inputs!$C$22,0))</f>
        <v/>
      </c>
    </row>
    <row r="375">
      <c r="R375" s="17">
        <f>IF($D$4="","",IF(INDEX($A375:$P375,$D$4)="","",IF(ISNUMBER(INDEX($A375:$P375,$D$4)),INDEX($A375:$P375,$D$4),IFERROR(DATEVALUE(INDEX($A375:$P375,$D$4)),""))))</f>
        <v/>
      </c>
      <c r="S375">
        <f>IF(OR(R375="",$D$6=""),"",IF(LEFT(INDEX($A375:$P375,$D$6),LEN(Inputs!$C$24))=Inputs!$C$24,INDEX($A375:$P375,$D$6),""))</f>
        <v/>
      </c>
      <c r="T375">
        <f>IF(OR(R375="",$D$7=""),"",TRIM(IFERROR(LEFT(INDEX($A375:$P375,$D$7),FIND(",",INDEX($A375:$P375,$D$7))-1),INDEX($A375:$P375,$D$7))))</f>
        <v/>
      </c>
      <c r="U375" s="32">
        <f>IF(OR(R375="",$D$5=""),0,IFERROR(IF(ISNUMBER(INDEX($A375:$P375,$D$5)),INDEX($A375:$P375,$D$5),TIMEVALUE(INDEX($A375:$P375,$D$5)))*Inputs!$C$22,0))</f>
        <v/>
      </c>
    </row>
    <row r="376">
      <c r="R376" s="17">
        <f>IF($D$4="","",IF(INDEX($A376:$P376,$D$4)="","",IF(ISNUMBER(INDEX($A376:$P376,$D$4)),INDEX($A376:$P376,$D$4),IFERROR(DATEVALUE(INDEX($A376:$P376,$D$4)),""))))</f>
        <v/>
      </c>
      <c r="S376">
        <f>IF(OR(R376="",$D$6=""),"",IF(LEFT(INDEX($A376:$P376,$D$6),LEN(Inputs!$C$24))=Inputs!$C$24,INDEX($A376:$P376,$D$6),""))</f>
        <v/>
      </c>
      <c r="T376">
        <f>IF(OR(R376="",$D$7=""),"",TRIM(IFERROR(LEFT(INDEX($A376:$P376,$D$7),FIND(",",INDEX($A376:$P376,$D$7))-1),INDEX($A376:$P376,$D$7))))</f>
        <v/>
      </c>
      <c r="U376" s="32">
        <f>IF(OR(R376="",$D$5=""),0,IFERROR(IF(ISNUMBER(INDEX($A376:$P376,$D$5)),INDEX($A376:$P376,$D$5),TIMEVALUE(INDEX($A376:$P376,$D$5)))*Inputs!$C$22,0))</f>
        <v/>
      </c>
    </row>
    <row r="377">
      <c r="R377" s="17">
        <f>IF($D$4="","",IF(INDEX($A377:$P377,$D$4)="","",IF(ISNUMBER(INDEX($A377:$P377,$D$4)),INDEX($A377:$P377,$D$4),IFERROR(DATEVALUE(INDEX($A377:$P377,$D$4)),""))))</f>
        <v/>
      </c>
      <c r="S377">
        <f>IF(OR(R377="",$D$6=""),"",IF(LEFT(INDEX($A377:$P377,$D$6),LEN(Inputs!$C$24))=Inputs!$C$24,INDEX($A377:$P377,$D$6),""))</f>
        <v/>
      </c>
      <c r="T377">
        <f>IF(OR(R377="",$D$7=""),"",TRIM(IFERROR(LEFT(INDEX($A377:$P377,$D$7),FIND(",",INDEX($A377:$P377,$D$7))-1),INDEX($A377:$P377,$D$7))))</f>
        <v/>
      </c>
      <c r="U377" s="32">
        <f>IF(OR(R377="",$D$5=""),0,IFERROR(IF(ISNUMBER(INDEX($A377:$P377,$D$5)),INDEX($A377:$P377,$D$5),TIMEVALUE(INDEX($A377:$P377,$D$5)))*Inputs!$C$22,0))</f>
        <v/>
      </c>
    </row>
    <row r="378">
      <c r="R378" s="17">
        <f>IF($D$4="","",IF(INDEX($A378:$P378,$D$4)="","",IF(ISNUMBER(INDEX($A378:$P378,$D$4)),INDEX($A378:$P378,$D$4),IFERROR(DATEVALUE(INDEX($A378:$P378,$D$4)),""))))</f>
        <v/>
      </c>
      <c r="S378">
        <f>IF(OR(R378="",$D$6=""),"",IF(LEFT(INDEX($A378:$P378,$D$6),LEN(Inputs!$C$24))=Inputs!$C$24,INDEX($A378:$P378,$D$6),""))</f>
        <v/>
      </c>
      <c r="T378">
        <f>IF(OR(R378="",$D$7=""),"",TRIM(IFERROR(LEFT(INDEX($A378:$P378,$D$7),FIND(",",INDEX($A378:$P378,$D$7))-1),INDEX($A378:$P378,$D$7))))</f>
        <v/>
      </c>
      <c r="U378" s="32">
        <f>IF(OR(R378="",$D$5=""),0,IFERROR(IF(ISNUMBER(INDEX($A378:$P378,$D$5)),INDEX($A378:$P378,$D$5),TIMEVALUE(INDEX($A378:$P378,$D$5)))*Inputs!$C$22,0))</f>
        <v/>
      </c>
    </row>
    <row r="379">
      <c r="R379" s="17">
        <f>IF($D$4="","",IF(INDEX($A379:$P379,$D$4)="","",IF(ISNUMBER(INDEX($A379:$P379,$D$4)),INDEX($A379:$P379,$D$4),IFERROR(DATEVALUE(INDEX($A379:$P379,$D$4)),""))))</f>
        <v/>
      </c>
      <c r="S379">
        <f>IF(OR(R379="",$D$6=""),"",IF(LEFT(INDEX($A379:$P379,$D$6),LEN(Inputs!$C$24))=Inputs!$C$24,INDEX($A379:$P379,$D$6),""))</f>
        <v/>
      </c>
      <c r="T379">
        <f>IF(OR(R379="",$D$7=""),"",TRIM(IFERROR(LEFT(INDEX($A379:$P379,$D$7),FIND(",",INDEX($A379:$P379,$D$7))-1),INDEX($A379:$P379,$D$7))))</f>
        <v/>
      </c>
      <c r="U379" s="32">
        <f>IF(OR(R379="",$D$5=""),0,IFERROR(IF(ISNUMBER(INDEX($A379:$P379,$D$5)),INDEX($A379:$P379,$D$5),TIMEVALUE(INDEX($A379:$P379,$D$5)))*Inputs!$C$22,0))</f>
        <v/>
      </c>
    </row>
    <row r="380">
      <c r="R380" s="17">
        <f>IF($D$4="","",IF(INDEX($A380:$P380,$D$4)="","",IF(ISNUMBER(INDEX($A380:$P380,$D$4)),INDEX($A380:$P380,$D$4),IFERROR(DATEVALUE(INDEX($A380:$P380,$D$4)),""))))</f>
        <v/>
      </c>
      <c r="S380">
        <f>IF(OR(R380="",$D$6=""),"",IF(LEFT(INDEX($A380:$P380,$D$6),LEN(Inputs!$C$24))=Inputs!$C$24,INDEX($A380:$P380,$D$6),""))</f>
        <v/>
      </c>
      <c r="T380">
        <f>IF(OR(R380="",$D$7=""),"",TRIM(IFERROR(LEFT(INDEX($A380:$P380,$D$7),FIND(",",INDEX($A380:$P380,$D$7))-1),INDEX($A380:$P380,$D$7))))</f>
        <v/>
      </c>
      <c r="U380" s="32">
        <f>IF(OR(R380="",$D$5=""),0,IFERROR(IF(ISNUMBER(INDEX($A380:$P380,$D$5)),INDEX($A380:$P380,$D$5),TIMEVALUE(INDEX($A380:$P380,$D$5)))*Inputs!$C$22,0))</f>
        <v/>
      </c>
    </row>
    <row r="381">
      <c r="R381" s="17">
        <f>IF($D$4="","",IF(INDEX($A381:$P381,$D$4)="","",IF(ISNUMBER(INDEX($A381:$P381,$D$4)),INDEX($A381:$P381,$D$4),IFERROR(DATEVALUE(INDEX($A381:$P381,$D$4)),""))))</f>
        <v/>
      </c>
      <c r="S381">
        <f>IF(OR(R381="",$D$6=""),"",IF(LEFT(INDEX($A381:$P381,$D$6),LEN(Inputs!$C$24))=Inputs!$C$24,INDEX($A381:$P381,$D$6),""))</f>
        <v/>
      </c>
      <c r="T381">
        <f>IF(OR(R381="",$D$7=""),"",TRIM(IFERROR(LEFT(INDEX($A381:$P381,$D$7),FIND(",",INDEX($A381:$P381,$D$7))-1),INDEX($A381:$P381,$D$7))))</f>
        <v/>
      </c>
      <c r="U381" s="32">
        <f>IF(OR(R381="",$D$5=""),0,IFERROR(IF(ISNUMBER(INDEX($A381:$P381,$D$5)),INDEX($A381:$P381,$D$5),TIMEVALUE(INDEX($A381:$P381,$D$5)))*Inputs!$C$22,0))</f>
        <v/>
      </c>
    </row>
    <row r="382">
      <c r="R382" s="17">
        <f>IF($D$4="","",IF(INDEX($A382:$P382,$D$4)="","",IF(ISNUMBER(INDEX($A382:$P382,$D$4)),INDEX($A382:$P382,$D$4),IFERROR(DATEVALUE(INDEX($A382:$P382,$D$4)),""))))</f>
        <v/>
      </c>
      <c r="S382">
        <f>IF(OR(R382="",$D$6=""),"",IF(LEFT(INDEX($A382:$P382,$D$6),LEN(Inputs!$C$24))=Inputs!$C$24,INDEX($A382:$P382,$D$6),""))</f>
        <v/>
      </c>
      <c r="T382">
        <f>IF(OR(R382="",$D$7=""),"",TRIM(IFERROR(LEFT(INDEX($A382:$P382,$D$7),FIND(",",INDEX($A382:$P382,$D$7))-1),INDEX($A382:$P382,$D$7))))</f>
        <v/>
      </c>
      <c r="U382" s="32">
        <f>IF(OR(R382="",$D$5=""),0,IFERROR(IF(ISNUMBER(INDEX($A382:$P382,$D$5)),INDEX($A382:$P382,$D$5),TIMEVALUE(INDEX($A382:$P382,$D$5)))*Inputs!$C$22,0))</f>
        <v/>
      </c>
    </row>
    <row r="383">
      <c r="R383" s="17">
        <f>IF($D$4="","",IF(INDEX($A383:$P383,$D$4)="","",IF(ISNUMBER(INDEX($A383:$P383,$D$4)),INDEX($A383:$P383,$D$4),IFERROR(DATEVALUE(INDEX($A383:$P383,$D$4)),""))))</f>
        <v/>
      </c>
      <c r="S383">
        <f>IF(OR(R383="",$D$6=""),"",IF(LEFT(INDEX($A383:$P383,$D$6),LEN(Inputs!$C$24))=Inputs!$C$24,INDEX($A383:$P383,$D$6),""))</f>
        <v/>
      </c>
      <c r="T383">
        <f>IF(OR(R383="",$D$7=""),"",TRIM(IFERROR(LEFT(INDEX($A383:$P383,$D$7),FIND(",",INDEX($A383:$P383,$D$7))-1),INDEX($A383:$P383,$D$7))))</f>
        <v/>
      </c>
      <c r="U383" s="32">
        <f>IF(OR(R383="",$D$5=""),0,IFERROR(IF(ISNUMBER(INDEX($A383:$P383,$D$5)),INDEX($A383:$P383,$D$5),TIMEVALUE(INDEX($A383:$P383,$D$5)))*Inputs!$C$22,0))</f>
        <v/>
      </c>
    </row>
    <row r="384">
      <c r="R384" s="17">
        <f>IF($D$4="","",IF(INDEX($A384:$P384,$D$4)="","",IF(ISNUMBER(INDEX($A384:$P384,$D$4)),INDEX($A384:$P384,$D$4),IFERROR(DATEVALUE(INDEX($A384:$P384,$D$4)),""))))</f>
        <v/>
      </c>
      <c r="S384">
        <f>IF(OR(R384="",$D$6=""),"",IF(LEFT(INDEX($A384:$P384,$D$6),LEN(Inputs!$C$24))=Inputs!$C$24,INDEX($A384:$P384,$D$6),""))</f>
        <v/>
      </c>
      <c r="T384">
        <f>IF(OR(R384="",$D$7=""),"",TRIM(IFERROR(LEFT(INDEX($A384:$P384,$D$7),FIND(",",INDEX($A384:$P384,$D$7))-1),INDEX($A384:$P384,$D$7))))</f>
        <v/>
      </c>
      <c r="U384" s="32">
        <f>IF(OR(R384="",$D$5=""),0,IFERROR(IF(ISNUMBER(INDEX($A384:$P384,$D$5)),INDEX($A384:$P384,$D$5),TIMEVALUE(INDEX($A384:$P384,$D$5)))*Inputs!$C$22,0))</f>
        <v/>
      </c>
    </row>
    <row r="385">
      <c r="R385" s="17">
        <f>IF($D$4="","",IF(INDEX($A385:$P385,$D$4)="","",IF(ISNUMBER(INDEX($A385:$P385,$D$4)),INDEX($A385:$P385,$D$4),IFERROR(DATEVALUE(INDEX($A385:$P385,$D$4)),""))))</f>
        <v/>
      </c>
      <c r="S385">
        <f>IF(OR(R385="",$D$6=""),"",IF(LEFT(INDEX($A385:$P385,$D$6),LEN(Inputs!$C$24))=Inputs!$C$24,INDEX($A385:$P385,$D$6),""))</f>
        <v/>
      </c>
      <c r="T385">
        <f>IF(OR(R385="",$D$7=""),"",TRIM(IFERROR(LEFT(INDEX($A385:$P385,$D$7),FIND(",",INDEX($A385:$P385,$D$7))-1),INDEX($A385:$P385,$D$7))))</f>
        <v/>
      </c>
      <c r="U385" s="32">
        <f>IF(OR(R385="",$D$5=""),0,IFERROR(IF(ISNUMBER(INDEX($A385:$P385,$D$5)),INDEX($A385:$P385,$D$5),TIMEVALUE(INDEX($A385:$P385,$D$5)))*Inputs!$C$22,0))</f>
        <v/>
      </c>
    </row>
    <row r="386">
      <c r="R386" s="17">
        <f>IF($D$4="","",IF(INDEX($A386:$P386,$D$4)="","",IF(ISNUMBER(INDEX($A386:$P386,$D$4)),INDEX($A386:$P386,$D$4),IFERROR(DATEVALUE(INDEX($A386:$P386,$D$4)),""))))</f>
        <v/>
      </c>
      <c r="S386">
        <f>IF(OR(R386="",$D$6=""),"",IF(LEFT(INDEX($A386:$P386,$D$6),LEN(Inputs!$C$24))=Inputs!$C$24,INDEX($A386:$P386,$D$6),""))</f>
        <v/>
      </c>
      <c r="T386">
        <f>IF(OR(R386="",$D$7=""),"",TRIM(IFERROR(LEFT(INDEX($A386:$P386,$D$7),FIND(",",INDEX($A386:$P386,$D$7))-1),INDEX($A386:$P386,$D$7))))</f>
        <v/>
      </c>
      <c r="U386" s="32">
        <f>IF(OR(R386="",$D$5=""),0,IFERROR(IF(ISNUMBER(INDEX($A386:$P386,$D$5)),INDEX($A386:$P386,$D$5),TIMEVALUE(INDEX($A386:$P386,$D$5)))*Inputs!$C$22,0))</f>
        <v/>
      </c>
    </row>
    <row r="387">
      <c r="R387" s="17">
        <f>IF($D$4="","",IF(INDEX($A387:$P387,$D$4)="","",IF(ISNUMBER(INDEX($A387:$P387,$D$4)),INDEX($A387:$P387,$D$4),IFERROR(DATEVALUE(INDEX($A387:$P387,$D$4)),""))))</f>
        <v/>
      </c>
      <c r="S387">
        <f>IF(OR(R387="",$D$6=""),"",IF(LEFT(INDEX($A387:$P387,$D$6),LEN(Inputs!$C$24))=Inputs!$C$24,INDEX($A387:$P387,$D$6),""))</f>
        <v/>
      </c>
      <c r="T387">
        <f>IF(OR(R387="",$D$7=""),"",TRIM(IFERROR(LEFT(INDEX($A387:$P387,$D$7),FIND(",",INDEX($A387:$P387,$D$7))-1),INDEX($A387:$P387,$D$7))))</f>
        <v/>
      </c>
      <c r="U387" s="32">
        <f>IF(OR(R387="",$D$5=""),0,IFERROR(IF(ISNUMBER(INDEX($A387:$P387,$D$5)),INDEX($A387:$P387,$D$5),TIMEVALUE(INDEX($A387:$P387,$D$5)))*Inputs!$C$22,0))</f>
        <v/>
      </c>
    </row>
    <row r="388">
      <c r="R388" s="17">
        <f>IF($D$4="","",IF(INDEX($A388:$P388,$D$4)="","",IF(ISNUMBER(INDEX($A388:$P388,$D$4)),INDEX($A388:$P388,$D$4),IFERROR(DATEVALUE(INDEX($A388:$P388,$D$4)),""))))</f>
        <v/>
      </c>
      <c r="S388">
        <f>IF(OR(R388="",$D$6=""),"",IF(LEFT(INDEX($A388:$P388,$D$6),LEN(Inputs!$C$24))=Inputs!$C$24,INDEX($A388:$P388,$D$6),""))</f>
        <v/>
      </c>
      <c r="T388">
        <f>IF(OR(R388="",$D$7=""),"",TRIM(IFERROR(LEFT(INDEX($A388:$P388,$D$7),FIND(",",INDEX($A388:$P388,$D$7))-1),INDEX($A388:$P388,$D$7))))</f>
        <v/>
      </c>
      <c r="U388" s="32">
        <f>IF(OR(R388="",$D$5=""),0,IFERROR(IF(ISNUMBER(INDEX($A388:$P388,$D$5)),INDEX($A388:$P388,$D$5),TIMEVALUE(INDEX($A388:$P388,$D$5)))*Inputs!$C$22,0))</f>
        <v/>
      </c>
    </row>
    <row r="389">
      <c r="R389" s="17">
        <f>IF($D$4="","",IF(INDEX($A389:$P389,$D$4)="","",IF(ISNUMBER(INDEX($A389:$P389,$D$4)),INDEX($A389:$P389,$D$4),IFERROR(DATEVALUE(INDEX($A389:$P389,$D$4)),""))))</f>
        <v/>
      </c>
      <c r="S389">
        <f>IF(OR(R389="",$D$6=""),"",IF(LEFT(INDEX($A389:$P389,$D$6),LEN(Inputs!$C$24))=Inputs!$C$24,INDEX($A389:$P389,$D$6),""))</f>
        <v/>
      </c>
      <c r="T389">
        <f>IF(OR(R389="",$D$7=""),"",TRIM(IFERROR(LEFT(INDEX($A389:$P389,$D$7),FIND(",",INDEX($A389:$P389,$D$7))-1),INDEX($A389:$P389,$D$7))))</f>
        <v/>
      </c>
      <c r="U389" s="32">
        <f>IF(OR(R389="",$D$5=""),0,IFERROR(IF(ISNUMBER(INDEX($A389:$P389,$D$5)),INDEX($A389:$P389,$D$5),TIMEVALUE(INDEX($A389:$P389,$D$5)))*Inputs!$C$22,0))</f>
        <v/>
      </c>
    </row>
    <row r="390">
      <c r="R390" s="17">
        <f>IF($D$4="","",IF(INDEX($A390:$P390,$D$4)="","",IF(ISNUMBER(INDEX($A390:$P390,$D$4)),INDEX($A390:$P390,$D$4),IFERROR(DATEVALUE(INDEX($A390:$P390,$D$4)),""))))</f>
        <v/>
      </c>
      <c r="S390">
        <f>IF(OR(R390="",$D$6=""),"",IF(LEFT(INDEX($A390:$P390,$D$6),LEN(Inputs!$C$24))=Inputs!$C$24,INDEX($A390:$P390,$D$6),""))</f>
        <v/>
      </c>
      <c r="T390">
        <f>IF(OR(R390="",$D$7=""),"",TRIM(IFERROR(LEFT(INDEX($A390:$P390,$D$7),FIND(",",INDEX($A390:$P390,$D$7))-1),INDEX($A390:$P390,$D$7))))</f>
        <v/>
      </c>
      <c r="U390" s="32">
        <f>IF(OR(R390="",$D$5=""),0,IFERROR(IF(ISNUMBER(INDEX($A390:$P390,$D$5)),INDEX($A390:$P390,$D$5),TIMEVALUE(INDEX($A390:$P390,$D$5)))*Inputs!$C$22,0))</f>
        <v/>
      </c>
    </row>
    <row r="391">
      <c r="R391" s="17">
        <f>IF($D$4="","",IF(INDEX($A391:$P391,$D$4)="","",IF(ISNUMBER(INDEX($A391:$P391,$D$4)),INDEX($A391:$P391,$D$4),IFERROR(DATEVALUE(INDEX($A391:$P391,$D$4)),""))))</f>
        <v/>
      </c>
      <c r="S391">
        <f>IF(OR(R391="",$D$6=""),"",IF(LEFT(INDEX($A391:$P391,$D$6),LEN(Inputs!$C$24))=Inputs!$C$24,INDEX($A391:$P391,$D$6),""))</f>
        <v/>
      </c>
      <c r="T391">
        <f>IF(OR(R391="",$D$7=""),"",TRIM(IFERROR(LEFT(INDEX($A391:$P391,$D$7),FIND(",",INDEX($A391:$P391,$D$7))-1),INDEX($A391:$P391,$D$7))))</f>
        <v/>
      </c>
      <c r="U391" s="32">
        <f>IF(OR(R391="",$D$5=""),0,IFERROR(IF(ISNUMBER(INDEX($A391:$P391,$D$5)),INDEX($A391:$P391,$D$5),TIMEVALUE(INDEX($A391:$P391,$D$5)))*Inputs!$C$22,0))</f>
        <v/>
      </c>
    </row>
    <row r="392">
      <c r="R392" s="17">
        <f>IF($D$4="","",IF(INDEX($A392:$P392,$D$4)="","",IF(ISNUMBER(INDEX($A392:$P392,$D$4)),INDEX($A392:$P392,$D$4),IFERROR(DATEVALUE(INDEX($A392:$P392,$D$4)),""))))</f>
        <v/>
      </c>
      <c r="S392">
        <f>IF(OR(R392="",$D$6=""),"",IF(LEFT(INDEX($A392:$P392,$D$6),LEN(Inputs!$C$24))=Inputs!$C$24,INDEX($A392:$P392,$D$6),""))</f>
        <v/>
      </c>
      <c r="T392">
        <f>IF(OR(R392="",$D$7=""),"",TRIM(IFERROR(LEFT(INDEX($A392:$P392,$D$7),FIND(",",INDEX($A392:$P392,$D$7))-1),INDEX($A392:$P392,$D$7))))</f>
        <v/>
      </c>
      <c r="U392" s="32">
        <f>IF(OR(R392="",$D$5=""),0,IFERROR(IF(ISNUMBER(INDEX($A392:$P392,$D$5)),INDEX($A392:$P392,$D$5),TIMEVALUE(INDEX($A392:$P392,$D$5)))*Inputs!$C$22,0))</f>
        <v/>
      </c>
    </row>
    <row r="393">
      <c r="R393" s="17">
        <f>IF($D$4="","",IF(INDEX($A393:$P393,$D$4)="","",IF(ISNUMBER(INDEX($A393:$P393,$D$4)),INDEX($A393:$P393,$D$4),IFERROR(DATEVALUE(INDEX($A393:$P393,$D$4)),""))))</f>
        <v/>
      </c>
      <c r="S393">
        <f>IF(OR(R393="",$D$6=""),"",IF(LEFT(INDEX($A393:$P393,$D$6),LEN(Inputs!$C$24))=Inputs!$C$24,INDEX($A393:$P393,$D$6),""))</f>
        <v/>
      </c>
      <c r="T393">
        <f>IF(OR(R393="",$D$7=""),"",TRIM(IFERROR(LEFT(INDEX($A393:$P393,$D$7),FIND(",",INDEX($A393:$P393,$D$7))-1),INDEX($A393:$P393,$D$7))))</f>
        <v/>
      </c>
      <c r="U393" s="32">
        <f>IF(OR(R393="",$D$5=""),0,IFERROR(IF(ISNUMBER(INDEX($A393:$P393,$D$5)),INDEX($A393:$P393,$D$5),TIMEVALUE(INDEX($A393:$P393,$D$5)))*Inputs!$C$22,0))</f>
        <v/>
      </c>
    </row>
    <row r="394">
      <c r="R394" s="17">
        <f>IF($D$4="","",IF(INDEX($A394:$P394,$D$4)="","",IF(ISNUMBER(INDEX($A394:$P394,$D$4)),INDEX($A394:$P394,$D$4),IFERROR(DATEVALUE(INDEX($A394:$P394,$D$4)),""))))</f>
        <v/>
      </c>
      <c r="S394">
        <f>IF(OR(R394="",$D$6=""),"",IF(LEFT(INDEX($A394:$P394,$D$6),LEN(Inputs!$C$24))=Inputs!$C$24,INDEX($A394:$P394,$D$6),""))</f>
        <v/>
      </c>
      <c r="T394">
        <f>IF(OR(R394="",$D$7=""),"",TRIM(IFERROR(LEFT(INDEX($A394:$P394,$D$7),FIND(",",INDEX($A394:$P394,$D$7))-1),INDEX($A394:$P394,$D$7))))</f>
        <v/>
      </c>
      <c r="U394" s="32">
        <f>IF(OR(R394="",$D$5=""),0,IFERROR(IF(ISNUMBER(INDEX($A394:$P394,$D$5)),INDEX($A394:$P394,$D$5),TIMEVALUE(INDEX($A394:$P394,$D$5)))*Inputs!$C$22,0))</f>
        <v/>
      </c>
    </row>
    <row r="395">
      <c r="R395" s="17">
        <f>IF($D$4="","",IF(INDEX($A395:$P395,$D$4)="","",IF(ISNUMBER(INDEX($A395:$P395,$D$4)),INDEX($A395:$P395,$D$4),IFERROR(DATEVALUE(INDEX($A395:$P395,$D$4)),""))))</f>
        <v/>
      </c>
      <c r="S395">
        <f>IF(OR(R395="",$D$6=""),"",IF(LEFT(INDEX($A395:$P395,$D$6),LEN(Inputs!$C$24))=Inputs!$C$24,INDEX($A395:$P395,$D$6),""))</f>
        <v/>
      </c>
      <c r="T395">
        <f>IF(OR(R395="",$D$7=""),"",TRIM(IFERROR(LEFT(INDEX($A395:$P395,$D$7),FIND(",",INDEX($A395:$P395,$D$7))-1),INDEX($A395:$P395,$D$7))))</f>
        <v/>
      </c>
      <c r="U395" s="32">
        <f>IF(OR(R395="",$D$5=""),0,IFERROR(IF(ISNUMBER(INDEX($A395:$P395,$D$5)),INDEX($A395:$P395,$D$5),TIMEVALUE(INDEX($A395:$P395,$D$5)))*Inputs!$C$22,0))</f>
        <v/>
      </c>
    </row>
    <row r="396">
      <c r="R396" s="17">
        <f>IF($D$4="","",IF(INDEX($A396:$P396,$D$4)="","",IF(ISNUMBER(INDEX($A396:$P396,$D$4)),INDEX($A396:$P396,$D$4),IFERROR(DATEVALUE(INDEX($A396:$P396,$D$4)),""))))</f>
        <v/>
      </c>
      <c r="S396">
        <f>IF(OR(R396="",$D$6=""),"",IF(LEFT(INDEX($A396:$P396,$D$6),LEN(Inputs!$C$24))=Inputs!$C$24,INDEX($A396:$P396,$D$6),""))</f>
        <v/>
      </c>
      <c r="T396">
        <f>IF(OR(R396="",$D$7=""),"",TRIM(IFERROR(LEFT(INDEX($A396:$P396,$D$7),FIND(",",INDEX($A396:$P396,$D$7))-1),INDEX($A396:$P396,$D$7))))</f>
        <v/>
      </c>
      <c r="U396" s="32">
        <f>IF(OR(R396="",$D$5=""),0,IFERROR(IF(ISNUMBER(INDEX($A396:$P396,$D$5)),INDEX($A396:$P396,$D$5),TIMEVALUE(INDEX($A396:$P396,$D$5)))*Inputs!$C$22,0))</f>
        <v/>
      </c>
    </row>
    <row r="397">
      <c r="R397" s="17">
        <f>IF($D$4="","",IF(INDEX($A397:$P397,$D$4)="","",IF(ISNUMBER(INDEX($A397:$P397,$D$4)),INDEX($A397:$P397,$D$4),IFERROR(DATEVALUE(INDEX($A397:$P397,$D$4)),""))))</f>
        <v/>
      </c>
      <c r="S397">
        <f>IF(OR(R397="",$D$6=""),"",IF(LEFT(INDEX($A397:$P397,$D$6),LEN(Inputs!$C$24))=Inputs!$C$24,INDEX($A397:$P397,$D$6),""))</f>
        <v/>
      </c>
      <c r="T397">
        <f>IF(OR(R397="",$D$7=""),"",TRIM(IFERROR(LEFT(INDEX($A397:$P397,$D$7),FIND(",",INDEX($A397:$P397,$D$7))-1),INDEX($A397:$P397,$D$7))))</f>
        <v/>
      </c>
      <c r="U397" s="32">
        <f>IF(OR(R397="",$D$5=""),0,IFERROR(IF(ISNUMBER(INDEX($A397:$P397,$D$5)),INDEX($A397:$P397,$D$5),TIMEVALUE(INDEX($A397:$P397,$D$5)))*Inputs!$C$22,0))</f>
        <v/>
      </c>
    </row>
    <row r="398">
      <c r="R398" s="17">
        <f>IF($D$4="","",IF(INDEX($A398:$P398,$D$4)="","",IF(ISNUMBER(INDEX($A398:$P398,$D$4)),INDEX($A398:$P398,$D$4),IFERROR(DATEVALUE(INDEX($A398:$P398,$D$4)),""))))</f>
        <v/>
      </c>
      <c r="S398">
        <f>IF(OR(R398="",$D$6=""),"",IF(LEFT(INDEX($A398:$P398,$D$6),LEN(Inputs!$C$24))=Inputs!$C$24,INDEX($A398:$P398,$D$6),""))</f>
        <v/>
      </c>
      <c r="T398">
        <f>IF(OR(R398="",$D$7=""),"",TRIM(IFERROR(LEFT(INDEX($A398:$P398,$D$7),FIND(",",INDEX($A398:$P398,$D$7))-1),INDEX($A398:$P398,$D$7))))</f>
        <v/>
      </c>
      <c r="U398" s="32">
        <f>IF(OR(R398="",$D$5=""),0,IFERROR(IF(ISNUMBER(INDEX($A398:$P398,$D$5)),INDEX($A398:$P398,$D$5),TIMEVALUE(INDEX($A398:$P398,$D$5)))*Inputs!$C$22,0))</f>
        <v/>
      </c>
    </row>
    <row r="399">
      <c r="R399" s="17">
        <f>IF($D$4="","",IF(INDEX($A399:$P399,$D$4)="","",IF(ISNUMBER(INDEX($A399:$P399,$D$4)),INDEX($A399:$P399,$D$4),IFERROR(DATEVALUE(INDEX($A399:$P399,$D$4)),""))))</f>
        <v/>
      </c>
      <c r="S399">
        <f>IF(OR(R399="",$D$6=""),"",IF(LEFT(INDEX($A399:$P399,$D$6),LEN(Inputs!$C$24))=Inputs!$C$24,INDEX($A399:$P399,$D$6),""))</f>
        <v/>
      </c>
      <c r="T399">
        <f>IF(OR(R399="",$D$7=""),"",TRIM(IFERROR(LEFT(INDEX($A399:$P399,$D$7),FIND(",",INDEX($A399:$P399,$D$7))-1),INDEX($A399:$P399,$D$7))))</f>
        <v/>
      </c>
      <c r="U399" s="32">
        <f>IF(OR(R399="",$D$5=""),0,IFERROR(IF(ISNUMBER(INDEX($A399:$P399,$D$5)),INDEX($A399:$P399,$D$5),TIMEVALUE(INDEX($A399:$P399,$D$5)))*Inputs!$C$22,0))</f>
        <v/>
      </c>
    </row>
    <row r="400">
      <c r="R400" s="17">
        <f>IF($D$4="","",IF(INDEX($A400:$P400,$D$4)="","",IF(ISNUMBER(INDEX($A400:$P400,$D$4)),INDEX($A400:$P400,$D$4),IFERROR(DATEVALUE(INDEX($A400:$P400,$D$4)),""))))</f>
        <v/>
      </c>
      <c r="S400">
        <f>IF(OR(R400="",$D$6=""),"",IF(LEFT(INDEX($A400:$P400,$D$6),LEN(Inputs!$C$24))=Inputs!$C$24,INDEX($A400:$P400,$D$6),""))</f>
        <v/>
      </c>
      <c r="T400">
        <f>IF(OR(R400="",$D$7=""),"",TRIM(IFERROR(LEFT(INDEX($A400:$P400,$D$7),FIND(",",INDEX($A400:$P400,$D$7))-1),INDEX($A400:$P400,$D$7))))</f>
        <v/>
      </c>
      <c r="U400" s="32">
        <f>IF(OR(R400="",$D$5=""),0,IFERROR(IF(ISNUMBER(INDEX($A400:$P400,$D$5)),INDEX($A400:$P400,$D$5),TIMEVALUE(INDEX($A400:$P400,$D$5)))*Inputs!$C$22,0))</f>
        <v/>
      </c>
    </row>
    <row r="401">
      <c r="R401" s="17">
        <f>IF($D$4="","",IF(INDEX($A401:$P401,$D$4)="","",IF(ISNUMBER(INDEX($A401:$P401,$D$4)),INDEX($A401:$P401,$D$4),IFERROR(DATEVALUE(INDEX($A401:$P401,$D$4)),""))))</f>
        <v/>
      </c>
      <c r="S401">
        <f>IF(OR(R401="",$D$6=""),"",IF(LEFT(INDEX($A401:$P401,$D$6),LEN(Inputs!$C$24))=Inputs!$C$24,INDEX($A401:$P401,$D$6),""))</f>
        <v/>
      </c>
      <c r="T401">
        <f>IF(OR(R401="",$D$7=""),"",TRIM(IFERROR(LEFT(INDEX($A401:$P401,$D$7),FIND(",",INDEX($A401:$P401,$D$7))-1),INDEX($A401:$P401,$D$7))))</f>
        <v/>
      </c>
      <c r="U401" s="32">
        <f>IF(OR(R401="",$D$5=""),0,IFERROR(IF(ISNUMBER(INDEX($A401:$P401,$D$5)),INDEX($A401:$P401,$D$5),TIMEVALUE(INDEX($A401:$P401,$D$5)))*Inputs!$C$22,0))</f>
        <v/>
      </c>
    </row>
    <row r="402">
      <c r="R402" s="17">
        <f>IF($D$4="","",IF(INDEX($A402:$P402,$D$4)="","",IF(ISNUMBER(INDEX($A402:$P402,$D$4)),INDEX($A402:$P402,$D$4),IFERROR(DATEVALUE(INDEX($A402:$P402,$D$4)),""))))</f>
        <v/>
      </c>
      <c r="S402">
        <f>IF(OR(R402="",$D$6=""),"",IF(LEFT(INDEX($A402:$P402,$D$6),LEN(Inputs!$C$24))=Inputs!$C$24,INDEX($A402:$P402,$D$6),""))</f>
        <v/>
      </c>
      <c r="T402">
        <f>IF(OR(R402="",$D$7=""),"",TRIM(IFERROR(LEFT(INDEX($A402:$P402,$D$7),FIND(",",INDEX($A402:$P402,$D$7))-1),INDEX($A402:$P402,$D$7))))</f>
        <v/>
      </c>
      <c r="U402" s="32">
        <f>IF(OR(R402="",$D$5=""),0,IFERROR(IF(ISNUMBER(INDEX($A402:$P402,$D$5)),INDEX($A402:$P402,$D$5),TIMEVALUE(INDEX($A402:$P402,$D$5)))*Inputs!$C$22,0))</f>
        <v/>
      </c>
    </row>
    <row r="403">
      <c r="R403" s="17">
        <f>IF($D$4="","",IF(INDEX($A403:$P403,$D$4)="","",IF(ISNUMBER(INDEX($A403:$P403,$D$4)),INDEX($A403:$P403,$D$4),IFERROR(DATEVALUE(INDEX($A403:$P403,$D$4)),""))))</f>
        <v/>
      </c>
      <c r="S403">
        <f>IF(OR(R403="",$D$6=""),"",IF(LEFT(INDEX($A403:$P403,$D$6),LEN(Inputs!$C$24))=Inputs!$C$24,INDEX($A403:$P403,$D$6),""))</f>
        <v/>
      </c>
      <c r="T403">
        <f>IF(OR(R403="",$D$7=""),"",TRIM(IFERROR(LEFT(INDEX($A403:$P403,$D$7),FIND(",",INDEX($A403:$P403,$D$7))-1),INDEX($A403:$P403,$D$7))))</f>
        <v/>
      </c>
      <c r="U403" s="32">
        <f>IF(OR(R403="",$D$5=""),0,IFERROR(IF(ISNUMBER(INDEX($A403:$P403,$D$5)),INDEX($A403:$P403,$D$5),TIMEVALUE(INDEX($A403:$P403,$D$5)))*Inputs!$C$22,0))</f>
        <v/>
      </c>
    </row>
    <row r="404">
      <c r="R404" s="17">
        <f>IF($D$4="","",IF(INDEX($A404:$P404,$D$4)="","",IF(ISNUMBER(INDEX($A404:$P404,$D$4)),INDEX($A404:$P404,$D$4),IFERROR(DATEVALUE(INDEX($A404:$P404,$D$4)),""))))</f>
        <v/>
      </c>
      <c r="S404">
        <f>IF(OR(R404="",$D$6=""),"",IF(LEFT(INDEX($A404:$P404,$D$6),LEN(Inputs!$C$24))=Inputs!$C$24,INDEX($A404:$P404,$D$6),""))</f>
        <v/>
      </c>
      <c r="T404">
        <f>IF(OR(R404="",$D$7=""),"",TRIM(IFERROR(LEFT(INDEX($A404:$P404,$D$7),FIND(",",INDEX($A404:$P404,$D$7))-1),INDEX($A404:$P404,$D$7))))</f>
        <v/>
      </c>
      <c r="U404" s="32">
        <f>IF(OR(R404="",$D$5=""),0,IFERROR(IF(ISNUMBER(INDEX($A404:$P404,$D$5)),INDEX($A404:$P404,$D$5),TIMEVALUE(INDEX($A404:$P404,$D$5)))*Inputs!$C$22,0))</f>
        <v/>
      </c>
    </row>
    <row r="405">
      <c r="R405" s="17">
        <f>IF($D$4="","",IF(INDEX($A405:$P405,$D$4)="","",IF(ISNUMBER(INDEX($A405:$P405,$D$4)),INDEX($A405:$P405,$D$4),IFERROR(DATEVALUE(INDEX($A405:$P405,$D$4)),""))))</f>
        <v/>
      </c>
      <c r="S405">
        <f>IF(OR(R405="",$D$6=""),"",IF(LEFT(INDEX($A405:$P405,$D$6),LEN(Inputs!$C$24))=Inputs!$C$24,INDEX($A405:$P405,$D$6),""))</f>
        <v/>
      </c>
      <c r="T405">
        <f>IF(OR(R405="",$D$7=""),"",TRIM(IFERROR(LEFT(INDEX($A405:$P405,$D$7),FIND(",",INDEX($A405:$P405,$D$7))-1),INDEX($A405:$P405,$D$7))))</f>
        <v/>
      </c>
      <c r="U405" s="32">
        <f>IF(OR(R405="",$D$5=""),0,IFERROR(IF(ISNUMBER(INDEX($A405:$P405,$D$5)),INDEX($A405:$P405,$D$5),TIMEVALUE(INDEX($A405:$P405,$D$5)))*Inputs!$C$22,0))</f>
        <v/>
      </c>
    </row>
    <row r="406">
      <c r="R406" s="17">
        <f>IF($D$4="","",IF(INDEX($A406:$P406,$D$4)="","",IF(ISNUMBER(INDEX($A406:$P406,$D$4)),INDEX($A406:$P406,$D$4),IFERROR(DATEVALUE(INDEX($A406:$P406,$D$4)),""))))</f>
        <v/>
      </c>
      <c r="S406">
        <f>IF(OR(R406="",$D$6=""),"",IF(LEFT(INDEX($A406:$P406,$D$6),LEN(Inputs!$C$24))=Inputs!$C$24,INDEX($A406:$P406,$D$6),""))</f>
        <v/>
      </c>
      <c r="T406">
        <f>IF(OR(R406="",$D$7=""),"",TRIM(IFERROR(LEFT(INDEX($A406:$P406,$D$7),FIND(",",INDEX($A406:$P406,$D$7))-1),INDEX($A406:$P406,$D$7))))</f>
        <v/>
      </c>
      <c r="U406" s="32">
        <f>IF(OR(R406="",$D$5=""),0,IFERROR(IF(ISNUMBER(INDEX($A406:$P406,$D$5)),INDEX($A406:$P406,$D$5),TIMEVALUE(INDEX($A406:$P406,$D$5)))*Inputs!$C$22,0))</f>
        <v/>
      </c>
    </row>
    <row r="407">
      <c r="R407" s="17">
        <f>IF($D$4="","",IF(INDEX($A407:$P407,$D$4)="","",IF(ISNUMBER(INDEX($A407:$P407,$D$4)),INDEX($A407:$P407,$D$4),IFERROR(DATEVALUE(INDEX($A407:$P407,$D$4)),""))))</f>
        <v/>
      </c>
      <c r="S407">
        <f>IF(OR(R407="",$D$6=""),"",IF(LEFT(INDEX($A407:$P407,$D$6),LEN(Inputs!$C$24))=Inputs!$C$24,INDEX($A407:$P407,$D$6),""))</f>
        <v/>
      </c>
      <c r="T407">
        <f>IF(OR(R407="",$D$7=""),"",TRIM(IFERROR(LEFT(INDEX($A407:$P407,$D$7),FIND(",",INDEX($A407:$P407,$D$7))-1),INDEX($A407:$P407,$D$7))))</f>
        <v/>
      </c>
      <c r="U407" s="32">
        <f>IF(OR(R407="",$D$5=""),0,IFERROR(IF(ISNUMBER(INDEX($A407:$P407,$D$5)),INDEX($A407:$P407,$D$5),TIMEVALUE(INDEX($A407:$P407,$D$5)))*Inputs!$C$22,0))</f>
        <v/>
      </c>
    </row>
    <row r="408">
      <c r="R408" s="17">
        <f>IF($D$4="","",IF(INDEX($A408:$P408,$D$4)="","",IF(ISNUMBER(INDEX($A408:$P408,$D$4)),INDEX($A408:$P408,$D$4),IFERROR(DATEVALUE(INDEX($A408:$P408,$D$4)),""))))</f>
        <v/>
      </c>
      <c r="S408">
        <f>IF(OR(R408="",$D$6=""),"",IF(LEFT(INDEX($A408:$P408,$D$6),LEN(Inputs!$C$24))=Inputs!$C$24,INDEX($A408:$P408,$D$6),""))</f>
        <v/>
      </c>
      <c r="T408">
        <f>IF(OR(R408="",$D$7=""),"",TRIM(IFERROR(LEFT(INDEX($A408:$P408,$D$7),FIND(",",INDEX($A408:$P408,$D$7))-1),INDEX($A408:$P408,$D$7))))</f>
        <v/>
      </c>
      <c r="U408" s="32">
        <f>IF(OR(R408="",$D$5=""),0,IFERROR(IF(ISNUMBER(INDEX($A408:$P408,$D$5)),INDEX($A408:$P408,$D$5),TIMEVALUE(INDEX($A408:$P408,$D$5)))*Inputs!$C$22,0))</f>
        <v/>
      </c>
    </row>
    <row r="409">
      <c r="R409" s="17">
        <f>IF($D$4="","",IF(INDEX($A409:$P409,$D$4)="","",IF(ISNUMBER(INDEX($A409:$P409,$D$4)),INDEX($A409:$P409,$D$4),IFERROR(DATEVALUE(INDEX($A409:$P409,$D$4)),""))))</f>
        <v/>
      </c>
      <c r="S409">
        <f>IF(OR(R409="",$D$6=""),"",IF(LEFT(INDEX($A409:$P409,$D$6),LEN(Inputs!$C$24))=Inputs!$C$24,INDEX($A409:$P409,$D$6),""))</f>
        <v/>
      </c>
      <c r="T409">
        <f>IF(OR(R409="",$D$7=""),"",TRIM(IFERROR(LEFT(INDEX($A409:$P409,$D$7),FIND(",",INDEX($A409:$P409,$D$7))-1),INDEX($A409:$P409,$D$7))))</f>
        <v/>
      </c>
      <c r="U409" s="32">
        <f>IF(OR(R409="",$D$5=""),0,IFERROR(IF(ISNUMBER(INDEX($A409:$P409,$D$5)),INDEX($A409:$P409,$D$5),TIMEVALUE(INDEX($A409:$P409,$D$5)))*Inputs!$C$22,0))</f>
        <v/>
      </c>
    </row>
    <row r="410">
      <c r="R410" s="17">
        <f>IF($D$4="","",IF(INDEX($A410:$P410,$D$4)="","",IF(ISNUMBER(INDEX($A410:$P410,$D$4)),INDEX($A410:$P410,$D$4),IFERROR(DATEVALUE(INDEX($A410:$P410,$D$4)),""))))</f>
        <v/>
      </c>
      <c r="S410">
        <f>IF(OR(R410="",$D$6=""),"",IF(LEFT(INDEX($A410:$P410,$D$6),LEN(Inputs!$C$24))=Inputs!$C$24,INDEX($A410:$P410,$D$6),""))</f>
        <v/>
      </c>
      <c r="T410">
        <f>IF(OR(R410="",$D$7=""),"",TRIM(IFERROR(LEFT(INDEX($A410:$P410,$D$7),FIND(",",INDEX($A410:$P410,$D$7))-1),INDEX($A410:$P410,$D$7))))</f>
        <v/>
      </c>
      <c r="U410" s="32">
        <f>IF(OR(R410="",$D$5=""),0,IFERROR(IF(ISNUMBER(INDEX($A410:$P410,$D$5)),INDEX($A410:$P410,$D$5),TIMEVALUE(INDEX($A410:$P410,$D$5)))*Inputs!$C$22,0))</f>
        <v/>
      </c>
    </row>
    <row r="411">
      <c r="R411" s="17">
        <f>IF($D$4="","",IF(INDEX($A411:$P411,$D$4)="","",IF(ISNUMBER(INDEX($A411:$P411,$D$4)),INDEX($A411:$P411,$D$4),IFERROR(DATEVALUE(INDEX($A411:$P411,$D$4)),""))))</f>
        <v/>
      </c>
      <c r="S411">
        <f>IF(OR(R411="",$D$6=""),"",IF(LEFT(INDEX($A411:$P411,$D$6),LEN(Inputs!$C$24))=Inputs!$C$24,INDEX($A411:$P411,$D$6),""))</f>
        <v/>
      </c>
      <c r="T411">
        <f>IF(OR(R411="",$D$7=""),"",TRIM(IFERROR(LEFT(INDEX($A411:$P411,$D$7),FIND(",",INDEX($A411:$P411,$D$7))-1),INDEX($A411:$P411,$D$7))))</f>
        <v/>
      </c>
      <c r="U411" s="32">
        <f>IF(OR(R411="",$D$5=""),0,IFERROR(IF(ISNUMBER(INDEX($A411:$P411,$D$5)),INDEX($A411:$P411,$D$5),TIMEVALUE(INDEX($A411:$P411,$D$5)))*Inputs!$C$22,0))</f>
        <v/>
      </c>
    </row>
    <row r="412">
      <c r="R412" s="17">
        <f>IF($D$4="","",IF(INDEX($A412:$P412,$D$4)="","",IF(ISNUMBER(INDEX($A412:$P412,$D$4)),INDEX($A412:$P412,$D$4),IFERROR(DATEVALUE(INDEX($A412:$P412,$D$4)),""))))</f>
        <v/>
      </c>
      <c r="S412">
        <f>IF(OR(R412="",$D$6=""),"",IF(LEFT(INDEX($A412:$P412,$D$6),LEN(Inputs!$C$24))=Inputs!$C$24,INDEX($A412:$P412,$D$6),""))</f>
        <v/>
      </c>
      <c r="T412">
        <f>IF(OR(R412="",$D$7=""),"",TRIM(IFERROR(LEFT(INDEX($A412:$P412,$D$7),FIND(",",INDEX($A412:$P412,$D$7))-1),INDEX($A412:$P412,$D$7))))</f>
        <v/>
      </c>
      <c r="U412" s="32">
        <f>IF(OR(R412="",$D$5=""),0,IFERROR(IF(ISNUMBER(INDEX($A412:$P412,$D$5)),INDEX($A412:$P412,$D$5),TIMEVALUE(INDEX($A412:$P412,$D$5)))*Inputs!$C$22,0))</f>
        <v/>
      </c>
    </row>
    <row r="413">
      <c r="R413" s="17">
        <f>IF($D$4="","",IF(INDEX($A413:$P413,$D$4)="","",IF(ISNUMBER(INDEX($A413:$P413,$D$4)),INDEX($A413:$P413,$D$4),IFERROR(DATEVALUE(INDEX($A413:$P413,$D$4)),""))))</f>
        <v/>
      </c>
      <c r="S413">
        <f>IF(OR(R413="",$D$6=""),"",IF(LEFT(INDEX($A413:$P413,$D$6),LEN(Inputs!$C$24))=Inputs!$C$24,INDEX($A413:$P413,$D$6),""))</f>
        <v/>
      </c>
      <c r="T413">
        <f>IF(OR(R413="",$D$7=""),"",TRIM(IFERROR(LEFT(INDEX($A413:$P413,$D$7),FIND(",",INDEX($A413:$P413,$D$7))-1),INDEX($A413:$P413,$D$7))))</f>
        <v/>
      </c>
      <c r="U413" s="32">
        <f>IF(OR(R413="",$D$5=""),0,IFERROR(IF(ISNUMBER(INDEX($A413:$P413,$D$5)),INDEX($A413:$P413,$D$5),TIMEVALUE(INDEX($A413:$P413,$D$5)))*Inputs!$C$22,0))</f>
        <v/>
      </c>
    </row>
    <row r="414">
      <c r="R414" s="17">
        <f>IF($D$4="","",IF(INDEX($A414:$P414,$D$4)="","",IF(ISNUMBER(INDEX($A414:$P414,$D$4)),INDEX($A414:$P414,$D$4),IFERROR(DATEVALUE(INDEX($A414:$P414,$D$4)),""))))</f>
        <v/>
      </c>
      <c r="S414">
        <f>IF(OR(R414="",$D$6=""),"",IF(LEFT(INDEX($A414:$P414,$D$6),LEN(Inputs!$C$24))=Inputs!$C$24,INDEX($A414:$P414,$D$6),""))</f>
        <v/>
      </c>
      <c r="T414">
        <f>IF(OR(R414="",$D$7=""),"",TRIM(IFERROR(LEFT(INDEX($A414:$P414,$D$7),FIND(",",INDEX($A414:$P414,$D$7))-1),INDEX($A414:$P414,$D$7))))</f>
        <v/>
      </c>
      <c r="U414" s="32">
        <f>IF(OR(R414="",$D$5=""),0,IFERROR(IF(ISNUMBER(INDEX($A414:$P414,$D$5)),INDEX($A414:$P414,$D$5),TIMEVALUE(INDEX($A414:$P414,$D$5)))*Inputs!$C$22,0))</f>
        <v/>
      </c>
    </row>
    <row r="415">
      <c r="R415" s="17">
        <f>IF($D$4="","",IF(INDEX($A415:$P415,$D$4)="","",IF(ISNUMBER(INDEX($A415:$P415,$D$4)),INDEX($A415:$P415,$D$4),IFERROR(DATEVALUE(INDEX($A415:$P415,$D$4)),""))))</f>
        <v/>
      </c>
      <c r="S415">
        <f>IF(OR(R415="",$D$6=""),"",IF(LEFT(INDEX($A415:$P415,$D$6),LEN(Inputs!$C$24))=Inputs!$C$24,INDEX($A415:$P415,$D$6),""))</f>
        <v/>
      </c>
      <c r="T415">
        <f>IF(OR(R415="",$D$7=""),"",TRIM(IFERROR(LEFT(INDEX($A415:$P415,$D$7),FIND(",",INDEX($A415:$P415,$D$7))-1),INDEX($A415:$P415,$D$7))))</f>
        <v/>
      </c>
      <c r="U415" s="32">
        <f>IF(OR(R415="",$D$5=""),0,IFERROR(IF(ISNUMBER(INDEX($A415:$P415,$D$5)),INDEX($A415:$P415,$D$5),TIMEVALUE(INDEX($A415:$P415,$D$5)))*Inputs!$C$22,0))</f>
        <v/>
      </c>
    </row>
    <row r="416">
      <c r="R416" s="17">
        <f>IF($D$4="","",IF(INDEX($A416:$P416,$D$4)="","",IF(ISNUMBER(INDEX($A416:$P416,$D$4)),INDEX($A416:$P416,$D$4),IFERROR(DATEVALUE(INDEX($A416:$P416,$D$4)),""))))</f>
        <v/>
      </c>
      <c r="S416">
        <f>IF(OR(R416="",$D$6=""),"",IF(LEFT(INDEX($A416:$P416,$D$6),LEN(Inputs!$C$24))=Inputs!$C$24,INDEX($A416:$P416,$D$6),""))</f>
        <v/>
      </c>
      <c r="T416">
        <f>IF(OR(R416="",$D$7=""),"",TRIM(IFERROR(LEFT(INDEX($A416:$P416,$D$7),FIND(",",INDEX($A416:$P416,$D$7))-1),INDEX($A416:$P416,$D$7))))</f>
        <v/>
      </c>
      <c r="U416" s="32">
        <f>IF(OR(R416="",$D$5=""),0,IFERROR(IF(ISNUMBER(INDEX($A416:$P416,$D$5)),INDEX($A416:$P416,$D$5),TIMEVALUE(INDEX($A416:$P416,$D$5)))*Inputs!$C$22,0))</f>
        <v/>
      </c>
    </row>
    <row r="417">
      <c r="R417" s="17">
        <f>IF($D$4="","",IF(INDEX($A417:$P417,$D$4)="","",IF(ISNUMBER(INDEX($A417:$P417,$D$4)),INDEX($A417:$P417,$D$4),IFERROR(DATEVALUE(INDEX($A417:$P417,$D$4)),""))))</f>
        <v/>
      </c>
      <c r="S417">
        <f>IF(OR(R417="",$D$6=""),"",IF(LEFT(INDEX($A417:$P417,$D$6),LEN(Inputs!$C$24))=Inputs!$C$24,INDEX($A417:$P417,$D$6),""))</f>
        <v/>
      </c>
      <c r="T417">
        <f>IF(OR(R417="",$D$7=""),"",TRIM(IFERROR(LEFT(INDEX($A417:$P417,$D$7),FIND(",",INDEX($A417:$P417,$D$7))-1),INDEX($A417:$P417,$D$7))))</f>
        <v/>
      </c>
      <c r="U417" s="32">
        <f>IF(OR(R417="",$D$5=""),0,IFERROR(IF(ISNUMBER(INDEX($A417:$P417,$D$5)),INDEX($A417:$P417,$D$5),TIMEVALUE(INDEX($A417:$P417,$D$5)))*Inputs!$C$22,0))</f>
        <v/>
      </c>
    </row>
    <row r="418">
      <c r="R418" s="17">
        <f>IF($D$4="","",IF(INDEX($A418:$P418,$D$4)="","",IF(ISNUMBER(INDEX($A418:$P418,$D$4)),INDEX($A418:$P418,$D$4),IFERROR(DATEVALUE(INDEX($A418:$P418,$D$4)),""))))</f>
        <v/>
      </c>
      <c r="S418">
        <f>IF(OR(R418="",$D$6=""),"",IF(LEFT(INDEX($A418:$P418,$D$6),LEN(Inputs!$C$24))=Inputs!$C$24,INDEX($A418:$P418,$D$6),""))</f>
        <v/>
      </c>
      <c r="T418">
        <f>IF(OR(R418="",$D$7=""),"",TRIM(IFERROR(LEFT(INDEX($A418:$P418,$D$7),FIND(",",INDEX($A418:$P418,$D$7))-1),INDEX($A418:$P418,$D$7))))</f>
        <v/>
      </c>
      <c r="U418" s="32">
        <f>IF(OR(R418="",$D$5=""),0,IFERROR(IF(ISNUMBER(INDEX($A418:$P418,$D$5)),INDEX($A418:$P418,$D$5),TIMEVALUE(INDEX($A418:$P418,$D$5)))*Inputs!$C$22,0))</f>
        <v/>
      </c>
    </row>
    <row r="419">
      <c r="R419" s="17">
        <f>IF($D$4="","",IF(INDEX($A419:$P419,$D$4)="","",IF(ISNUMBER(INDEX($A419:$P419,$D$4)),INDEX($A419:$P419,$D$4),IFERROR(DATEVALUE(INDEX($A419:$P419,$D$4)),""))))</f>
        <v/>
      </c>
      <c r="S419">
        <f>IF(OR(R419="",$D$6=""),"",IF(LEFT(INDEX($A419:$P419,$D$6),LEN(Inputs!$C$24))=Inputs!$C$24,INDEX($A419:$P419,$D$6),""))</f>
        <v/>
      </c>
      <c r="T419">
        <f>IF(OR(R419="",$D$7=""),"",TRIM(IFERROR(LEFT(INDEX($A419:$P419,$D$7),FIND(",",INDEX($A419:$P419,$D$7))-1),INDEX($A419:$P419,$D$7))))</f>
        <v/>
      </c>
      <c r="U419" s="32">
        <f>IF(OR(R419="",$D$5=""),0,IFERROR(IF(ISNUMBER(INDEX($A419:$P419,$D$5)),INDEX($A419:$P419,$D$5),TIMEVALUE(INDEX($A419:$P419,$D$5)))*Inputs!$C$22,0))</f>
        <v/>
      </c>
    </row>
    <row r="420">
      <c r="R420" s="17">
        <f>IF($D$4="","",IF(INDEX($A420:$P420,$D$4)="","",IF(ISNUMBER(INDEX($A420:$P420,$D$4)),INDEX($A420:$P420,$D$4),IFERROR(DATEVALUE(INDEX($A420:$P420,$D$4)),""))))</f>
        <v/>
      </c>
      <c r="S420">
        <f>IF(OR(R420="",$D$6=""),"",IF(LEFT(INDEX($A420:$P420,$D$6),LEN(Inputs!$C$24))=Inputs!$C$24,INDEX($A420:$P420,$D$6),""))</f>
        <v/>
      </c>
      <c r="T420">
        <f>IF(OR(R420="",$D$7=""),"",TRIM(IFERROR(LEFT(INDEX($A420:$P420,$D$7),FIND(",",INDEX($A420:$P420,$D$7))-1),INDEX($A420:$P420,$D$7))))</f>
        <v/>
      </c>
      <c r="U420" s="32">
        <f>IF(OR(R420="",$D$5=""),0,IFERROR(IF(ISNUMBER(INDEX($A420:$P420,$D$5)),INDEX($A420:$P420,$D$5),TIMEVALUE(INDEX($A420:$P420,$D$5)))*Inputs!$C$22,0))</f>
        <v/>
      </c>
    </row>
    <row r="421">
      <c r="R421" s="17">
        <f>IF($D$4="","",IF(INDEX($A421:$P421,$D$4)="","",IF(ISNUMBER(INDEX($A421:$P421,$D$4)),INDEX($A421:$P421,$D$4),IFERROR(DATEVALUE(INDEX($A421:$P421,$D$4)),""))))</f>
        <v/>
      </c>
      <c r="S421">
        <f>IF(OR(R421="",$D$6=""),"",IF(LEFT(INDEX($A421:$P421,$D$6),LEN(Inputs!$C$24))=Inputs!$C$24,INDEX($A421:$P421,$D$6),""))</f>
        <v/>
      </c>
      <c r="T421">
        <f>IF(OR(R421="",$D$7=""),"",TRIM(IFERROR(LEFT(INDEX($A421:$P421,$D$7),FIND(",",INDEX($A421:$P421,$D$7))-1),INDEX($A421:$P421,$D$7))))</f>
        <v/>
      </c>
      <c r="U421" s="32">
        <f>IF(OR(R421="",$D$5=""),0,IFERROR(IF(ISNUMBER(INDEX($A421:$P421,$D$5)),INDEX($A421:$P421,$D$5),TIMEVALUE(INDEX($A421:$P421,$D$5)))*Inputs!$C$22,0))</f>
        <v/>
      </c>
    </row>
    <row r="422">
      <c r="R422" s="17">
        <f>IF($D$4="","",IF(INDEX($A422:$P422,$D$4)="","",IF(ISNUMBER(INDEX($A422:$P422,$D$4)),INDEX($A422:$P422,$D$4),IFERROR(DATEVALUE(INDEX($A422:$P422,$D$4)),""))))</f>
        <v/>
      </c>
      <c r="S422">
        <f>IF(OR(R422="",$D$6=""),"",IF(LEFT(INDEX($A422:$P422,$D$6),LEN(Inputs!$C$24))=Inputs!$C$24,INDEX($A422:$P422,$D$6),""))</f>
        <v/>
      </c>
      <c r="T422">
        <f>IF(OR(R422="",$D$7=""),"",TRIM(IFERROR(LEFT(INDEX($A422:$P422,$D$7),FIND(",",INDEX($A422:$P422,$D$7))-1),INDEX($A422:$P422,$D$7))))</f>
        <v/>
      </c>
      <c r="U422" s="32">
        <f>IF(OR(R422="",$D$5=""),0,IFERROR(IF(ISNUMBER(INDEX($A422:$P422,$D$5)),INDEX($A422:$P422,$D$5),TIMEVALUE(INDEX($A422:$P422,$D$5)))*Inputs!$C$22,0))</f>
        <v/>
      </c>
    </row>
    <row r="423">
      <c r="R423" s="17">
        <f>IF($D$4="","",IF(INDEX($A423:$P423,$D$4)="","",IF(ISNUMBER(INDEX($A423:$P423,$D$4)),INDEX($A423:$P423,$D$4),IFERROR(DATEVALUE(INDEX($A423:$P423,$D$4)),""))))</f>
        <v/>
      </c>
      <c r="S423">
        <f>IF(OR(R423="",$D$6=""),"",IF(LEFT(INDEX($A423:$P423,$D$6),LEN(Inputs!$C$24))=Inputs!$C$24,INDEX($A423:$P423,$D$6),""))</f>
        <v/>
      </c>
      <c r="T423">
        <f>IF(OR(R423="",$D$7=""),"",TRIM(IFERROR(LEFT(INDEX($A423:$P423,$D$7),FIND(",",INDEX($A423:$P423,$D$7))-1),INDEX($A423:$P423,$D$7))))</f>
        <v/>
      </c>
      <c r="U423" s="32">
        <f>IF(OR(R423="",$D$5=""),0,IFERROR(IF(ISNUMBER(INDEX($A423:$P423,$D$5)),INDEX($A423:$P423,$D$5),TIMEVALUE(INDEX($A423:$P423,$D$5)))*Inputs!$C$22,0))</f>
        <v/>
      </c>
    </row>
    <row r="424">
      <c r="R424" s="17">
        <f>IF($D$4="","",IF(INDEX($A424:$P424,$D$4)="","",IF(ISNUMBER(INDEX($A424:$P424,$D$4)),INDEX($A424:$P424,$D$4),IFERROR(DATEVALUE(INDEX($A424:$P424,$D$4)),""))))</f>
        <v/>
      </c>
      <c r="S424">
        <f>IF(OR(R424="",$D$6=""),"",IF(LEFT(INDEX($A424:$P424,$D$6),LEN(Inputs!$C$24))=Inputs!$C$24,INDEX($A424:$P424,$D$6),""))</f>
        <v/>
      </c>
      <c r="T424">
        <f>IF(OR(R424="",$D$7=""),"",TRIM(IFERROR(LEFT(INDEX($A424:$P424,$D$7),FIND(",",INDEX($A424:$P424,$D$7))-1),INDEX($A424:$P424,$D$7))))</f>
        <v/>
      </c>
      <c r="U424" s="32">
        <f>IF(OR(R424="",$D$5=""),0,IFERROR(IF(ISNUMBER(INDEX($A424:$P424,$D$5)),INDEX($A424:$P424,$D$5),TIMEVALUE(INDEX($A424:$P424,$D$5)))*Inputs!$C$22,0))</f>
        <v/>
      </c>
    </row>
    <row r="425">
      <c r="R425" s="17">
        <f>IF($D$4="","",IF(INDEX($A425:$P425,$D$4)="","",IF(ISNUMBER(INDEX($A425:$P425,$D$4)),INDEX($A425:$P425,$D$4),IFERROR(DATEVALUE(INDEX($A425:$P425,$D$4)),""))))</f>
        <v/>
      </c>
      <c r="S425">
        <f>IF(OR(R425="",$D$6=""),"",IF(LEFT(INDEX($A425:$P425,$D$6),LEN(Inputs!$C$24))=Inputs!$C$24,INDEX($A425:$P425,$D$6),""))</f>
        <v/>
      </c>
      <c r="T425">
        <f>IF(OR(R425="",$D$7=""),"",TRIM(IFERROR(LEFT(INDEX($A425:$P425,$D$7),FIND(",",INDEX($A425:$P425,$D$7))-1),INDEX($A425:$P425,$D$7))))</f>
        <v/>
      </c>
      <c r="U425" s="32">
        <f>IF(OR(R425="",$D$5=""),0,IFERROR(IF(ISNUMBER(INDEX($A425:$P425,$D$5)),INDEX($A425:$P425,$D$5),TIMEVALUE(INDEX($A425:$P425,$D$5)))*Inputs!$C$22,0))</f>
        <v/>
      </c>
    </row>
    <row r="426">
      <c r="R426" s="17">
        <f>IF($D$4="","",IF(INDEX($A426:$P426,$D$4)="","",IF(ISNUMBER(INDEX($A426:$P426,$D$4)),INDEX($A426:$P426,$D$4),IFERROR(DATEVALUE(INDEX($A426:$P426,$D$4)),""))))</f>
        <v/>
      </c>
      <c r="S426">
        <f>IF(OR(R426="",$D$6=""),"",IF(LEFT(INDEX($A426:$P426,$D$6),LEN(Inputs!$C$24))=Inputs!$C$24,INDEX($A426:$P426,$D$6),""))</f>
        <v/>
      </c>
      <c r="T426">
        <f>IF(OR(R426="",$D$7=""),"",TRIM(IFERROR(LEFT(INDEX($A426:$P426,$D$7),FIND(",",INDEX($A426:$P426,$D$7))-1),INDEX($A426:$P426,$D$7))))</f>
        <v/>
      </c>
      <c r="U426" s="32">
        <f>IF(OR(R426="",$D$5=""),0,IFERROR(IF(ISNUMBER(INDEX($A426:$P426,$D$5)),INDEX($A426:$P426,$D$5),TIMEVALUE(INDEX($A426:$P426,$D$5)))*Inputs!$C$22,0))</f>
        <v/>
      </c>
    </row>
    <row r="427">
      <c r="R427" s="17">
        <f>IF($D$4="","",IF(INDEX($A427:$P427,$D$4)="","",IF(ISNUMBER(INDEX($A427:$P427,$D$4)),INDEX($A427:$P427,$D$4),IFERROR(DATEVALUE(INDEX($A427:$P427,$D$4)),""))))</f>
        <v/>
      </c>
      <c r="S427">
        <f>IF(OR(R427="",$D$6=""),"",IF(LEFT(INDEX($A427:$P427,$D$6),LEN(Inputs!$C$24))=Inputs!$C$24,INDEX($A427:$P427,$D$6),""))</f>
        <v/>
      </c>
      <c r="T427">
        <f>IF(OR(R427="",$D$7=""),"",TRIM(IFERROR(LEFT(INDEX($A427:$P427,$D$7),FIND(",",INDEX($A427:$P427,$D$7))-1),INDEX($A427:$P427,$D$7))))</f>
        <v/>
      </c>
      <c r="U427" s="32">
        <f>IF(OR(R427="",$D$5=""),0,IFERROR(IF(ISNUMBER(INDEX($A427:$P427,$D$5)),INDEX($A427:$P427,$D$5),TIMEVALUE(INDEX($A427:$P427,$D$5)))*Inputs!$C$22,0))</f>
        <v/>
      </c>
    </row>
    <row r="428">
      <c r="R428" s="17">
        <f>IF($D$4="","",IF(INDEX($A428:$P428,$D$4)="","",IF(ISNUMBER(INDEX($A428:$P428,$D$4)),INDEX($A428:$P428,$D$4),IFERROR(DATEVALUE(INDEX($A428:$P428,$D$4)),""))))</f>
        <v/>
      </c>
      <c r="S428">
        <f>IF(OR(R428="",$D$6=""),"",IF(LEFT(INDEX($A428:$P428,$D$6),LEN(Inputs!$C$24))=Inputs!$C$24,INDEX($A428:$P428,$D$6),""))</f>
        <v/>
      </c>
      <c r="T428">
        <f>IF(OR(R428="",$D$7=""),"",TRIM(IFERROR(LEFT(INDEX($A428:$P428,$D$7),FIND(",",INDEX($A428:$P428,$D$7))-1),INDEX($A428:$P428,$D$7))))</f>
        <v/>
      </c>
      <c r="U428" s="32">
        <f>IF(OR(R428="",$D$5=""),0,IFERROR(IF(ISNUMBER(INDEX($A428:$P428,$D$5)),INDEX($A428:$P428,$D$5),TIMEVALUE(INDEX($A428:$P428,$D$5)))*Inputs!$C$22,0))</f>
        <v/>
      </c>
    </row>
    <row r="429">
      <c r="R429" s="17">
        <f>IF($D$4="","",IF(INDEX($A429:$P429,$D$4)="","",IF(ISNUMBER(INDEX($A429:$P429,$D$4)),INDEX($A429:$P429,$D$4),IFERROR(DATEVALUE(INDEX($A429:$P429,$D$4)),""))))</f>
        <v/>
      </c>
      <c r="S429">
        <f>IF(OR(R429="",$D$6=""),"",IF(LEFT(INDEX($A429:$P429,$D$6),LEN(Inputs!$C$24))=Inputs!$C$24,INDEX($A429:$P429,$D$6),""))</f>
        <v/>
      </c>
      <c r="T429">
        <f>IF(OR(R429="",$D$7=""),"",TRIM(IFERROR(LEFT(INDEX($A429:$P429,$D$7),FIND(",",INDEX($A429:$P429,$D$7))-1),INDEX($A429:$P429,$D$7))))</f>
        <v/>
      </c>
      <c r="U429" s="32">
        <f>IF(OR(R429="",$D$5=""),0,IFERROR(IF(ISNUMBER(INDEX($A429:$P429,$D$5)),INDEX($A429:$P429,$D$5),TIMEVALUE(INDEX($A429:$P429,$D$5)))*Inputs!$C$22,0))</f>
        <v/>
      </c>
    </row>
    <row r="430">
      <c r="R430" s="17">
        <f>IF($D$4="","",IF(INDEX($A430:$P430,$D$4)="","",IF(ISNUMBER(INDEX($A430:$P430,$D$4)),INDEX($A430:$P430,$D$4),IFERROR(DATEVALUE(INDEX($A430:$P430,$D$4)),""))))</f>
        <v/>
      </c>
      <c r="S430">
        <f>IF(OR(R430="",$D$6=""),"",IF(LEFT(INDEX($A430:$P430,$D$6),LEN(Inputs!$C$24))=Inputs!$C$24,INDEX($A430:$P430,$D$6),""))</f>
        <v/>
      </c>
      <c r="T430">
        <f>IF(OR(R430="",$D$7=""),"",TRIM(IFERROR(LEFT(INDEX($A430:$P430,$D$7),FIND(",",INDEX($A430:$P430,$D$7))-1),INDEX($A430:$P430,$D$7))))</f>
        <v/>
      </c>
      <c r="U430" s="32">
        <f>IF(OR(R430="",$D$5=""),0,IFERROR(IF(ISNUMBER(INDEX($A430:$P430,$D$5)),INDEX($A430:$P430,$D$5),TIMEVALUE(INDEX($A430:$P430,$D$5)))*Inputs!$C$22,0))</f>
        <v/>
      </c>
    </row>
    <row r="431">
      <c r="R431" s="17">
        <f>IF($D$4="","",IF(INDEX($A431:$P431,$D$4)="","",IF(ISNUMBER(INDEX($A431:$P431,$D$4)),INDEX($A431:$P431,$D$4),IFERROR(DATEVALUE(INDEX($A431:$P431,$D$4)),""))))</f>
        <v/>
      </c>
      <c r="S431">
        <f>IF(OR(R431="",$D$6=""),"",IF(LEFT(INDEX($A431:$P431,$D$6),LEN(Inputs!$C$24))=Inputs!$C$24,INDEX($A431:$P431,$D$6),""))</f>
        <v/>
      </c>
      <c r="T431">
        <f>IF(OR(R431="",$D$7=""),"",TRIM(IFERROR(LEFT(INDEX($A431:$P431,$D$7),FIND(",",INDEX($A431:$P431,$D$7))-1),INDEX($A431:$P431,$D$7))))</f>
        <v/>
      </c>
      <c r="U431" s="32">
        <f>IF(OR(R431="",$D$5=""),0,IFERROR(IF(ISNUMBER(INDEX($A431:$P431,$D$5)),INDEX($A431:$P431,$D$5),TIMEVALUE(INDEX($A431:$P431,$D$5)))*Inputs!$C$22,0))</f>
        <v/>
      </c>
    </row>
    <row r="432">
      <c r="R432" s="17">
        <f>IF($D$4="","",IF(INDEX($A432:$P432,$D$4)="","",IF(ISNUMBER(INDEX($A432:$P432,$D$4)),INDEX($A432:$P432,$D$4),IFERROR(DATEVALUE(INDEX($A432:$P432,$D$4)),""))))</f>
        <v/>
      </c>
      <c r="S432">
        <f>IF(OR(R432="",$D$6=""),"",IF(LEFT(INDEX($A432:$P432,$D$6),LEN(Inputs!$C$24))=Inputs!$C$24,INDEX($A432:$P432,$D$6),""))</f>
        <v/>
      </c>
      <c r="T432">
        <f>IF(OR(R432="",$D$7=""),"",TRIM(IFERROR(LEFT(INDEX($A432:$P432,$D$7),FIND(",",INDEX($A432:$P432,$D$7))-1),INDEX($A432:$P432,$D$7))))</f>
        <v/>
      </c>
      <c r="U432" s="32">
        <f>IF(OR(R432="",$D$5=""),0,IFERROR(IF(ISNUMBER(INDEX($A432:$P432,$D$5)),INDEX($A432:$P432,$D$5),TIMEVALUE(INDEX($A432:$P432,$D$5)))*Inputs!$C$22,0))</f>
        <v/>
      </c>
    </row>
    <row r="433">
      <c r="R433" s="17">
        <f>IF($D$4="","",IF(INDEX($A433:$P433,$D$4)="","",IF(ISNUMBER(INDEX($A433:$P433,$D$4)),INDEX($A433:$P433,$D$4),IFERROR(DATEVALUE(INDEX($A433:$P433,$D$4)),""))))</f>
        <v/>
      </c>
      <c r="S433">
        <f>IF(OR(R433="",$D$6=""),"",IF(LEFT(INDEX($A433:$P433,$D$6),LEN(Inputs!$C$24))=Inputs!$C$24,INDEX($A433:$P433,$D$6),""))</f>
        <v/>
      </c>
      <c r="T433">
        <f>IF(OR(R433="",$D$7=""),"",TRIM(IFERROR(LEFT(INDEX($A433:$P433,$D$7),FIND(",",INDEX($A433:$P433,$D$7))-1),INDEX($A433:$P433,$D$7))))</f>
        <v/>
      </c>
      <c r="U433" s="32">
        <f>IF(OR(R433="",$D$5=""),0,IFERROR(IF(ISNUMBER(INDEX($A433:$P433,$D$5)),INDEX($A433:$P433,$D$5),TIMEVALUE(INDEX($A433:$P433,$D$5)))*Inputs!$C$22,0))</f>
        <v/>
      </c>
    </row>
    <row r="434">
      <c r="R434" s="17">
        <f>IF($D$4="","",IF(INDEX($A434:$P434,$D$4)="","",IF(ISNUMBER(INDEX($A434:$P434,$D$4)),INDEX($A434:$P434,$D$4),IFERROR(DATEVALUE(INDEX($A434:$P434,$D$4)),""))))</f>
        <v/>
      </c>
      <c r="S434">
        <f>IF(OR(R434="",$D$6=""),"",IF(LEFT(INDEX($A434:$P434,$D$6),LEN(Inputs!$C$24))=Inputs!$C$24,INDEX($A434:$P434,$D$6),""))</f>
        <v/>
      </c>
      <c r="T434">
        <f>IF(OR(R434="",$D$7=""),"",TRIM(IFERROR(LEFT(INDEX($A434:$P434,$D$7),FIND(",",INDEX($A434:$P434,$D$7))-1),INDEX($A434:$P434,$D$7))))</f>
        <v/>
      </c>
      <c r="U434" s="32">
        <f>IF(OR(R434="",$D$5=""),0,IFERROR(IF(ISNUMBER(INDEX($A434:$P434,$D$5)),INDEX($A434:$P434,$D$5),TIMEVALUE(INDEX($A434:$P434,$D$5)))*Inputs!$C$22,0))</f>
        <v/>
      </c>
    </row>
    <row r="435">
      <c r="R435" s="17">
        <f>IF($D$4="","",IF(INDEX($A435:$P435,$D$4)="","",IF(ISNUMBER(INDEX($A435:$P435,$D$4)),INDEX($A435:$P435,$D$4),IFERROR(DATEVALUE(INDEX($A435:$P435,$D$4)),""))))</f>
        <v/>
      </c>
      <c r="S435">
        <f>IF(OR(R435="",$D$6=""),"",IF(LEFT(INDEX($A435:$P435,$D$6),LEN(Inputs!$C$24))=Inputs!$C$24,INDEX($A435:$P435,$D$6),""))</f>
        <v/>
      </c>
      <c r="T435">
        <f>IF(OR(R435="",$D$7=""),"",TRIM(IFERROR(LEFT(INDEX($A435:$P435,$D$7),FIND(",",INDEX($A435:$P435,$D$7))-1),INDEX($A435:$P435,$D$7))))</f>
        <v/>
      </c>
      <c r="U435" s="32">
        <f>IF(OR(R435="",$D$5=""),0,IFERROR(IF(ISNUMBER(INDEX($A435:$P435,$D$5)),INDEX($A435:$P435,$D$5),TIMEVALUE(INDEX($A435:$P435,$D$5)))*Inputs!$C$22,0))</f>
        <v/>
      </c>
    </row>
    <row r="436">
      <c r="R436" s="17">
        <f>IF($D$4="","",IF(INDEX($A436:$P436,$D$4)="","",IF(ISNUMBER(INDEX($A436:$P436,$D$4)),INDEX($A436:$P436,$D$4),IFERROR(DATEVALUE(INDEX($A436:$P436,$D$4)),""))))</f>
        <v/>
      </c>
      <c r="S436">
        <f>IF(OR(R436="",$D$6=""),"",IF(LEFT(INDEX($A436:$P436,$D$6),LEN(Inputs!$C$24))=Inputs!$C$24,INDEX($A436:$P436,$D$6),""))</f>
        <v/>
      </c>
      <c r="T436">
        <f>IF(OR(R436="",$D$7=""),"",TRIM(IFERROR(LEFT(INDEX($A436:$P436,$D$7),FIND(",",INDEX($A436:$P436,$D$7))-1),INDEX($A436:$P436,$D$7))))</f>
        <v/>
      </c>
      <c r="U436" s="32">
        <f>IF(OR(R436="",$D$5=""),0,IFERROR(IF(ISNUMBER(INDEX($A436:$P436,$D$5)),INDEX($A436:$P436,$D$5),TIMEVALUE(INDEX($A436:$P436,$D$5)))*Inputs!$C$22,0))</f>
        <v/>
      </c>
    </row>
    <row r="437">
      <c r="R437" s="17">
        <f>IF($D$4="","",IF(INDEX($A437:$P437,$D$4)="","",IF(ISNUMBER(INDEX($A437:$P437,$D$4)),INDEX($A437:$P437,$D$4),IFERROR(DATEVALUE(INDEX($A437:$P437,$D$4)),""))))</f>
        <v/>
      </c>
      <c r="S437">
        <f>IF(OR(R437="",$D$6=""),"",IF(LEFT(INDEX($A437:$P437,$D$6),LEN(Inputs!$C$24))=Inputs!$C$24,INDEX($A437:$P437,$D$6),""))</f>
        <v/>
      </c>
      <c r="T437">
        <f>IF(OR(R437="",$D$7=""),"",TRIM(IFERROR(LEFT(INDEX($A437:$P437,$D$7),FIND(",",INDEX($A437:$P437,$D$7))-1),INDEX($A437:$P437,$D$7))))</f>
        <v/>
      </c>
      <c r="U437" s="32">
        <f>IF(OR(R437="",$D$5=""),0,IFERROR(IF(ISNUMBER(INDEX($A437:$P437,$D$5)),INDEX($A437:$P437,$D$5),TIMEVALUE(INDEX($A437:$P437,$D$5)))*Inputs!$C$22,0))</f>
        <v/>
      </c>
    </row>
    <row r="438">
      <c r="R438" s="17">
        <f>IF($D$4="","",IF(INDEX($A438:$P438,$D$4)="","",IF(ISNUMBER(INDEX($A438:$P438,$D$4)),INDEX($A438:$P438,$D$4),IFERROR(DATEVALUE(INDEX($A438:$P438,$D$4)),""))))</f>
        <v/>
      </c>
      <c r="S438">
        <f>IF(OR(R438="",$D$6=""),"",IF(LEFT(INDEX($A438:$P438,$D$6),LEN(Inputs!$C$24))=Inputs!$C$24,INDEX($A438:$P438,$D$6),""))</f>
        <v/>
      </c>
      <c r="T438">
        <f>IF(OR(R438="",$D$7=""),"",TRIM(IFERROR(LEFT(INDEX($A438:$P438,$D$7),FIND(",",INDEX($A438:$P438,$D$7))-1),INDEX($A438:$P438,$D$7))))</f>
        <v/>
      </c>
      <c r="U438" s="32">
        <f>IF(OR(R438="",$D$5=""),0,IFERROR(IF(ISNUMBER(INDEX($A438:$P438,$D$5)),INDEX($A438:$P438,$D$5),TIMEVALUE(INDEX($A438:$P438,$D$5)))*Inputs!$C$22,0))</f>
        <v/>
      </c>
    </row>
    <row r="439">
      <c r="R439" s="17">
        <f>IF($D$4="","",IF(INDEX($A439:$P439,$D$4)="","",IF(ISNUMBER(INDEX($A439:$P439,$D$4)),INDEX($A439:$P439,$D$4),IFERROR(DATEVALUE(INDEX($A439:$P439,$D$4)),""))))</f>
        <v/>
      </c>
      <c r="S439">
        <f>IF(OR(R439="",$D$6=""),"",IF(LEFT(INDEX($A439:$P439,$D$6),LEN(Inputs!$C$24))=Inputs!$C$24,INDEX($A439:$P439,$D$6),""))</f>
        <v/>
      </c>
      <c r="T439">
        <f>IF(OR(R439="",$D$7=""),"",TRIM(IFERROR(LEFT(INDEX($A439:$P439,$D$7),FIND(",",INDEX($A439:$P439,$D$7))-1),INDEX($A439:$P439,$D$7))))</f>
        <v/>
      </c>
      <c r="U439" s="32">
        <f>IF(OR(R439="",$D$5=""),0,IFERROR(IF(ISNUMBER(INDEX($A439:$P439,$D$5)),INDEX($A439:$P439,$D$5),TIMEVALUE(INDEX($A439:$P439,$D$5)))*Inputs!$C$22,0))</f>
        <v/>
      </c>
    </row>
    <row r="440">
      <c r="R440" s="17">
        <f>IF($D$4="","",IF(INDEX($A440:$P440,$D$4)="","",IF(ISNUMBER(INDEX($A440:$P440,$D$4)),INDEX($A440:$P440,$D$4),IFERROR(DATEVALUE(INDEX($A440:$P440,$D$4)),""))))</f>
        <v/>
      </c>
      <c r="S440">
        <f>IF(OR(R440="",$D$6=""),"",IF(LEFT(INDEX($A440:$P440,$D$6),LEN(Inputs!$C$24))=Inputs!$C$24,INDEX($A440:$P440,$D$6),""))</f>
        <v/>
      </c>
      <c r="T440">
        <f>IF(OR(R440="",$D$7=""),"",TRIM(IFERROR(LEFT(INDEX($A440:$P440,$D$7),FIND(",",INDEX($A440:$P440,$D$7))-1),INDEX($A440:$P440,$D$7))))</f>
        <v/>
      </c>
      <c r="U440" s="32">
        <f>IF(OR(R440="",$D$5=""),0,IFERROR(IF(ISNUMBER(INDEX($A440:$P440,$D$5)),INDEX($A440:$P440,$D$5),TIMEVALUE(INDEX($A440:$P440,$D$5)))*Inputs!$C$22,0))</f>
        <v/>
      </c>
    </row>
    <row r="441">
      <c r="R441" s="17">
        <f>IF($D$4="","",IF(INDEX($A441:$P441,$D$4)="","",IF(ISNUMBER(INDEX($A441:$P441,$D$4)),INDEX($A441:$P441,$D$4),IFERROR(DATEVALUE(INDEX($A441:$P441,$D$4)),""))))</f>
        <v/>
      </c>
      <c r="S441">
        <f>IF(OR(R441="",$D$6=""),"",IF(LEFT(INDEX($A441:$P441,$D$6),LEN(Inputs!$C$24))=Inputs!$C$24,INDEX($A441:$P441,$D$6),""))</f>
        <v/>
      </c>
      <c r="T441">
        <f>IF(OR(R441="",$D$7=""),"",TRIM(IFERROR(LEFT(INDEX($A441:$P441,$D$7),FIND(",",INDEX($A441:$P441,$D$7))-1),INDEX($A441:$P441,$D$7))))</f>
        <v/>
      </c>
      <c r="U441" s="32">
        <f>IF(OR(R441="",$D$5=""),0,IFERROR(IF(ISNUMBER(INDEX($A441:$P441,$D$5)),INDEX($A441:$P441,$D$5),TIMEVALUE(INDEX($A441:$P441,$D$5)))*Inputs!$C$22,0))</f>
        <v/>
      </c>
    </row>
    <row r="442">
      <c r="R442" s="17">
        <f>IF($D$4="","",IF(INDEX($A442:$P442,$D$4)="","",IF(ISNUMBER(INDEX($A442:$P442,$D$4)),INDEX($A442:$P442,$D$4),IFERROR(DATEVALUE(INDEX($A442:$P442,$D$4)),""))))</f>
        <v/>
      </c>
      <c r="S442">
        <f>IF(OR(R442="",$D$6=""),"",IF(LEFT(INDEX($A442:$P442,$D$6),LEN(Inputs!$C$24))=Inputs!$C$24,INDEX($A442:$P442,$D$6),""))</f>
        <v/>
      </c>
      <c r="T442">
        <f>IF(OR(R442="",$D$7=""),"",TRIM(IFERROR(LEFT(INDEX($A442:$P442,$D$7),FIND(",",INDEX($A442:$P442,$D$7))-1),INDEX($A442:$P442,$D$7))))</f>
        <v/>
      </c>
      <c r="U442" s="32">
        <f>IF(OR(R442="",$D$5=""),0,IFERROR(IF(ISNUMBER(INDEX($A442:$P442,$D$5)),INDEX($A442:$P442,$D$5),TIMEVALUE(INDEX($A442:$P442,$D$5)))*Inputs!$C$22,0))</f>
        <v/>
      </c>
    </row>
    <row r="443">
      <c r="R443" s="17">
        <f>IF($D$4="","",IF(INDEX($A443:$P443,$D$4)="","",IF(ISNUMBER(INDEX($A443:$P443,$D$4)),INDEX($A443:$P443,$D$4),IFERROR(DATEVALUE(INDEX($A443:$P443,$D$4)),""))))</f>
        <v/>
      </c>
      <c r="S443">
        <f>IF(OR(R443="",$D$6=""),"",IF(LEFT(INDEX($A443:$P443,$D$6),LEN(Inputs!$C$24))=Inputs!$C$24,INDEX($A443:$P443,$D$6),""))</f>
        <v/>
      </c>
      <c r="T443">
        <f>IF(OR(R443="",$D$7=""),"",TRIM(IFERROR(LEFT(INDEX($A443:$P443,$D$7),FIND(",",INDEX($A443:$P443,$D$7))-1),INDEX($A443:$P443,$D$7))))</f>
        <v/>
      </c>
      <c r="U443" s="32">
        <f>IF(OR(R443="",$D$5=""),0,IFERROR(IF(ISNUMBER(INDEX($A443:$P443,$D$5)),INDEX($A443:$P443,$D$5),TIMEVALUE(INDEX($A443:$P443,$D$5)))*Inputs!$C$22,0))</f>
        <v/>
      </c>
    </row>
    <row r="444">
      <c r="R444" s="17">
        <f>IF($D$4="","",IF(INDEX($A444:$P444,$D$4)="","",IF(ISNUMBER(INDEX($A444:$P444,$D$4)),INDEX($A444:$P444,$D$4),IFERROR(DATEVALUE(INDEX($A444:$P444,$D$4)),""))))</f>
        <v/>
      </c>
      <c r="S444">
        <f>IF(OR(R444="",$D$6=""),"",IF(LEFT(INDEX($A444:$P444,$D$6),LEN(Inputs!$C$24))=Inputs!$C$24,INDEX($A444:$P444,$D$6),""))</f>
        <v/>
      </c>
      <c r="T444">
        <f>IF(OR(R444="",$D$7=""),"",TRIM(IFERROR(LEFT(INDEX($A444:$P444,$D$7),FIND(",",INDEX($A444:$P444,$D$7))-1),INDEX($A444:$P444,$D$7))))</f>
        <v/>
      </c>
      <c r="U444" s="32">
        <f>IF(OR(R444="",$D$5=""),0,IFERROR(IF(ISNUMBER(INDEX($A444:$P444,$D$5)),INDEX($A444:$P444,$D$5),TIMEVALUE(INDEX($A444:$P444,$D$5)))*Inputs!$C$22,0))</f>
        <v/>
      </c>
    </row>
    <row r="445">
      <c r="R445" s="17">
        <f>IF($D$4="","",IF(INDEX($A445:$P445,$D$4)="","",IF(ISNUMBER(INDEX($A445:$P445,$D$4)),INDEX($A445:$P445,$D$4),IFERROR(DATEVALUE(INDEX($A445:$P445,$D$4)),""))))</f>
        <v/>
      </c>
      <c r="S445">
        <f>IF(OR(R445="",$D$6=""),"",IF(LEFT(INDEX($A445:$P445,$D$6),LEN(Inputs!$C$24))=Inputs!$C$24,INDEX($A445:$P445,$D$6),""))</f>
        <v/>
      </c>
      <c r="T445">
        <f>IF(OR(R445="",$D$7=""),"",TRIM(IFERROR(LEFT(INDEX($A445:$P445,$D$7),FIND(",",INDEX($A445:$P445,$D$7))-1),INDEX($A445:$P445,$D$7))))</f>
        <v/>
      </c>
      <c r="U445" s="32">
        <f>IF(OR(R445="",$D$5=""),0,IFERROR(IF(ISNUMBER(INDEX($A445:$P445,$D$5)),INDEX($A445:$P445,$D$5),TIMEVALUE(INDEX($A445:$P445,$D$5)))*Inputs!$C$22,0))</f>
        <v/>
      </c>
    </row>
    <row r="446">
      <c r="R446" s="17">
        <f>IF($D$4="","",IF(INDEX($A446:$P446,$D$4)="","",IF(ISNUMBER(INDEX($A446:$P446,$D$4)),INDEX($A446:$P446,$D$4),IFERROR(DATEVALUE(INDEX($A446:$P446,$D$4)),""))))</f>
        <v/>
      </c>
      <c r="S446">
        <f>IF(OR(R446="",$D$6=""),"",IF(LEFT(INDEX($A446:$P446,$D$6),LEN(Inputs!$C$24))=Inputs!$C$24,INDEX($A446:$P446,$D$6),""))</f>
        <v/>
      </c>
      <c r="T446">
        <f>IF(OR(R446="",$D$7=""),"",TRIM(IFERROR(LEFT(INDEX($A446:$P446,$D$7),FIND(",",INDEX($A446:$P446,$D$7))-1),INDEX($A446:$P446,$D$7))))</f>
        <v/>
      </c>
      <c r="U446" s="32">
        <f>IF(OR(R446="",$D$5=""),0,IFERROR(IF(ISNUMBER(INDEX($A446:$P446,$D$5)),INDEX($A446:$P446,$D$5),TIMEVALUE(INDEX($A446:$P446,$D$5)))*Inputs!$C$22,0))</f>
        <v/>
      </c>
    </row>
    <row r="447">
      <c r="R447" s="17">
        <f>IF($D$4="","",IF(INDEX($A447:$P447,$D$4)="","",IF(ISNUMBER(INDEX($A447:$P447,$D$4)),INDEX($A447:$P447,$D$4),IFERROR(DATEVALUE(INDEX($A447:$P447,$D$4)),""))))</f>
        <v/>
      </c>
      <c r="S447">
        <f>IF(OR(R447="",$D$6=""),"",IF(LEFT(INDEX($A447:$P447,$D$6),LEN(Inputs!$C$24))=Inputs!$C$24,INDEX($A447:$P447,$D$6),""))</f>
        <v/>
      </c>
      <c r="T447">
        <f>IF(OR(R447="",$D$7=""),"",TRIM(IFERROR(LEFT(INDEX($A447:$P447,$D$7),FIND(",",INDEX($A447:$P447,$D$7))-1),INDEX($A447:$P447,$D$7))))</f>
        <v/>
      </c>
      <c r="U447" s="32">
        <f>IF(OR(R447="",$D$5=""),0,IFERROR(IF(ISNUMBER(INDEX($A447:$P447,$D$5)),INDEX($A447:$P447,$D$5),TIMEVALUE(INDEX($A447:$P447,$D$5)))*Inputs!$C$22,0))</f>
        <v/>
      </c>
    </row>
    <row r="448">
      <c r="R448" s="17">
        <f>IF($D$4="","",IF(INDEX($A448:$P448,$D$4)="","",IF(ISNUMBER(INDEX($A448:$P448,$D$4)),INDEX($A448:$P448,$D$4),IFERROR(DATEVALUE(INDEX($A448:$P448,$D$4)),""))))</f>
        <v/>
      </c>
      <c r="S448">
        <f>IF(OR(R448="",$D$6=""),"",IF(LEFT(INDEX($A448:$P448,$D$6),LEN(Inputs!$C$24))=Inputs!$C$24,INDEX($A448:$P448,$D$6),""))</f>
        <v/>
      </c>
      <c r="T448">
        <f>IF(OR(R448="",$D$7=""),"",TRIM(IFERROR(LEFT(INDEX($A448:$P448,$D$7),FIND(",",INDEX($A448:$P448,$D$7))-1),INDEX($A448:$P448,$D$7))))</f>
        <v/>
      </c>
      <c r="U448" s="32">
        <f>IF(OR(R448="",$D$5=""),0,IFERROR(IF(ISNUMBER(INDEX($A448:$P448,$D$5)),INDEX($A448:$P448,$D$5),TIMEVALUE(INDEX($A448:$P448,$D$5)))*Inputs!$C$22,0))</f>
        <v/>
      </c>
    </row>
    <row r="449">
      <c r="R449" s="17">
        <f>IF($D$4="","",IF(INDEX($A449:$P449,$D$4)="","",IF(ISNUMBER(INDEX($A449:$P449,$D$4)),INDEX($A449:$P449,$D$4),IFERROR(DATEVALUE(INDEX($A449:$P449,$D$4)),""))))</f>
        <v/>
      </c>
      <c r="S449">
        <f>IF(OR(R449="",$D$6=""),"",IF(LEFT(INDEX($A449:$P449,$D$6),LEN(Inputs!$C$24))=Inputs!$C$24,INDEX($A449:$P449,$D$6),""))</f>
        <v/>
      </c>
      <c r="T449">
        <f>IF(OR(R449="",$D$7=""),"",TRIM(IFERROR(LEFT(INDEX($A449:$P449,$D$7),FIND(",",INDEX($A449:$P449,$D$7))-1),INDEX($A449:$P449,$D$7))))</f>
        <v/>
      </c>
      <c r="U449" s="32">
        <f>IF(OR(R449="",$D$5=""),0,IFERROR(IF(ISNUMBER(INDEX($A449:$P449,$D$5)),INDEX($A449:$P449,$D$5),TIMEVALUE(INDEX($A449:$P449,$D$5)))*Inputs!$C$22,0))</f>
        <v/>
      </c>
    </row>
    <row r="450">
      <c r="R450" s="17">
        <f>IF($D$4="","",IF(INDEX($A450:$P450,$D$4)="","",IF(ISNUMBER(INDEX($A450:$P450,$D$4)),INDEX($A450:$P450,$D$4),IFERROR(DATEVALUE(INDEX($A450:$P450,$D$4)),""))))</f>
        <v/>
      </c>
      <c r="S450">
        <f>IF(OR(R450="",$D$6=""),"",IF(LEFT(INDEX($A450:$P450,$D$6),LEN(Inputs!$C$24))=Inputs!$C$24,INDEX($A450:$P450,$D$6),""))</f>
        <v/>
      </c>
      <c r="T450">
        <f>IF(OR(R450="",$D$7=""),"",TRIM(IFERROR(LEFT(INDEX($A450:$P450,$D$7),FIND(",",INDEX($A450:$P450,$D$7))-1),INDEX($A450:$P450,$D$7))))</f>
        <v/>
      </c>
      <c r="U450" s="32">
        <f>IF(OR(R450="",$D$5=""),0,IFERROR(IF(ISNUMBER(INDEX($A450:$P450,$D$5)),INDEX($A450:$P450,$D$5),TIMEVALUE(INDEX($A450:$P450,$D$5)))*Inputs!$C$22,0))</f>
        <v/>
      </c>
    </row>
    <row r="451">
      <c r="R451" s="17">
        <f>IF($D$4="","",IF(INDEX($A451:$P451,$D$4)="","",IF(ISNUMBER(INDEX($A451:$P451,$D$4)),INDEX($A451:$P451,$D$4),IFERROR(DATEVALUE(INDEX($A451:$P451,$D$4)),""))))</f>
        <v/>
      </c>
      <c r="S451">
        <f>IF(OR(R451="",$D$6=""),"",IF(LEFT(INDEX($A451:$P451,$D$6),LEN(Inputs!$C$24))=Inputs!$C$24,INDEX($A451:$P451,$D$6),""))</f>
        <v/>
      </c>
      <c r="T451">
        <f>IF(OR(R451="",$D$7=""),"",TRIM(IFERROR(LEFT(INDEX($A451:$P451,$D$7),FIND(",",INDEX($A451:$P451,$D$7))-1),INDEX($A451:$P451,$D$7))))</f>
        <v/>
      </c>
      <c r="U451" s="32">
        <f>IF(OR(R451="",$D$5=""),0,IFERROR(IF(ISNUMBER(INDEX($A451:$P451,$D$5)),INDEX($A451:$P451,$D$5),TIMEVALUE(INDEX($A451:$P451,$D$5)))*Inputs!$C$22,0))</f>
        <v/>
      </c>
    </row>
    <row r="452">
      <c r="R452" s="17">
        <f>IF($D$4="","",IF(INDEX($A452:$P452,$D$4)="","",IF(ISNUMBER(INDEX($A452:$P452,$D$4)),INDEX($A452:$P452,$D$4),IFERROR(DATEVALUE(INDEX($A452:$P452,$D$4)),""))))</f>
        <v/>
      </c>
      <c r="S452">
        <f>IF(OR(R452="",$D$6=""),"",IF(LEFT(INDEX($A452:$P452,$D$6),LEN(Inputs!$C$24))=Inputs!$C$24,INDEX($A452:$P452,$D$6),""))</f>
        <v/>
      </c>
      <c r="T452">
        <f>IF(OR(R452="",$D$7=""),"",TRIM(IFERROR(LEFT(INDEX($A452:$P452,$D$7),FIND(",",INDEX($A452:$P452,$D$7))-1),INDEX($A452:$P452,$D$7))))</f>
        <v/>
      </c>
      <c r="U452" s="32">
        <f>IF(OR(R452="",$D$5=""),0,IFERROR(IF(ISNUMBER(INDEX($A452:$P452,$D$5)),INDEX($A452:$P452,$D$5),TIMEVALUE(INDEX($A452:$P452,$D$5)))*Inputs!$C$22,0))</f>
        <v/>
      </c>
    </row>
    <row r="453">
      <c r="R453" s="17">
        <f>IF($D$4="","",IF(INDEX($A453:$P453,$D$4)="","",IF(ISNUMBER(INDEX($A453:$P453,$D$4)),INDEX($A453:$P453,$D$4),IFERROR(DATEVALUE(INDEX($A453:$P453,$D$4)),""))))</f>
        <v/>
      </c>
      <c r="S453">
        <f>IF(OR(R453="",$D$6=""),"",IF(LEFT(INDEX($A453:$P453,$D$6),LEN(Inputs!$C$24))=Inputs!$C$24,INDEX($A453:$P453,$D$6),""))</f>
        <v/>
      </c>
      <c r="T453">
        <f>IF(OR(R453="",$D$7=""),"",TRIM(IFERROR(LEFT(INDEX($A453:$P453,$D$7),FIND(",",INDEX($A453:$P453,$D$7))-1),INDEX($A453:$P453,$D$7))))</f>
        <v/>
      </c>
      <c r="U453" s="32">
        <f>IF(OR(R453="",$D$5=""),0,IFERROR(IF(ISNUMBER(INDEX($A453:$P453,$D$5)),INDEX($A453:$P453,$D$5),TIMEVALUE(INDEX($A453:$P453,$D$5)))*Inputs!$C$22,0))</f>
        <v/>
      </c>
    </row>
    <row r="454">
      <c r="R454" s="17">
        <f>IF($D$4="","",IF(INDEX($A454:$P454,$D$4)="","",IF(ISNUMBER(INDEX($A454:$P454,$D$4)),INDEX($A454:$P454,$D$4),IFERROR(DATEVALUE(INDEX($A454:$P454,$D$4)),""))))</f>
        <v/>
      </c>
      <c r="S454">
        <f>IF(OR(R454="",$D$6=""),"",IF(LEFT(INDEX($A454:$P454,$D$6),LEN(Inputs!$C$24))=Inputs!$C$24,INDEX($A454:$P454,$D$6),""))</f>
        <v/>
      </c>
      <c r="T454">
        <f>IF(OR(R454="",$D$7=""),"",TRIM(IFERROR(LEFT(INDEX($A454:$P454,$D$7),FIND(",",INDEX($A454:$P454,$D$7))-1),INDEX($A454:$P454,$D$7))))</f>
        <v/>
      </c>
      <c r="U454" s="32">
        <f>IF(OR(R454="",$D$5=""),0,IFERROR(IF(ISNUMBER(INDEX($A454:$P454,$D$5)),INDEX($A454:$P454,$D$5),TIMEVALUE(INDEX($A454:$P454,$D$5)))*Inputs!$C$22,0))</f>
        <v/>
      </c>
    </row>
    <row r="455">
      <c r="R455" s="17">
        <f>IF($D$4="","",IF(INDEX($A455:$P455,$D$4)="","",IF(ISNUMBER(INDEX($A455:$P455,$D$4)),INDEX($A455:$P455,$D$4),IFERROR(DATEVALUE(INDEX($A455:$P455,$D$4)),""))))</f>
        <v/>
      </c>
      <c r="S455">
        <f>IF(OR(R455="",$D$6=""),"",IF(LEFT(INDEX($A455:$P455,$D$6),LEN(Inputs!$C$24))=Inputs!$C$24,INDEX($A455:$P455,$D$6),""))</f>
        <v/>
      </c>
      <c r="T455">
        <f>IF(OR(R455="",$D$7=""),"",TRIM(IFERROR(LEFT(INDEX($A455:$P455,$D$7),FIND(",",INDEX($A455:$P455,$D$7))-1),INDEX($A455:$P455,$D$7))))</f>
        <v/>
      </c>
      <c r="U455" s="32">
        <f>IF(OR(R455="",$D$5=""),0,IFERROR(IF(ISNUMBER(INDEX($A455:$P455,$D$5)),INDEX($A455:$P455,$D$5),TIMEVALUE(INDEX($A455:$P455,$D$5)))*Inputs!$C$22,0))</f>
        <v/>
      </c>
    </row>
    <row r="456">
      <c r="R456" s="17">
        <f>IF($D$4="","",IF(INDEX($A456:$P456,$D$4)="","",IF(ISNUMBER(INDEX($A456:$P456,$D$4)),INDEX($A456:$P456,$D$4),IFERROR(DATEVALUE(INDEX($A456:$P456,$D$4)),""))))</f>
        <v/>
      </c>
      <c r="S456">
        <f>IF(OR(R456="",$D$6=""),"",IF(LEFT(INDEX($A456:$P456,$D$6),LEN(Inputs!$C$24))=Inputs!$C$24,INDEX($A456:$P456,$D$6),""))</f>
        <v/>
      </c>
      <c r="T456">
        <f>IF(OR(R456="",$D$7=""),"",TRIM(IFERROR(LEFT(INDEX($A456:$P456,$D$7),FIND(",",INDEX($A456:$P456,$D$7))-1),INDEX($A456:$P456,$D$7))))</f>
        <v/>
      </c>
      <c r="U456" s="32">
        <f>IF(OR(R456="",$D$5=""),0,IFERROR(IF(ISNUMBER(INDEX($A456:$P456,$D$5)),INDEX($A456:$P456,$D$5),TIMEVALUE(INDEX($A456:$P456,$D$5)))*Inputs!$C$22,0))</f>
        <v/>
      </c>
    </row>
    <row r="457">
      <c r="R457" s="17">
        <f>IF($D$4="","",IF(INDEX($A457:$P457,$D$4)="","",IF(ISNUMBER(INDEX($A457:$P457,$D$4)),INDEX($A457:$P457,$D$4),IFERROR(DATEVALUE(INDEX($A457:$P457,$D$4)),""))))</f>
        <v/>
      </c>
      <c r="S457">
        <f>IF(OR(R457="",$D$6=""),"",IF(LEFT(INDEX($A457:$P457,$D$6),LEN(Inputs!$C$24))=Inputs!$C$24,INDEX($A457:$P457,$D$6),""))</f>
        <v/>
      </c>
      <c r="T457">
        <f>IF(OR(R457="",$D$7=""),"",TRIM(IFERROR(LEFT(INDEX($A457:$P457,$D$7),FIND(",",INDEX($A457:$P457,$D$7))-1),INDEX($A457:$P457,$D$7))))</f>
        <v/>
      </c>
      <c r="U457" s="32">
        <f>IF(OR(R457="",$D$5=""),0,IFERROR(IF(ISNUMBER(INDEX($A457:$P457,$D$5)),INDEX($A457:$P457,$D$5),TIMEVALUE(INDEX($A457:$P457,$D$5)))*Inputs!$C$22,0))</f>
        <v/>
      </c>
    </row>
    <row r="458">
      <c r="R458" s="17">
        <f>IF($D$4="","",IF(INDEX($A458:$P458,$D$4)="","",IF(ISNUMBER(INDEX($A458:$P458,$D$4)),INDEX($A458:$P458,$D$4),IFERROR(DATEVALUE(INDEX($A458:$P458,$D$4)),""))))</f>
        <v/>
      </c>
      <c r="S458">
        <f>IF(OR(R458="",$D$6=""),"",IF(LEFT(INDEX($A458:$P458,$D$6),LEN(Inputs!$C$24))=Inputs!$C$24,INDEX($A458:$P458,$D$6),""))</f>
        <v/>
      </c>
      <c r="T458">
        <f>IF(OR(R458="",$D$7=""),"",TRIM(IFERROR(LEFT(INDEX($A458:$P458,$D$7),FIND(",",INDEX($A458:$P458,$D$7))-1),INDEX($A458:$P458,$D$7))))</f>
        <v/>
      </c>
      <c r="U458" s="32">
        <f>IF(OR(R458="",$D$5=""),0,IFERROR(IF(ISNUMBER(INDEX($A458:$P458,$D$5)),INDEX($A458:$P458,$D$5),TIMEVALUE(INDEX($A458:$P458,$D$5)))*Inputs!$C$22,0))</f>
        <v/>
      </c>
    </row>
    <row r="459">
      <c r="R459" s="17">
        <f>IF($D$4="","",IF(INDEX($A459:$P459,$D$4)="","",IF(ISNUMBER(INDEX($A459:$P459,$D$4)),INDEX($A459:$P459,$D$4),IFERROR(DATEVALUE(INDEX($A459:$P459,$D$4)),""))))</f>
        <v/>
      </c>
      <c r="S459">
        <f>IF(OR(R459="",$D$6=""),"",IF(LEFT(INDEX($A459:$P459,$D$6),LEN(Inputs!$C$24))=Inputs!$C$24,INDEX($A459:$P459,$D$6),""))</f>
        <v/>
      </c>
      <c r="T459">
        <f>IF(OR(R459="",$D$7=""),"",TRIM(IFERROR(LEFT(INDEX($A459:$P459,$D$7),FIND(",",INDEX($A459:$P459,$D$7))-1),INDEX($A459:$P459,$D$7))))</f>
        <v/>
      </c>
      <c r="U459" s="32">
        <f>IF(OR(R459="",$D$5=""),0,IFERROR(IF(ISNUMBER(INDEX($A459:$P459,$D$5)),INDEX($A459:$P459,$D$5),TIMEVALUE(INDEX($A459:$P459,$D$5)))*Inputs!$C$22,0))</f>
        <v/>
      </c>
    </row>
    <row r="460">
      <c r="R460" s="17">
        <f>IF($D$4="","",IF(INDEX($A460:$P460,$D$4)="","",IF(ISNUMBER(INDEX($A460:$P460,$D$4)),INDEX($A460:$P460,$D$4),IFERROR(DATEVALUE(INDEX($A460:$P460,$D$4)),""))))</f>
        <v/>
      </c>
      <c r="S460">
        <f>IF(OR(R460="",$D$6=""),"",IF(LEFT(INDEX($A460:$P460,$D$6),LEN(Inputs!$C$24))=Inputs!$C$24,INDEX($A460:$P460,$D$6),""))</f>
        <v/>
      </c>
      <c r="T460">
        <f>IF(OR(R460="",$D$7=""),"",TRIM(IFERROR(LEFT(INDEX($A460:$P460,$D$7),FIND(",",INDEX($A460:$P460,$D$7))-1),INDEX($A460:$P460,$D$7))))</f>
        <v/>
      </c>
      <c r="U460" s="32">
        <f>IF(OR(R460="",$D$5=""),0,IFERROR(IF(ISNUMBER(INDEX($A460:$P460,$D$5)),INDEX($A460:$P460,$D$5),TIMEVALUE(INDEX($A460:$P460,$D$5)))*Inputs!$C$22,0))</f>
        <v/>
      </c>
    </row>
    <row r="461">
      <c r="R461" s="17">
        <f>IF($D$4="","",IF(INDEX($A461:$P461,$D$4)="","",IF(ISNUMBER(INDEX($A461:$P461,$D$4)),INDEX($A461:$P461,$D$4),IFERROR(DATEVALUE(INDEX($A461:$P461,$D$4)),""))))</f>
        <v/>
      </c>
      <c r="S461">
        <f>IF(OR(R461="",$D$6=""),"",IF(LEFT(INDEX($A461:$P461,$D$6),LEN(Inputs!$C$24))=Inputs!$C$24,INDEX($A461:$P461,$D$6),""))</f>
        <v/>
      </c>
      <c r="T461">
        <f>IF(OR(R461="",$D$7=""),"",TRIM(IFERROR(LEFT(INDEX($A461:$P461,$D$7),FIND(",",INDEX($A461:$P461,$D$7))-1),INDEX($A461:$P461,$D$7))))</f>
        <v/>
      </c>
      <c r="U461" s="32">
        <f>IF(OR(R461="",$D$5=""),0,IFERROR(IF(ISNUMBER(INDEX($A461:$P461,$D$5)),INDEX($A461:$P461,$D$5),TIMEVALUE(INDEX($A461:$P461,$D$5)))*Inputs!$C$22,0))</f>
        <v/>
      </c>
    </row>
    <row r="462">
      <c r="R462" s="17">
        <f>IF($D$4="","",IF(INDEX($A462:$P462,$D$4)="","",IF(ISNUMBER(INDEX($A462:$P462,$D$4)),INDEX($A462:$P462,$D$4),IFERROR(DATEVALUE(INDEX($A462:$P462,$D$4)),""))))</f>
        <v/>
      </c>
      <c r="S462">
        <f>IF(OR(R462="",$D$6=""),"",IF(LEFT(INDEX($A462:$P462,$D$6),LEN(Inputs!$C$24))=Inputs!$C$24,INDEX($A462:$P462,$D$6),""))</f>
        <v/>
      </c>
      <c r="T462">
        <f>IF(OR(R462="",$D$7=""),"",TRIM(IFERROR(LEFT(INDEX($A462:$P462,$D$7),FIND(",",INDEX($A462:$P462,$D$7))-1),INDEX($A462:$P462,$D$7))))</f>
        <v/>
      </c>
      <c r="U462" s="32">
        <f>IF(OR(R462="",$D$5=""),0,IFERROR(IF(ISNUMBER(INDEX($A462:$P462,$D$5)),INDEX($A462:$P462,$D$5),TIMEVALUE(INDEX($A462:$P462,$D$5)))*Inputs!$C$22,0))</f>
        <v/>
      </c>
    </row>
    <row r="463">
      <c r="R463" s="17">
        <f>IF($D$4="","",IF(INDEX($A463:$P463,$D$4)="","",IF(ISNUMBER(INDEX($A463:$P463,$D$4)),INDEX($A463:$P463,$D$4),IFERROR(DATEVALUE(INDEX($A463:$P463,$D$4)),""))))</f>
        <v/>
      </c>
      <c r="S463">
        <f>IF(OR(R463="",$D$6=""),"",IF(LEFT(INDEX($A463:$P463,$D$6),LEN(Inputs!$C$24))=Inputs!$C$24,INDEX($A463:$P463,$D$6),""))</f>
        <v/>
      </c>
      <c r="T463">
        <f>IF(OR(R463="",$D$7=""),"",TRIM(IFERROR(LEFT(INDEX($A463:$P463,$D$7),FIND(",",INDEX($A463:$P463,$D$7))-1),INDEX($A463:$P463,$D$7))))</f>
        <v/>
      </c>
      <c r="U463" s="32">
        <f>IF(OR(R463="",$D$5=""),0,IFERROR(IF(ISNUMBER(INDEX($A463:$P463,$D$5)),INDEX($A463:$P463,$D$5),TIMEVALUE(INDEX($A463:$P463,$D$5)))*Inputs!$C$22,0))</f>
        <v/>
      </c>
    </row>
    <row r="464">
      <c r="R464" s="17">
        <f>IF($D$4="","",IF(INDEX($A464:$P464,$D$4)="","",IF(ISNUMBER(INDEX($A464:$P464,$D$4)),INDEX($A464:$P464,$D$4),IFERROR(DATEVALUE(INDEX($A464:$P464,$D$4)),""))))</f>
        <v/>
      </c>
      <c r="S464">
        <f>IF(OR(R464="",$D$6=""),"",IF(LEFT(INDEX($A464:$P464,$D$6),LEN(Inputs!$C$24))=Inputs!$C$24,INDEX($A464:$P464,$D$6),""))</f>
        <v/>
      </c>
      <c r="T464">
        <f>IF(OR(R464="",$D$7=""),"",TRIM(IFERROR(LEFT(INDEX($A464:$P464,$D$7),FIND(",",INDEX($A464:$P464,$D$7))-1),INDEX($A464:$P464,$D$7))))</f>
        <v/>
      </c>
      <c r="U464" s="32">
        <f>IF(OR(R464="",$D$5=""),0,IFERROR(IF(ISNUMBER(INDEX($A464:$P464,$D$5)),INDEX($A464:$P464,$D$5),TIMEVALUE(INDEX($A464:$P464,$D$5)))*Inputs!$C$22,0))</f>
        <v/>
      </c>
    </row>
    <row r="465">
      <c r="R465" s="17">
        <f>IF($D$4="","",IF(INDEX($A465:$P465,$D$4)="","",IF(ISNUMBER(INDEX($A465:$P465,$D$4)),INDEX($A465:$P465,$D$4),IFERROR(DATEVALUE(INDEX($A465:$P465,$D$4)),""))))</f>
        <v/>
      </c>
      <c r="S465">
        <f>IF(OR(R465="",$D$6=""),"",IF(LEFT(INDEX($A465:$P465,$D$6),LEN(Inputs!$C$24))=Inputs!$C$24,INDEX($A465:$P465,$D$6),""))</f>
        <v/>
      </c>
      <c r="T465">
        <f>IF(OR(R465="",$D$7=""),"",TRIM(IFERROR(LEFT(INDEX($A465:$P465,$D$7),FIND(",",INDEX($A465:$P465,$D$7))-1),INDEX($A465:$P465,$D$7))))</f>
        <v/>
      </c>
      <c r="U465" s="32">
        <f>IF(OR(R465="",$D$5=""),0,IFERROR(IF(ISNUMBER(INDEX($A465:$P465,$D$5)),INDEX($A465:$P465,$D$5),TIMEVALUE(INDEX($A465:$P465,$D$5)))*Inputs!$C$22,0))</f>
        <v/>
      </c>
    </row>
    <row r="466">
      <c r="R466" s="17">
        <f>IF($D$4="","",IF(INDEX($A466:$P466,$D$4)="","",IF(ISNUMBER(INDEX($A466:$P466,$D$4)),INDEX($A466:$P466,$D$4),IFERROR(DATEVALUE(INDEX($A466:$P466,$D$4)),""))))</f>
        <v/>
      </c>
      <c r="S466">
        <f>IF(OR(R466="",$D$6=""),"",IF(LEFT(INDEX($A466:$P466,$D$6),LEN(Inputs!$C$24))=Inputs!$C$24,INDEX($A466:$P466,$D$6),""))</f>
        <v/>
      </c>
      <c r="T466">
        <f>IF(OR(R466="",$D$7=""),"",TRIM(IFERROR(LEFT(INDEX($A466:$P466,$D$7),FIND(",",INDEX($A466:$P466,$D$7))-1),INDEX($A466:$P466,$D$7))))</f>
        <v/>
      </c>
      <c r="U466" s="32">
        <f>IF(OR(R466="",$D$5=""),0,IFERROR(IF(ISNUMBER(INDEX($A466:$P466,$D$5)),INDEX($A466:$P466,$D$5),TIMEVALUE(INDEX($A466:$P466,$D$5)))*Inputs!$C$22,0))</f>
        <v/>
      </c>
    </row>
    <row r="467">
      <c r="R467" s="17">
        <f>IF($D$4="","",IF(INDEX($A467:$P467,$D$4)="","",IF(ISNUMBER(INDEX($A467:$P467,$D$4)),INDEX($A467:$P467,$D$4),IFERROR(DATEVALUE(INDEX($A467:$P467,$D$4)),""))))</f>
        <v/>
      </c>
      <c r="S467">
        <f>IF(OR(R467="",$D$6=""),"",IF(LEFT(INDEX($A467:$P467,$D$6),LEN(Inputs!$C$24))=Inputs!$C$24,INDEX($A467:$P467,$D$6),""))</f>
        <v/>
      </c>
      <c r="T467">
        <f>IF(OR(R467="",$D$7=""),"",TRIM(IFERROR(LEFT(INDEX($A467:$P467,$D$7),FIND(",",INDEX($A467:$P467,$D$7))-1),INDEX($A467:$P467,$D$7))))</f>
        <v/>
      </c>
      <c r="U467" s="32">
        <f>IF(OR(R467="",$D$5=""),0,IFERROR(IF(ISNUMBER(INDEX($A467:$P467,$D$5)),INDEX($A467:$P467,$D$5),TIMEVALUE(INDEX($A467:$P467,$D$5)))*Inputs!$C$22,0))</f>
        <v/>
      </c>
    </row>
    <row r="468">
      <c r="R468" s="17">
        <f>IF($D$4="","",IF(INDEX($A468:$P468,$D$4)="","",IF(ISNUMBER(INDEX($A468:$P468,$D$4)),INDEX($A468:$P468,$D$4),IFERROR(DATEVALUE(INDEX($A468:$P468,$D$4)),""))))</f>
        <v/>
      </c>
      <c r="S468">
        <f>IF(OR(R468="",$D$6=""),"",IF(LEFT(INDEX($A468:$P468,$D$6),LEN(Inputs!$C$24))=Inputs!$C$24,INDEX($A468:$P468,$D$6),""))</f>
        <v/>
      </c>
      <c r="T468">
        <f>IF(OR(R468="",$D$7=""),"",TRIM(IFERROR(LEFT(INDEX($A468:$P468,$D$7),FIND(",",INDEX($A468:$P468,$D$7))-1),INDEX($A468:$P468,$D$7))))</f>
        <v/>
      </c>
      <c r="U468" s="32">
        <f>IF(OR(R468="",$D$5=""),0,IFERROR(IF(ISNUMBER(INDEX($A468:$P468,$D$5)),INDEX($A468:$P468,$D$5),TIMEVALUE(INDEX($A468:$P468,$D$5)))*Inputs!$C$22,0))</f>
        <v/>
      </c>
    </row>
    <row r="469">
      <c r="R469" s="17">
        <f>IF($D$4="","",IF(INDEX($A469:$P469,$D$4)="","",IF(ISNUMBER(INDEX($A469:$P469,$D$4)),INDEX($A469:$P469,$D$4),IFERROR(DATEVALUE(INDEX($A469:$P469,$D$4)),""))))</f>
        <v/>
      </c>
      <c r="S469">
        <f>IF(OR(R469="",$D$6=""),"",IF(LEFT(INDEX($A469:$P469,$D$6),LEN(Inputs!$C$24))=Inputs!$C$24,INDEX($A469:$P469,$D$6),""))</f>
        <v/>
      </c>
      <c r="T469">
        <f>IF(OR(R469="",$D$7=""),"",TRIM(IFERROR(LEFT(INDEX($A469:$P469,$D$7),FIND(",",INDEX($A469:$P469,$D$7))-1),INDEX($A469:$P469,$D$7))))</f>
        <v/>
      </c>
      <c r="U469" s="32">
        <f>IF(OR(R469="",$D$5=""),0,IFERROR(IF(ISNUMBER(INDEX($A469:$P469,$D$5)),INDEX($A469:$P469,$D$5),TIMEVALUE(INDEX($A469:$P469,$D$5)))*Inputs!$C$22,0))</f>
        <v/>
      </c>
    </row>
    <row r="470">
      <c r="R470" s="17">
        <f>IF($D$4="","",IF(INDEX($A470:$P470,$D$4)="","",IF(ISNUMBER(INDEX($A470:$P470,$D$4)),INDEX($A470:$P470,$D$4),IFERROR(DATEVALUE(INDEX($A470:$P470,$D$4)),""))))</f>
        <v/>
      </c>
      <c r="S470">
        <f>IF(OR(R470="",$D$6=""),"",IF(LEFT(INDEX($A470:$P470,$D$6),LEN(Inputs!$C$24))=Inputs!$C$24,INDEX($A470:$P470,$D$6),""))</f>
        <v/>
      </c>
      <c r="T470">
        <f>IF(OR(R470="",$D$7=""),"",TRIM(IFERROR(LEFT(INDEX($A470:$P470,$D$7),FIND(",",INDEX($A470:$P470,$D$7))-1),INDEX($A470:$P470,$D$7))))</f>
        <v/>
      </c>
      <c r="U470" s="32">
        <f>IF(OR(R470="",$D$5=""),0,IFERROR(IF(ISNUMBER(INDEX($A470:$P470,$D$5)),INDEX($A470:$P470,$D$5),TIMEVALUE(INDEX($A470:$P470,$D$5)))*Inputs!$C$22,0))</f>
        <v/>
      </c>
    </row>
    <row r="471">
      <c r="R471" s="17">
        <f>IF($D$4="","",IF(INDEX($A471:$P471,$D$4)="","",IF(ISNUMBER(INDEX($A471:$P471,$D$4)),INDEX($A471:$P471,$D$4),IFERROR(DATEVALUE(INDEX($A471:$P471,$D$4)),""))))</f>
        <v/>
      </c>
      <c r="S471">
        <f>IF(OR(R471="",$D$6=""),"",IF(LEFT(INDEX($A471:$P471,$D$6),LEN(Inputs!$C$24))=Inputs!$C$24,INDEX($A471:$P471,$D$6),""))</f>
        <v/>
      </c>
      <c r="T471">
        <f>IF(OR(R471="",$D$7=""),"",TRIM(IFERROR(LEFT(INDEX($A471:$P471,$D$7),FIND(",",INDEX($A471:$P471,$D$7))-1),INDEX($A471:$P471,$D$7))))</f>
        <v/>
      </c>
      <c r="U471" s="32">
        <f>IF(OR(R471="",$D$5=""),0,IFERROR(IF(ISNUMBER(INDEX($A471:$P471,$D$5)),INDEX($A471:$P471,$D$5),TIMEVALUE(INDEX($A471:$P471,$D$5)))*Inputs!$C$22,0))</f>
        <v/>
      </c>
    </row>
    <row r="472">
      <c r="R472" s="17">
        <f>IF($D$4="","",IF(INDEX($A472:$P472,$D$4)="","",IF(ISNUMBER(INDEX($A472:$P472,$D$4)),INDEX($A472:$P472,$D$4),IFERROR(DATEVALUE(INDEX($A472:$P472,$D$4)),""))))</f>
        <v/>
      </c>
      <c r="S472">
        <f>IF(OR(R472="",$D$6=""),"",IF(LEFT(INDEX($A472:$P472,$D$6),LEN(Inputs!$C$24))=Inputs!$C$24,INDEX($A472:$P472,$D$6),""))</f>
        <v/>
      </c>
      <c r="T472">
        <f>IF(OR(R472="",$D$7=""),"",TRIM(IFERROR(LEFT(INDEX($A472:$P472,$D$7),FIND(",",INDEX($A472:$P472,$D$7))-1),INDEX($A472:$P472,$D$7))))</f>
        <v/>
      </c>
      <c r="U472" s="32">
        <f>IF(OR(R472="",$D$5=""),0,IFERROR(IF(ISNUMBER(INDEX($A472:$P472,$D$5)),INDEX($A472:$P472,$D$5),TIMEVALUE(INDEX($A472:$P472,$D$5)))*Inputs!$C$22,0))</f>
        <v/>
      </c>
    </row>
    <row r="473">
      <c r="R473" s="17">
        <f>IF($D$4="","",IF(INDEX($A473:$P473,$D$4)="","",IF(ISNUMBER(INDEX($A473:$P473,$D$4)),INDEX($A473:$P473,$D$4),IFERROR(DATEVALUE(INDEX($A473:$P473,$D$4)),""))))</f>
        <v/>
      </c>
      <c r="S473">
        <f>IF(OR(R473="",$D$6=""),"",IF(LEFT(INDEX($A473:$P473,$D$6),LEN(Inputs!$C$24))=Inputs!$C$24,INDEX($A473:$P473,$D$6),""))</f>
        <v/>
      </c>
      <c r="T473">
        <f>IF(OR(R473="",$D$7=""),"",TRIM(IFERROR(LEFT(INDEX($A473:$P473,$D$7),FIND(",",INDEX($A473:$P473,$D$7))-1),INDEX($A473:$P473,$D$7))))</f>
        <v/>
      </c>
      <c r="U473" s="32">
        <f>IF(OR(R473="",$D$5=""),0,IFERROR(IF(ISNUMBER(INDEX($A473:$P473,$D$5)),INDEX($A473:$P473,$D$5),TIMEVALUE(INDEX($A473:$P473,$D$5)))*Inputs!$C$22,0))</f>
        <v/>
      </c>
    </row>
    <row r="474">
      <c r="R474" s="17">
        <f>IF($D$4="","",IF(INDEX($A474:$P474,$D$4)="","",IF(ISNUMBER(INDEX($A474:$P474,$D$4)),INDEX($A474:$P474,$D$4),IFERROR(DATEVALUE(INDEX($A474:$P474,$D$4)),""))))</f>
        <v/>
      </c>
      <c r="S474">
        <f>IF(OR(R474="",$D$6=""),"",IF(LEFT(INDEX($A474:$P474,$D$6),LEN(Inputs!$C$24))=Inputs!$C$24,INDEX($A474:$P474,$D$6),""))</f>
        <v/>
      </c>
      <c r="T474">
        <f>IF(OR(R474="",$D$7=""),"",TRIM(IFERROR(LEFT(INDEX($A474:$P474,$D$7),FIND(",",INDEX($A474:$P474,$D$7))-1),INDEX($A474:$P474,$D$7))))</f>
        <v/>
      </c>
      <c r="U474" s="32">
        <f>IF(OR(R474="",$D$5=""),0,IFERROR(IF(ISNUMBER(INDEX($A474:$P474,$D$5)),INDEX($A474:$P474,$D$5),TIMEVALUE(INDEX($A474:$P474,$D$5)))*Inputs!$C$22,0))</f>
        <v/>
      </c>
    </row>
    <row r="475">
      <c r="R475" s="17">
        <f>IF($D$4="","",IF(INDEX($A475:$P475,$D$4)="","",IF(ISNUMBER(INDEX($A475:$P475,$D$4)),INDEX($A475:$P475,$D$4),IFERROR(DATEVALUE(INDEX($A475:$P475,$D$4)),""))))</f>
        <v/>
      </c>
      <c r="S475">
        <f>IF(OR(R475="",$D$6=""),"",IF(LEFT(INDEX($A475:$P475,$D$6),LEN(Inputs!$C$24))=Inputs!$C$24,INDEX($A475:$P475,$D$6),""))</f>
        <v/>
      </c>
      <c r="T475">
        <f>IF(OR(R475="",$D$7=""),"",TRIM(IFERROR(LEFT(INDEX($A475:$P475,$D$7),FIND(",",INDEX($A475:$P475,$D$7))-1),INDEX($A475:$P475,$D$7))))</f>
        <v/>
      </c>
      <c r="U475" s="32">
        <f>IF(OR(R475="",$D$5=""),0,IFERROR(IF(ISNUMBER(INDEX($A475:$P475,$D$5)),INDEX($A475:$P475,$D$5),TIMEVALUE(INDEX($A475:$P475,$D$5)))*Inputs!$C$22,0))</f>
        <v/>
      </c>
    </row>
    <row r="476">
      <c r="R476" s="17">
        <f>IF($D$4="","",IF(INDEX($A476:$P476,$D$4)="","",IF(ISNUMBER(INDEX($A476:$P476,$D$4)),INDEX($A476:$P476,$D$4),IFERROR(DATEVALUE(INDEX($A476:$P476,$D$4)),""))))</f>
        <v/>
      </c>
      <c r="S476">
        <f>IF(OR(R476="",$D$6=""),"",IF(LEFT(INDEX($A476:$P476,$D$6),LEN(Inputs!$C$24))=Inputs!$C$24,INDEX($A476:$P476,$D$6),""))</f>
        <v/>
      </c>
      <c r="T476">
        <f>IF(OR(R476="",$D$7=""),"",TRIM(IFERROR(LEFT(INDEX($A476:$P476,$D$7),FIND(",",INDEX($A476:$P476,$D$7))-1),INDEX($A476:$P476,$D$7))))</f>
        <v/>
      </c>
      <c r="U476" s="32">
        <f>IF(OR(R476="",$D$5=""),0,IFERROR(IF(ISNUMBER(INDEX($A476:$P476,$D$5)),INDEX($A476:$P476,$D$5),TIMEVALUE(INDEX($A476:$P476,$D$5)))*Inputs!$C$22,0))</f>
        <v/>
      </c>
    </row>
    <row r="477">
      <c r="R477" s="17">
        <f>IF($D$4="","",IF(INDEX($A477:$P477,$D$4)="","",IF(ISNUMBER(INDEX($A477:$P477,$D$4)),INDEX($A477:$P477,$D$4),IFERROR(DATEVALUE(INDEX($A477:$P477,$D$4)),""))))</f>
        <v/>
      </c>
      <c r="S477">
        <f>IF(OR(R477="",$D$6=""),"",IF(LEFT(INDEX($A477:$P477,$D$6),LEN(Inputs!$C$24))=Inputs!$C$24,INDEX($A477:$P477,$D$6),""))</f>
        <v/>
      </c>
      <c r="T477">
        <f>IF(OR(R477="",$D$7=""),"",TRIM(IFERROR(LEFT(INDEX($A477:$P477,$D$7),FIND(",",INDEX($A477:$P477,$D$7))-1),INDEX($A477:$P477,$D$7))))</f>
        <v/>
      </c>
      <c r="U477" s="32">
        <f>IF(OR(R477="",$D$5=""),0,IFERROR(IF(ISNUMBER(INDEX($A477:$P477,$D$5)),INDEX($A477:$P477,$D$5),TIMEVALUE(INDEX($A477:$P477,$D$5)))*Inputs!$C$22,0))</f>
        <v/>
      </c>
    </row>
    <row r="478">
      <c r="R478" s="17">
        <f>IF($D$4="","",IF(INDEX($A478:$P478,$D$4)="","",IF(ISNUMBER(INDEX($A478:$P478,$D$4)),INDEX($A478:$P478,$D$4),IFERROR(DATEVALUE(INDEX($A478:$P478,$D$4)),""))))</f>
        <v/>
      </c>
      <c r="S478">
        <f>IF(OR(R478="",$D$6=""),"",IF(LEFT(INDEX($A478:$P478,$D$6),LEN(Inputs!$C$24))=Inputs!$C$24,INDEX($A478:$P478,$D$6),""))</f>
        <v/>
      </c>
      <c r="T478">
        <f>IF(OR(R478="",$D$7=""),"",TRIM(IFERROR(LEFT(INDEX($A478:$P478,$D$7),FIND(",",INDEX($A478:$P478,$D$7))-1),INDEX($A478:$P478,$D$7))))</f>
        <v/>
      </c>
      <c r="U478" s="32">
        <f>IF(OR(R478="",$D$5=""),0,IFERROR(IF(ISNUMBER(INDEX($A478:$P478,$D$5)),INDEX($A478:$P478,$D$5),TIMEVALUE(INDEX($A478:$P478,$D$5)))*Inputs!$C$22,0))</f>
        <v/>
      </c>
    </row>
    <row r="479">
      <c r="R479" s="17">
        <f>IF($D$4="","",IF(INDEX($A479:$P479,$D$4)="","",IF(ISNUMBER(INDEX($A479:$P479,$D$4)),INDEX($A479:$P479,$D$4),IFERROR(DATEVALUE(INDEX($A479:$P479,$D$4)),""))))</f>
        <v/>
      </c>
      <c r="S479">
        <f>IF(OR(R479="",$D$6=""),"",IF(LEFT(INDEX($A479:$P479,$D$6),LEN(Inputs!$C$24))=Inputs!$C$24,INDEX($A479:$P479,$D$6),""))</f>
        <v/>
      </c>
      <c r="T479">
        <f>IF(OR(R479="",$D$7=""),"",TRIM(IFERROR(LEFT(INDEX($A479:$P479,$D$7),FIND(",",INDEX($A479:$P479,$D$7))-1),INDEX($A479:$P479,$D$7))))</f>
        <v/>
      </c>
      <c r="U479" s="32">
        <f>IF(OR(R479="",$D$5=""),0,IFERROR(IF(ISNUMBER(INDEX($A479:$P479,$D$5)),INDEX($A479:$P479,$D$5),TIMEVALUE(INDEX($A479:$P479,$D$5)))*Inputs!$C$22,0))</f>
        <v/>
      </c>
    </row>
    <row r="480">
      <c r="R480" s="17">
        <f>IF($D$4="","",IF(INDEX($A480:$P480,$D$4)="","",IF(ISNUMBER(INDEX($A480:$P480,$D$4)),INDEX($A480:$P480,$D$4),IFERROR(DATEVALUE(INDEX($A480:$P480,$D$4)),""))))</f>
        <v/>
      </c>
      <c r="S480">
        <f>IF(OR(R480="",$D$6=""),"",IF(LEFT(INDEX($A480:$P480,$D$6),LEN(Inputs!$C$24))=Inputs!$C$24,INDEX($A480:$P480,$D$6),""))</f>
        <v/>
      </c>
      <c r="T480">
        <f>IF(OR(R480="",$D$7=""),"",TRIM(IFERROR(LEFT(INDEX($A480:$P480,$D$7),FIND(",",INDEX($A480:$P480,$D$7))-1),INDEX($A480:$P480,$D$7))))</f>
        <v/>
      </c>
      <c r="U480" s="32">
        <f>IF(OR(R480="",$D$5=""),0,IFERROR(IF(ISNUMBER(INDEX($A480:$P480,$D$5)),INDEX($A480:$P480,$D$5),TIMEVALUE(INDEX($A480:$P480,$D$5)))*Inputs!$C$22,0))</f>
        <v/>
      </c>
    </row>
    <row r="481">
      <c r="R481" s="17">
        <f>IF($D$4="","",IF(INDEX($A481:$P481,$D$4)="","",IF(ISNUMBER(INDEX($A481:$P481,$D$4)),INDEX($A481:$P481,$D$4),IFERROR(DATEVALUE(INDEX($A481:$P481,$D$4)),""))))</f>
        <v/>
      </c>
      <c r="S481">
        <f>IF(OR(R481="",$D$6=""),"",IF(LEFT(INDEX($A481:$P481,$D$6),LEN(Inputs!$C$24))=Inputs!$C$24,INDEX($A481:$P481,$D$6),""))</f>
        <v/>
      </c>
      <c r="T481">
        <f>IF(OR(R481="",$D$7=""),"",TRIM(IFERROR(LEFT(INDEX($A481:$P481,$D$7),FIND(",",INDEX($A481:$P481,$D$7))-1),INDEX($A481:$P481,$D$7))))</f>
        <v/>
      </c>
      <c r="U481" s="32">
        <f>IF(OR(R481="",$D$5=""),0,IFERROR(IF(ISNUMBER(INDEX($A481:$P481,$D$5)),INDEX($A481:$P481,$D$5),TIMEVALUE(INDEX($A481:$P481,$D$5)))*Inputs!$C$22,0))</f>
        <v/>
      </c>
    </row>
    <row r="482">
      <c r="R482" s="17">
        <f>IF($D$4="","",IF(INDEX($A482:$P482,$D$4)="","",IF(ISNUMBER(INDEX($A482:$P482,$D$4)),INDEX($A482:$P482,$D$4),IFERROR(DATEVALUE(INDEX($A482:$P482,$D$4)),""))))</f>
        <v/>
      </c>
      <c r="S482">
        <f>IF(OR(R482="",$D$6=""),"",IF(LEFT(INDEX($A482:$P482,$D$6),LEN(Inputs!$C$24))=Inputs!$C$24,INDEX($A482:$P482,$D$6),""))</f>
        <v/>
      </c>
      <c r="T482">
        <f>IF(OR(R482="",$D$7=""),"",TRIM(IFERROR(LEFT(INDEX($A482:$P482,$D$7),FIND(",",INDEX($A482:$P482,$D$7))-1),INDEX($A482:$P482,$D$7))))</f>
        <v/>
      </c>
      <c r="U482" s="32">
        <f>IF(OR(R482="",$D$5=""),0,IFERROR(IF(ISNUMBER(INDEX($A482:$P482,$D$5)),INDEX($A482:$P482,$D$5),TIMEVALUE(INDEX($A482:$P482,$D$5)))*Inputs!$C$22,0))</f>
        <v/>
      </c>
    </row>
    <row r="483">
      <c r="R483" s="17">
        <f>IF($D$4="","",IF(INDEX($A483:$P483,$D$4)="","",IF(ISNUMBER(INDEX($A483:$P483,$D$4)),INDEX($A483:$P483,$D$4),IFERROR(DATEVALUE(INDEX($A483:$P483,$D$4)),""))))</f>
        <v/>
      </c>
      <c r="S483">
        <f>IF(OR(R483="",$D$6=""),"",IF(LEFT(INDEX($A483:$P483,$D$6),LEN(Inputs!$C$24))=Inputs!$C$24,INDEX($A483:$P483,$D$6),""))</f>
        <v/>
      </c>
      <c r="T483">
        <f>IF(OR(R483="",$D$7=""),"",TRIM(IFERROR(LEFT(INDEX($A483:$P483,$D$7),FIND(",",INDEX($A483:$P483,$D$7))-1),INDEX($A483:$P483,$D$7))))</f>
        <v/>
      </c>
      <c r="U483" s="32">
        <f>IF(OR(R483="",$D$5=""),0,IFERROR(IF(ISNUMBER(INDEX($A483:$P483,$D$5)),INDEX($A483:$P483,$D$5),TIMEVALUE(INDEX($A483:$P483,$D$5)))*Inputs!$C$22,0))</f>
        <v/>
      </c>
    </row>
    <row r="484">
      <c r="R484" s="17">
        <f>IF($D$4="","",IF(INDEX($A484:$P484,$D$4)="","",IF(ISNUMBER(INDEX($A484:$P484,$D$4)),INDEX($A484:$P484,$D$4),IFERROR(DATEVALUE(INDEX($A484:$P484,$D$4)),""))))</f>
        <v/>
      </c>
      <c r="S484">
        <f>IF(OR(R484="",$D$6=""),"",IF(LEFT(INDEX($A484:$P484,$D$6),LEN(Inputs!$C$24))=Inputs!$C$24,INDEX($A484:$P484,$D$6),""))</f>
        <v/>
      </c>
      <c r="T484">
        <f>IF(OR(R484="",$D$7=""),"",TRIM(IFERROR(LEFT(INDEX($A484:$P484,$D$7),FIND(",",INDEX($A484:$P484,$D$7))-1),INDEX($A484:$P484,$D$7))))</f>
        <v/>
      </c>
      <c r="U484" s="32">
        <f>IF(OR(R484="",$D$5=""),0,IFERROR(IF(ISNUMBER(INDEX($A484:$P484,$D$5)),INDEX($A484:$P484,$D$5),TIMEVALUE(INDEX($A484:$P484,$D$5)))*Inputs!$C$22,0))</f>
        <v/>
      </c>
    </row>
    <row r="485">
      <c r="R485" s="17">
        <f>IF($D$4="","",IF(INDEX($A485:$P485,$D$4)="","",IF(ISNUMBER(INDEX($A485:$P485,$D$4)),INDEX($A485:$P485,$D$4),IFERROR(DATEVALUE(INDEX($A485:$P485,$D$4)),""))))</f>
        <v/>
      </c>
      <c r="S485">
        <f>IF(OR(R485="",$D$6=""),"",IF(LEFT(INDEX($A485:$P485,$D$6),LEN(Inputs!$C$24))=Inputs!$C$24,INDEX($A485:$P485,$D$6),""))</f>
        <v/>
      </c>
      <c r="T485">
        <f>IF(OR(R485="",$D$7=""),"",TRIM(IFERROR(LEFT(INDEX($A485:$P485,$D$7),FIND(",",INDEX($A485:$P485,$D$7))-1),INDEX($A485:$P485,$D$7))))</f>
        <v/>
      </c>
      <c r="U485" s="32">
        <f>IF(OR(R485="",$D$5=""),0,IFERROR(IF(ISNUMBER(INDEX($A485:$P485,$D$5)),INDEX($A485:$P485,$D$5),TIMEVALUE(INDEX($A485:$P485,$D$5)))*Inputs!$C$22,0))</f>
        <v/>
      </c>
    </row>
    <row r="486">
      <c r="R486" s="17">
        <f>IF($D$4="","",IF(INDEX($A486:$P486,$D$4)="","",IF(ISNUMBER(INDEX($A486:$P486,$D$4)),INDEX($A486:$P486,$D$4),IFERROR(DATEVALUE(INDEX($A486:$P486,$D$4)),""))))</f>
        <v/>
      </c>
      <c r="S486">
        <f>IF(OR(R486="",$D$6=""),"",IF(LEFT(INDEX($A486:$P486,$D$6),LEN(Inputs!$C$24))=Inputs!$C$24,INDEX($A486:$P486,$D$6),""))</f>
        <v/>
      </c>
      <c r="T486">
        <f>IF(OR(R486="",$D$7=""),"",TRIM(IFERROR(LEFT(INDEX($A486:$P486,$D$7),FIND(",",INDEX($A486:$P486,$D$7))-1),INDEX($A486:$P486,$D$7))))</f>
        <v/>
      </c>
      <c r="U486" s="32">
        <f>IF(OR(R486="",$D$5=""),0,IFERROR(IF(ISNUMBER(INDEX($A486:$P486,$D$5)),INDEX($A486:$P486,$D$5),TIMEVALUE(INDEX($A486:$P486,$D$5)))*Inputs!$C$22,0))</f>
        <v/>
      </c>
    </row>
    <row r="487">
      <c r="R487" s="17">
        <f>IF($D$4="","",IF(INDEX($A487:$P487,$D$4)="","",IF(ISNUMBER(INDEX($A487:$P487,$D$4)),INDEX($A487:$P487,$D$4),IFERROR(DATEVALUE(INDEX($A487:$P487,$D$4)),""))))</f>
        <v/>
      </c>
      <c r="S487">
        <f>IF(OR(R487="",$D$6=""),"",IF(LEFT(INDEX($A487:$P487,$D$6),LEN(Inputs!$C$24))=Inputs!$C$24,INDEX($A487:$P487,$D$6),""))</f>
        <v/>
      </c>
      <c r="T487">
        <f>IF(OR(R487="",$D$7=""),"",TRIM(IFERROR(LEFT(INDEX($A487:$P487,$D$7),FIND(",",INDEX($A487:$P487,$D$7))-1),INDEX($A487:$P487,$D$7))))</f>
        <v/>
      </c>
      <c r="U487" s="32">
        <f>IF(OR(R487="",$D$5=""),0,IFERROR(IF(ISNUMBER(INDEX($A487:$P487,$D$5)),INDEX($A487:$P487,$D$5),TIMEVALUE(INDEX($A487:$P487,$D$5)))*Inputs!$C$22,0))</f>
        <v/>
      </c>
    </row>
    <row r="488">
      <c r="R488" s="17">
        <f>IF($D$4="","",IF(INDEX($A488:$P488,$D$4)="","",IF(ISNUMBER(INDEX($A488:$P488,$D$4)),INDEX($A488:$P488,$D$4),IFERROR(DATEVALUE(INDEX($A488:$P488,$D$4)),""))))</f>
        <v/>
      </c>
      <c r="S488">
        <f>IF(OR(R488="",$D$6=""),"",IF(LEFT(INDEX($A488:$P488,$D$6),LEN(Inputs!$C$24))=Inputs!$C$24,INDEX($A488:$P488,$D$6),""))</f>
        <v/>
      </c>
      <c r="T488">
        <f>IF(OR(R488="",$D$7=""),"",TRIM(IFERROR(LEFT(INDEX($A488:$P488,$D$7),FIND(",",INDEX($A488:$P488,$D$7))-1),INDEX($A488:$P488,$D$7))))</f>
        <v/>
      </c>
      <c r="U488" s="32">
        <f>IF(OR(R488="",$D$5=""),0,IFERROR(IF(ISNUMBER(INDEX($A488:$P488,$D$5)),INDEX($A488:$P488,$D$5),TIMEVALUE(INDEX($A488:$P488,$D$5)))*Inputs!$C$22,0))</f>
        <v/>
      </c>
    </row>
    <row r="489">
      <c r="R489" s="17">
        <f>IF($D$4="","",IF(INDEX($A489:$P489,$D$4)="","",IF(ISNUMBER(INDEX($A489:$P489,$D$4)),INDEX($A489:$P489,$D$4),IFERROR(DATEVALUE(INDEX($A489:$P489,$D$4)),""))))</f>
        <v/>
      </c>
      <c r="S489">
        <f>IF(OR(R489="",$D$6=""),"",IF(LEFT(INDEX($A489:$P489,$D$6),LEN(Inputs!$C$24))=Inputs!$C$24,INDEX($A489:$P489,$D$6),""))</f>
        <v/>
      </c>
      <c r="T489">
        <f>IF(OR(R489="",$D$7=""),"",TRIM(IFERROR(LEFT(INDEX($A489:$P489,$D$7),FIND(",",INDEX($A489:$P489,$D$7))-1),INDEX($A489:$P489,$D$7))))</f>
        <v/>
      </c>
      <c r="U489" s="32">
        <f>IF(OR(R489="",$D$5=""),0,IFERROR(IF(ISNUMBER(INDEX($A489:$P489,$D$5)),INDEX($A489:$P489,$D$5),TIMEVALUE(INDEX($A489:$P489,$D$5)))*Inputs!$C$22,0))</f>
        <v/>
      </c>
    </row>
    <row r="490">
      <c r="R490" s="17">
        <f>IF($D$4="","",IF(INDEX($A490:$P490,$D$4)="","",IF(ISNUMBER(INDEX($A490:$P490,$D$4)),INDEX($A490:$P490,$D$4),IFERROR(DATEVALUE(INDEX($A490:$P490,$D$4)),""))))</f>
        <v/>
      </c>
      <c r="S490">
        <f>IF(OR(R490="",$D$6=""),"",IF(LEFT(INDEX($A490:$P490,$D$6),LEN(Inputs!$C$24))=Inputs!$C$24,INDEX($A490:$P490,$D$6),""))</f>
        <v/>
      </c>
      <c r="T490">
        <f>IF(OR(R490="",$D$7=""),"",TRIM(IFERROR(LEFT(INDEX($A490:$P490,$D$7),FIND(",",INDEX($A490:$P490,$D$7))-1),INDEX($A490:$P490,$D$7))))</f>
        <v/>
      </c>
      <c r="U490" s="32">
        <f>IF(OR(R490="",$D$5=""),0,IFERROR(IF(ISNUMBER(INDEX($A490:$P490,$D$5)),INDEX($A490:$P490,$D$5),TIMEVALUE(INDEX($A490:$P490,$D$5)))*Inputs!$C$22,0))</f>
        <v/>
      </c>
    </row>
    <row r="491">
      <c r="R491" s="17">
        <f>IF($D$4="","",IF(INDEX($A491:$P491,$D$4)="","",IF(ISNUMBER(INDEX($A491:$P491,$D$4)),INDEX($A491:$P491,$D$4),IFERROR(DATEVALUE(INDEX($A491:$P491,$D$4)),""))))</f>
        <v/>
      </c>
      <c r="S491">
        <f>IF(OR(R491="",$D$6=""),"",IF(LEFT(INDEX($A491:$P491,$D$6),LEN(Inputs!$C$24))=Inputs!$C$24,INDEX($A491:$P491,$D$6),""))</f>
        <v/>
      </c>
      <c r="T491">
        <f>IF(OR(R491="",$D$7=""),"",TRIM(IFERROR(LEFT(INDEX($A491:$P491,$D$7),FIND(",",INDEX($A491:$P491,$D$7))-1),INDEX($A491:$P491,$D$7))))</f>
        <v/>
      </c>
      <c r="U491" s="32">
        <f>IF(OR(R491="",$D$5=""),0,IFERROR(IF(ISNUMBER(INDEX($A491:$P491,$D$5)),INDEX($A491:$P491,$D$5),TIMEVALUE(INDEX($A491:$P491,$D$5)))*Inputs!$C$22,0))</f>
        <v/>
      </c>
    </row>
    <row r="492">
      <c r="R492" s="17">
        <f>IF($D$4="","",IF(INDEX($A492:$P492,$D$4)="","",IF(ISNUMBER(INDEX($A492:$P492,$D$4)),INDEX($A492:$P492,$D$4),IFERROR(DATEVALUE(INDEX($A492:$P492,$D$4)),""))))</f>
        <v/>
      </c>
      <c r="S492">
        <f>IF(OR(R492="",$D$6=""),"",IF(LEFT(INDEX($A492:$P492,$D$6),LEN(Inputs!$C$24))=Inputs!$C$24,INDEX($A492:$P492,$D$6),""))</f>
        <v/>
      </c>
      <c r="T492">
        <f>IF(OR(R492="",$D$7=""),"",TRIM(IFERROR(LEFT(INDEX($A492:$P492,$D$7),FIND(",",INDEX($A492:$P492,$D$7))-1),INDEX($A492:$P492,$D$7))))</f>
        <v/>
      </c>
      <c r="U492" s="32">
        <f>IF(OR(R492="",$D$5=""),0,IFERROR(IF(ISNUMBER(INDEX($A492:$P492,$D$5)),INDEX($A492:$P492,$D$5),TIMEVALUE(INDEX($A492:$P492,$D$5)))*Inputs!$C$22,0))</f>
        <v/>
      </c>
    </row>
    <row r="493">
      <c r="R493" s="17">
        <f>IF($D$4="","",IF(INDEX($A493:$P493,$D$4)="","",IF(ISNUMBER(INDEX($A493:$P493,$D$4)),INDEX($A493:$P493,$D$4),IFERROR(DATEVALUE(INDEX($A493:$P493,$D$4)),""))))</f>
        <v/>
      </c>
      <c r="S493">
        <f>IF(OR(R493="",$D$6=""),"",IF(LEFT(INDEX($A493:$P493,$D$6),LEN(Inputs!$C$24))=Inputs!$C$24,INDEX($A493:$P493,$D$6),""))</f>
        <v/>
      </c>
      <c r="T493">
        <f>IF(OR(R493="",$D$7=""),"",TRIM(IFERROR(LEFT(INDEX($A493:$P493,$D$7),FIND(",",INDEX($A493:$P493,$D$7))-1),INDEX($A493:$P493,$D$7))))</f>
        <v/>
      </c>
      <c r="U493" s="32">
        <f>IF(OR(R493="",$D$5=""),0,IFERROR(IF(ISNUMBER(INDEX($A493:$P493,$D$5)),INDEX($A493:$P493,$D$5),TIMEVALUE(INDEX($A493:$P493,$D$5)))*Inputs!$C$22,0))</f>
        <v/>
      </c>
    </row>
    <row r="494">
      <c r="R494" s="17">
        <f>IF($D$4="","",IF(INDEX($A494:$P494,$D$4)="","",IF(ISNUMBER(INDEX($A494:$P494,$D$4)),INDEX($A494:$P494,$D$4),IFERROR(DATEVALUE(INDEX($A494:$P494,$D$4)),""))))</f>
        <v/>
      </c>
      <c r="S494">
        <f>IF(OR(R494="",$D$6=""),"",IF(LEFT(INDEX($A494:$P494,$D$6),LEN(Inputs!$C$24))=Inputs!$C$24,INDEX($A494:$P494,$D$6),""))</f>
        <v/>
      </c>
      <c r="T494">
        <f>IF(OR(R494="",$D$7=""),"",TRIM(IFERROR(LEFT(INDEX($A494:$P494,$D$7),FIND(",",INDEX($A494:$P494,$D$7))-1),INDEX($A494:$P494,$D$7))))</f>
        <v/>
      </c>
      <c r="U494" s="32">
        <f>IF(OR(R494="",$D$5=""),0,IFERROR(IF(ISNUMBER(INDEX($A494:$P494,$D$5)),INDEX($A494:$P494,$D$5),TIMEVALUE(INDEX($A494:$P494,$D$5)))*Inputs!$C$22,0))</f>
        <v/>
      </c>
    </row>
    <row r="495">
      <c r="R495" s="17">
        <f>IF($D$4="","",IF(INDEX($A495:$P495,$D$4)="","",IF(ISNUMBER(INDEX($A495:$P495,$D$4)),INDEX($A495:$P495,$D$4),IFERROR(DATEVALUE(INDEX($A495:$P495,$D$4)),""))))</f>
        <v/>
      </c>
      <c r="S495">
        <f>IF(OR(R495="",$D$6=""),"",IF(LEFT(INDEX($A495:$P495,$D$6),LEN(Inputs!$C$24))=Inputs!$C$24,INDEX($A495:$P495,$D$6),""))</f>
        <v/>
      </c>
      <c r="T495">
        <f>IF(OR(R495="",$D$7=""),"",TRIM(IFERROR(LEFT(INDEX($A495:$P495,$D$7),FIND(",",INDEX($A495:$P495,$D$7))-1),INDEX($A495:$P495,$D$7))))</f>
        <v/>
      </c>
      <c r="U495" s="32">
        <f>IF(OR(R495="",$D$5=""),0,IFERROR(IF(ISNUMBER(INDEX($A495:$P495,$D$5)),INDEX($A495:$P495,$D$5),TIMEVALUE(INDEX($A495:$P495,$D$5)))*Inputs!$C$22,0))</f>
        <v/>
      </c>
    </row>
    <row r="496">
      <c r="R496" s="17">
        <f>IF($D$4="","",IF(INDEX($A496:$P496,$D$4)="","",IF(ISNUMBER(INDEX($A496:$P496,$D$4)),INDEX($A496:$P496,$D$4),IFERROR(DATEVALUE(INDEX($A496:$P496,$D$4)),""))))</f>
        <v/>
      </c>
      <c r="S496">
        <f>IF(OR(R496="",$D$6=""),"",IF(LEFT(INDEX($A496:$P496,$D$6),LEN(Inputs!$C$24))=Inputs!$C$24,INDEX($A496:$P496,$D$6),""))</f>
        <v/>
      </c>
      <c r="T496">
        <f>IF(OR(R496="",$D$7=""),"",TRIM(IFERROR(LEFT(INDEX($A496:$P496,$D$7),FIND(",",INDEX($A496:$P496,$D$7))-1),INDEX($A496:$P496,$D$7))))</f>
        <v/>
      </c>
      <c r="U496" s="32">
        <f>IF(OR(R496="",$D$5=""),0,IFERROR(IF(ISNUMBER(INDEX($A496:$P496,$D$5)),INDEX($A496:$P496,$D$5),TIMEVALUE(INDEX($A496:$P496,$D$5)))*Inputs!$C$22,0))</f>
        <v/>
      </c>
    </row>
    <row r="497">
      <c r="R497" s="17">
        <f>IF($D$4="","",IF(INDEX($A497:$P497,$D$4)="","",IF(ISNUMBER(INDEX($A497:$P497,$D$4)),INDEX($A497:$P497,$D$4),IFERROR(DATEVALUE(INDEX($A497:$P497,$D$4)),""))))</f>
        <v/>
      </c>
      <c r="S497">
        <f>IF(OR(R497="",$D$6=""),"",IF(LEFT(INDEX($A497:$P497,$D$6),LEN(Inputs!$C$24))=Inputs!$C$24,INDEX($A497:$P497,$D$6),""))</f>
        <v/>
      </c>
      <c r="T497">
        <f>IF(OR(R497="",$D$7=""),"",TRIM(IFERROR(LEFT(INDEX($A497:$P497,$D$7),FIND(",",INDEX($A497:$P497,$D$7))-1),INDEX($A497:$P497,$D$7))))</f>
        <v/>
      </c>
      <c r="U497" s="32">
        <f>IF(OR(R497="",$D$5=""),0,IFERROR(IF(ISNUMBER(INDEX($A497:$P497,$D$5)),INDEX($A497:$P497,$D$5),TIMEVALUE(INDEX($A497:$P497,$D$5)))*Inputs!$C$22,0))</f>
        <v/>
      </c>
    </row>
    <row r="498">
      <c r="R498" s="17">
        <f>IF($D$4="","",IF(INDEX($A498:$P498,$D$4)="","",IF(ISNUMBER(INDEX($A498:$P498,$D$4)),INDEX($A498:$P498,$D$4),IFERROR(DATEVALUE(INDEX($A498:$P498,$D$4)),""))))</f>
        <v/>
      </c>
      <c r="S498">
        <f>IF(OR(R498="",$D$6=""),"",IF(LEFT(INDEX($A498:$P498,$D$6),LEN(Inputs!$C$24))=Inputs!$C$24,INDEX($A498:$P498,$D$6),""))</f>
        <v/>
      </c>
      <c r="T498">
        <f>IF(OR(R498="",$D$7=""),"",TRIM(IFERROR(LEFT(INDEX($A498:$P498,$D$7),FIND(",",INDEX($A498:$P498,$D$7))-1),INDEX($A498:$P498,$D$7))))</f>
        <v/>
      </c>
      <c r="U498" s="32">
        <f>IF(OR(R498="",$D$5=""),0,IFERROR(IF(ISNUMBER(INDEX($A498:$P498,$D$5)),INDEX($A498:$P498,$D$5),TIMEVALUE(INDEX($A498:$P498,$D$5)))*Inputs!$C$22,0))</f>
        <v/>
      </c>
    </row>
    <row r="499">
      <c r="R499" s="17">
        <f>IF($D$4="","",IF(INDEX($A499:$P499,$D$4)="","",IF(ISNUMBER(INDEX($A499:$P499,$D$4)),INDEX($A499:$P499,$D$4),IFERROR(DATEVALUE(INDEX($A499:$P499,$D$4)),""))))</f>
        <v/>
      </c>
      <c r="S499">
        <f>IF(OR(R499="",$D$6=""),"",IF(LEFT(INDEX($A499:$P499,$D$6),LEN(Inputs!$C$24))=Inputs!$C$24,INDEX($A499:$P499,$D$6),""))</f>
        <v/>
      </c>
      <c r="T499">
        <f>IF(OR(R499="",$D$7=""),"",TRIM(IFERROR(LEFT(INDEX($A499:$P499,$D$7),FIND(",",INDEX($A499:$P499,$D$7))-1),INDEX($A499:$P499,$D$7))))</f>
        <v/>
      </c>
      <c r="U499" s="32">
        <f>IF(OR(R499="",$D$5=""),0,IFERROR(IF(ISNUMBER(INDEX($A499:$P499,$D$5)),INDEX($A499:$P499,$D$5),TIMEVALUE(INDEX($A499:$P499,$D$5)))*Inputs!$C$22,0))</f>
        <v/>
      </c>
    </row>
    <row r="500">
      <c r="R500" s="17">
        <f>IF($D$4="","",IF(INDEX($A500:$P500,$D$4)="","",IF(ISNUMBER(INDEX($A500:$P500,$D$4)),INDEX($A500:$P500,$D$4),IFERROR(DATEVALUE(INDEX($A500:$P500,$D$4)),""))))</f>
        <v/>
      </c>
      <c r="S500">
        <f>IF(OR(R500="",$D$6=""),"",IF(LEFT(INDEX($A500:$P500,$D$6),LEN(Inputs!$C$24))=Inputs!$C$24,INDEX($A500:$P500,$D$6),""))</f>
        <v/>
      </c>
      <c r="T500">
        <f>IF(OR(R500="",$D$7=""),"",TRIM(IFERROR(LEFT(INDEX($A500:$P500,$D$7),FIND(",",INDEX($A500:$P500,$D$7))-1),INDEX($A500:$P500,$D$7))))</f>
        <v/>
      </c>
      <c r="U500" s="32">
        <f>IF(OR(R500="",$D$5=""),0,IFERROR(IF(ISNUMBER(INDEX($A500:$P500,$D$5)),INDEX($A500:$P500,$D$5),TIMEVALUE(INDEX($A500:$P500,$D$5)))*Inputs!$C$22,0))</f>
        <v/>
      </c>
    </row>
    <row r="501">
      <c r="R501" s="17">
        <f>IF($D$4="","",IF(INDEX($A501:$P501,$D$4)="","",IF(ISNUMBER(INDEX($A501:$P501,$D$4)),INDEX($A501:$P501,$D$4),IFERROR(DATEVALUE(INDEX($A501:$P501,$D$4)),""))))</f>
        <v/>
      </c>
      <c r="S501">
        <f>IF(OR(R501="",$D$6=""),"",IF(LEFT(INDEX($A501:$P501,$D$6),LEN(Inputs!$C$24))=Inputs!$C$24,INDEX($A501:$P501,$D$6),""))</f>
        <v/>
      </c>
      <c r="T501">
        <f>IF(OR(R501="",$D$7=""),"",TRIM(IFERROR(LEFT(INDEX($A501:$P501,$D$7),FIND(",",INDEX($A501:$P501,$D$7))-1),INDEX($A501:$P501,$D$7))))</f>
        <v/>
      </c>
      <c r="U501" s="32">
        <f>IF(OR(R501="",$D$5=""),0,IFERROR(IF(ISNUMBER(INDEX($A501:$P501,$D$5)),INDEX($A501:$P501,$D$5),TIMEVALUE(INDEX($A501:$P501,$D$5)))*Inputs!$C$22,0))</f>
        <v/>
      </c>
    </row>
    <row r="502">
      <c r="R502" s="17">
        <f>IF($D$4="","",IF(INDEX($A502:$P502,$D$4)="","",IF(ISNUMBER(INDEX($A502:$P502,$D$4)),INDEX($A502:$P502,$D$4),IFERROR(DATEVALUE(INDEX($A502:$P502,$D$4)),""))))</f>
        <v/>
      </c>
      <c r="S502">
        <f>IF(OR(R502="",$D$6=""),"",IF(LEFT(INDEX($A502:$P502,$D$6),LEN(Inputs!$C$24))=Inputs!$C$24,INDEX($A502:$P502,$D$6),""))</f>
        <v/>
      </c>
      <c r="T502">
        <f>IF(OR(R502="",$D$7=""),"",TRIM(IFERROR(LEFT(INDEX($A502:$P502,$D$7),FIND(",",INDEX($A502:$P502,$D$7))-1),INDEX($A502:$P502,$D$7))))</f>
        <v/>
      </c>
      <c r="U502" s="32">
        <f>IF(OR(R502="",$D$5=""),0,IFERROR(IF(ISNUMBER(INDEX($A502:$P502,$D$5)),INDEX($A502:$P502,$D$5),TIMEVALUE(INDEX($A502:$P502,$D$5)))*Inputs!$C$22,0))</f>
        <v/>
      </c>
    </row>
    <row r="503">
      <c r="R503" s="17">
        <f>IF($D$4="","",IF(INDEX($A503:$P503,$D$4)="","",IF(ISNUMBER(INDEX($A503:$P503,$D$4)),INDEX($A503:$P503,$D$4),IFERROR(DATEVALUE(INDEX($A503:$P503,$D$4)),""))))</f>
        <v/>
      </c>
      <c r="S503">
        <f>IF(OR(R503="",$D$6=""),"",IF(LEFT(INDEX($A503:$P503,$D$6),LEN(Inputs!$C$24))=Inputs!$C$24,INDEX($A503:$P503,$D$6),""))</f>
        <v/>
      </c>
      <c r="T503">
        <f>IF(OR(R503="",$D$7=""),"",TRIM(IFERROR(LEFT(INDEX($A503:$P503,$D$7),FIND(",",INDEX($A503:$P503,$D$7))-1),INDEX($A503:$P503,$D$7))))</f>
        <v/>
      </c>
      <c r="U503" s="32">
        <f>IF(OR(R503="",$D$5=""),0,IFERROR(IF(ISNUMBER(INDEX($A503:$P503,$D$5)),INDEX($A503:$P503,$D$5),TIMEVALUE(INDEX($A503:$P503,$D$5)))*Inputs!$C$22,0))</f>
        <v/>
      </c>
    </row>
    <row r="504">
      <c r="R504" s="17">
        <f>IF($D$4="","",IF(INDEX($A504:$P504,$D$4)="","",IF(ISNUMBER(INDEX($A504:$P504,$D$4)),INDEX($A504:$P504,$D$4),IFERROR(DATEVALUE(INDEX($A504:$P504,$D$4)),""))))</f>
        <v/>
      </c>
      <c r="S504">
        <f>IF(OR(R504="",$D$6=""),"",IF(LEFT(INDEX($A504:$P504,$D$6),LEN(Inputs!$C$24))=Inputs!$C$24,INDEX($A504:$P504,$D$6),""))</f>
        <v/>
      </c>
      <c r="T504">
        <f>IF(OR(R504="",$D$7=""),"",TRIM(IFERROR(LEFT(INDEX($A504:$P504,$D$7),FIND(",",INDEX($A504:$P504,$D$7))-1),INDEX($A504:$P504,$D$7))))</f>
        <v/>
      </c>
      <c r="U504" s="32">
        <f>IF(OR(R504="",$D$5=""),0,IFERROR(IF(ISNUMBER(INDEX($A504:$P504,$D$5)),INDEX($A504:$P504,$D$5),TIMEVALUE(INDEX($A504:$P504,$D$5)))*Inputs!$C$22,0))</f>
        <v/>
      </c>
    </row>
    <row r="505">
      <c r="R505" s="17">
        <f>IF($D$4="","",IF(INDEX($A505:$P505,$D$4)="","",IF(ISNUMBER(INDEX($A505:$P505,$D$4)),INDEX($A505:$P505,$D$4),IFERROR(DATEVALUE(INDEX($A505:$P505,$D$4)),""))))</f>
        <v/>
      </c>
      <c r="S505">
        <f>IF(OR(R505="",$D$6=""),"",IF(LEFT(INDEX($A505:$P505,$D$6),LEN(Inputs!$C$24))=Inputs!$C$24,INDEX($A505:$P505,$D$6),""))</f>
        <v/>
      </c>
      <c r="T505">
        <f>IF(OR(R505="",$D$7=""),"",TRIM(IFERROR(LEFT(INDEX($A505:$P505,$D$7),FIND(",",INDEX($A505:$P505,$D$7))-1),INDEX($A505:$P505,$D$7))))</f>
        <v/>
      </c>
      <c r="U505" s="32">
        <f>IF(OR(R505="",$D$5=""),0,IFERROR(IF(ISNUMBER(INDEX($A505:$P505,$D$5)),INDEX($A505:$P505,$D$5),TIMEVALUE(INDEX($A505:$P505,$D$5)))*Inputs!$C$22,0))</f>
        <v/>
      </c>
    </row>
    <row r="506">
      <c r="R506" s="17">
        <f>IF($D$4="","",IF(INDEX($A506:$P506,$D$4)="","",IF(ISNUMBER(INDEX($A506:$P506,$D$4)),INDEX($A506:$P506,$D$4),IFERROR(DATEVALUE(INDEX($A506:$P506,$D$4)),""))))</f>
        <v/>
      </c>
      <c r="S506">
        <f>IF(OR(R506="",$D$6=""),"",IF(LEFT(INDEX($A506:$P506,$D$6),LEN(Inputs!$C$24))=Inputs!$C$24,INDEX($A506:$P506,$D$6),""))</f>
        <v/>
      </c>
      <c r="T506">
        <f>IF(OR(R506="",$D$7=""),"",TRIM(IFERROR(LEFT(INDEX($A506:$P506,$D$7),FIND(",",INDEX($A506:$P506,$D$7))-1),INDEX($A506:$P506,$D$7))))</f>
        <v/>
      </c>
      <c r="U506" s="32">
        <f>IF(OR(R506="",$D$5=""),0,IFERROR(IF(ISNUMBER(INDEX($A506:$P506,$D$5)),INDEX($A506:$P506,$D$5),TIMEVALUE(INDEX($A506:$P506,$D$5)))*Inputs!$C$22,0))</f>
        <v/>
      </c>
    </row>
    <row r="507">
      <c r="R507" s="17">
        <f>IF($D$4="","",IF(INDEX($A507:$P507,$D$4)="","",IF(ISNUMBER(INDEX($A507:$P507,$D$4)),INDEX($A507:$P507,$D$4),IFERROR(DATEVALUE(INDEX($A507:$P507,$D$4)),""))))</f>
        <v/>
      </c>
      <c r="S507">
        <f>IF(OR(R507="",$D$6=""),"",IF(LEFT(INDEX($A507:$P507,$D$6),LEN(Inputs!$C$24))=Inputs!$C$24,INDEX($A507:$P507,$D$6),""))</f>
        <v/>
      </c>
      <c r="T507">
        <f>IF(OR(R507="",$D$7=""),"",TRIM(IFERROR(LEFT(INDEX($A507:$P507,$D$7),FIND(",",INDEX($A507:$P507,$D$7))-1),INDEX($A507:$P507,$D$7))))</f>
        <v/>
      </c>
      <c r="U507" s="32">
        <f>IF(OR(R507="",$D$5=""),0,IFERROR(IF(ISNUMBER(INDEX($A507:$P507,$D$5)),INDEX($A507:$P507,$D$5),TIMEVALUE(INDEX($A507:$P507,$D$5)))*Inputs!$C$22,0))</f>
        <v/>
      </c>
    </row>
    <row r="508">
      <c r="R508" s="17">
        <f>IF($D$4="","",IF(INDEX($A508:$P508,$D$4)="","",IF(ISNUMBER(INDEX($A508:$P508,$D$4)),INDEX($A508:$P508,$D$4),IFERROR(DATEVALUE(INDEX($A508:$P508,$D$4)),""))))</f>
        <v/>
      </c>
      <c r="S508">
        <f>IF(OR(R508="",$D$6=""),"",IF(LEFT(INDEX($A508:$P508,$D$6),LEN(Inputs!$C$24))=Inputs!$C$24,INDEX($A508:$P508,$D$6),""))</f>
        <v/>
      </c>
      <c r="T508">
        <f>IF(OR(R508="",$D$7=""),"",TRIM(IFERROR(LEFT(INDEX($A508:$P508,$D$7),FIND(",",INDEX($A508:$P508,$D$7))-1),INDEX($A508:$P508,$D$7))))</f>
        <v/>
      </c>
      <c r="U508" s="32">
        <f>IF(OR(R508="",$D$5=""),0,IFERROR(IF(ISNUMBER(INDEX($A508:$P508,$D$5)),INDEX($A508:$P508,$D$5),TIMEVALUE(INDEX($A508:$P508,$D$5)))*Inputs!$C$22,0))</f>
        <v/>
      </c>
    </row>
    <row r="509">
      <c r="R509" s="17">
        <f>IF($D$4="","",IF(INDEX($A509:$P509,$D$4)="","",IF(ISNUMBER(INDEX($A509:$P509,$D$4)),INDEX($A509:$P509,$D$4),IFERROR(DATEVALUE(INDEX($A509:$P509,$D$4)),""))))</f>
        <v/>
      </c>
      <c r="S509">
        <f>IF(OR(R509="",$D$6=""),"",IF(LEFT(INDEX($A509:$P509,$D$6),LEN(Inputs!$C$24))=Inputs!$C$24,INDEX($A509:$P509,$D$6),""))</f>
        <v/>
      </c>
      <c r="T509">
        <f>IF(OR(R509="",$D$7=""),"",TRIM(IFERROR(LEFT(INDEX($A509:$P509,$D$7),FIND(",",INDEX($A509:$P509,$D$7))-1),INDEX($A509:$P509,$D$7))))</f>
        <v/>
      </c>
      <c r="U509" s="32">
        <f>IF(OR(R509="",$D$5=""),0,IFERROR(IF(ISNUMBER(INDEX($A509:$P509,$D$5)),INDEX($A509:$P509,$D$5),TIMEVALUE(INDEX($A509:$P509,$D$5)))*Inputs!$C$22,0))</f>
        <v/>
      </c>
    </row>
  </sheetData>
  <mergeCells count="1">
    <mergeCell ref="G3:P7"/>
  </mergeCells>
  <pageMargins left="0.75" right="0.75" top="1" bottom="1" header="0.5" footer="0.5"/>
</worksheet>
</file>

<file path=xl/worksheets/sheet15.xml><?xml version="1.0" encoding="utf-8"?>
<worksheet xmlns="http://schemas.openxmlformats.org/spreadsheetml/2006/main">
  <sheetPr>
    <tabColor rgb="008FB98B"/>
    <outlinePr summaryBelow="1" summaryRight="1"/>
    <pageSetUpPr/>
  </sheetPr>
  <dimension ref="A1:V1004"/>
  <sheetViews>
    <sheetView zoomScale="90" workbookViewId="0">
      <pane ySplit="4" topLeftCell="A5" activePane="bottomLeft" state="frozen"/>
      <selection pane="bottomLeft" activeCell="A1" sqref="A1"/>
    </sheetView>
  </sheetViews>
  <sheetFormatPr baseColWidth="8" defaultRowHeight="15"/>
  <cols>
    <col width="11" customWidth="1" min="1" max="1"/>
    <col width="8" customWidth="1" min="2" max="2"/>
    <col width="10" customWidth="1" min="3" max="3"/>
    <col width="22" customWidth="1" min="4" max="4"/>
    <col width="16" customWidth="1" min="5" max="5"/>
    <col width="11" customWidth="1" min="6" max="6"/>
    <col width="30" customWidth="1" min="7" max="7"/>
    <col width="9" customWidth="1" min="8" max="8"/>
    <col width="24" customWidth="1" min="9" max="9"/>
    <col width="2" customWidth="1" min="10" max="10"/>
    <col width="9" customWidth="1" min="11" max="11"/>
    <col width="11" customWidth="1" min="12" max="12"/>
    <col width="8" customWidth="1" min="13" max="13"/>
    <col width="11" customWidth="1" min="14" max="14"/>
    <col width="8" customWidth="1" min="15" max="15"/>
    <col width="10" customWidth="1" min="16" max="16"/>
    <col width="10" customWidth="1" min="17" max="17"/>
    <col width="10" customWidth="1" min="18" max="18"/>
    <col width="2" customWidth="1" min="19" max="19"/>
    <col width="46" customWidth="1" min="20" max="20"/>
    <col width="11" customWidth="1" min="21" max="21"/>
    <col width="12" customWidth="1" min="22" max="22"/>
  </cols>
  <sheetData>
    <row r="1">
      <c r="A1" s="1" t="inlineStr">
        <is>
          <t>Pipeline log</t>
        </is>
      </c>
    </row>
    <row r="2">
      <c r="A2" s="2" t="inlineStr">
        <is>
          <t>One row per event. Paste desk-drop-outreach/exports/pipeline_log.csv with its header in row 4 (columns A to I), or type rows. Keep rows in date order.</t>
        </is>
      </c>
    </row>
    <row r="3">
      <c r="A3" s="7" t="inlineStr">
        <is>
          <t>value_number: headcount for signed; USD for paid; USD per month for an office budget_probe; USD per campaign for a brand budget_probe (willingness to pay); USD committed for a renewal_answer of yes.</t>
        </is>
      </c>
      <c r="T3" s="75" t="inlineStr">
        <is>
          <t>Summary (distinct organisations)</t>
        </is>
      </c>
    </row>
    <row r="4" ht="30" customHeight="1">
      <c r="A4" s="10" t="inlineStr">
        <is>
          <t>date</t>
        </is>
      </c>
      <c r="B4" s="10" t="inlineStr">
        <is>
          <t>side</t>
        </is>
      </c>
      <c r="C4" s="10" t="inlineStr">
        <is>
          <t>org_id</t>
        </is>
      </c>
      <c r="D4" s="10" t="inlineStr">
        <is>
          <t>org_name</t>
        </is>
      </c>
      <c r="E4" s="10" t="inlineStr">
        <is>
          <t>event</t>
        </is>
      </c>
      <c r="F4" s="10" t="inlineStr">
        <is>
          <t>value_number</t>
        </is>
      </c>
      <c r="G4" s="10" t="inlineStr">
        <is>
          <t>value_text</t>
        </is>
      </c>
      <c r="H4" s="10" t="inlineStr">
        <is>
          <t>controls_budget</t>
        </is>
      </c>
      <c r="I4" s="10" t="inlineStr">
        <is>
          <t>notes</t>
        </is>
      </c>
      <c r="K4" s="10" t="inlineStr">
        <is>
          <t>first of this org and event</t>
        </is>
      </c>
      <c r="L4" s="10" t="inlineStr">
        <is>
          <t>brand would pay threshold, controls budget</t>
        </is>
      </c>
      <c r="M4" s="10" t="inlineStr">
        <is>
          <t>first such brand</t>
        </is>
      </c>
      <c r="N4" s="10" t="inlineStr">
        <is>
          <t>office named office-paid threshold</t>
        </is>
      </c>
      <c r="O4" s="10" t="inlineStr">
        <is>
          <t>first such office</t>
        </is>
      </c>
      <c r="P4" s="10" t="inlineStr">
        <is>
          <t>renewal at threshold price</t>
        </is>
      </c>
      <c r="Q4" s="10" t="inlineStr">
        <is>
          <t>office probe value</t>
        </is>
      </c>
      <c r="R4" s="10" t="inlineStr">
        <is>
          <t>brand probe value</t>
        </is>
      </c>
      <c r="T4" s="10" t="inlineStr">
        <is>
          <t>Measure</t>
        </is>
      </c>
      <c r="U4" s="10" t="inlineStr">
        <is>
          <t>Count</t>
        </is>
      </c>
      <c r="V4" s="10" t="inlineStr">
        <is>
          <t>Cut-off</t>
        </is>
      </c>
    </row>
    <row r="5">
      <c r="A5" s="91" t="n"/>
      <c r="B5" s="92" t="n"/>
      <c r="C5" s="92" t="n"/>
      <c r="D5" s="92" t="n"/>
      <c r="E5" s="92" t="n"/>
      <c r="F5" s="92" t="n"/>
      <c r="G5" s="92" t="n"/>
      <c r="H5" s="92" t="n"/>
      <c r="I5" s="92" t="n"/>
      <c r="K5">
        <f>IF(C5="","",IF(COUNTIFS(C$5:C5,C5,E$5:E5,E5)=1,1,0))</f>
        <v/>
      </c>
      <c r="L5">
        <f>IF(C5="",0,IF(AND(B5="brand",E5="budget_probe",N(F5)&gt;=Inputs!$C$114,H5="Y"),1,0))</f>
        <v/>
      </c>
      <c r="M5">
        <f>IF(L5=1,IF(COUNTIFS(C$5:C5,C5,L$5:L5,1)=1,1,0),0)</f>
        <v/>
      </c>
      <c r="N5">
        <f>IF(C5="",0,IF(AND(B5="office",E5="budget_probe",N(F5)&gt;=Inputs!$C$129),1,0))</f>
        <v/>
      </c>
      <c r="O5">
        <f>IF(N5=1,IF(COUNTIFS(C$5:C5,C5,N$5:N5,1)=1,1,0),0)</f>
        <v/>
      </c>
      <c r="P5">
        <f>IF(C5="",0,IF(AND(B5="brand",E5="renewal_answer",N(F5)&gt;=Inputs!$C$125),1,0))</f>
        <v/>
      </c>
      <c r="Q5">
        <f>IF(AND(B5="office",E5="budget_probe",ISNUMBER(F5)),F5,"")</f>
        <v/>
      </c>
      <c r="R5">
        <f>IF(AND(B5="brand",E5="budget_probe",ISNUMBER(F5)),F5,"")</f>
        <v/>
      </c>
      <c r="T5" s="5" t="inlineStr">
        <is>
          <t>Office conversations by Gate 0</t>
        </is>
      </c>
      <c r="U5" s="19">
        <f>SUMIFS(Pipeline!$K$5:$K$1004,Pipeline!$B$5:$B$1004,"office",Pipeline!$E$5:$E$1004,"conversation",Pipeline!$A$5:$A$1004,"&lt;="&amp;Inputs!$C$11)</f>
        <v/>
      </c>
      <c r="V5" s="17">
        <f>Inputs!$C$11</f>
        <v/>
      </c>
    </row>
    <row r="6">
      <c r="A6" s="91" t="n"/>
      <c r="B6" s="92" t="n"/>
      <c r="C6" s="92" t="n"/>
      <c r="D6" s="92" t="n"/>
      <c r="E6" s="92" t="n"/>
      <c r="F6" s="92" t="n"/>
      <c r="G6" s="92" t="n"/>
      <c r="H6" s="92" t="n"/>
      <c r="I6" s="92" t="n"/>
      <c r="K6">
        <f>IF(C6="","",IF(COUNTIFS(C$5:C6,C6,E$5:E6,E6)=1,1,0))</f>
        <v/>
      </c>
      <c r="L6">
        <f>IF(C6="",0,IF(AND(B6="brand",E6="budget_probe",N(F6)&gt;=Inputs!$C$114,H6="Y"),1,0))</f>
        <v/>
      </c>
      <c r="M6">
        <f>IF(L6=1,IF(COUNTIFS(C$5:C6,C6,L$5:L6,1)=1,1,0),0)</f>
        <v/>
      </c>
      <c r="N6">
        <f>IF(C6="",0,IF(AND(B6="office",E6="budget_probe",N(F6)&gt;=Inputs!$C$129),1,0))</f>
        <v/>
      </c>
      <c r="O6">
        <f>IF(N6=1,IF(COUNTIFS(C$5:C6,C6,N$5:N6,1)=1,1,0),0)</f>
        <v/>
      </c>
      <c r="P6">
        <f>IF(C6="",0,IF(AND(B6="brand",E6="renewal_answer",N(F6)&gt;=Inputs!$C$125),1,0))</f>
        <v/>
      </c>
      <c r="Q6">
        <f>IF(AND(B6="office",E6="budget_probe",ISNUMBER(F6)),F6,"")</f>
        <v/>
      </c>
      <c r="R6">
        <f>IF(AND(B6="brand",E6="budget_probe",ISNUMBER(F6)),F6,"")</f>
        <v/>
      </c>
      <c r="T6" s="5" t="inlineStr">
        <is>
          <t>Offices yes in principle by Gate 0</t>
        </is>
      </c>
      <c r="U6" s="19">
        <f>SUMIFS(Pipeline!$K$5:$K$1004,Pipeline!$B$5:$B$1004,"office",Pipeline!$E$5:$E$1004,"yes_in_principle",Pipeline!$A$5:$A$1004,"&lt;="&amp;Inputs!$C$11)</f>
        <v/>
      </c>
      <c r="V6" s="17">
        <f>Inputs!$C$11</f>
        <v/>
      </c>
    </row>
    <row r="7">
      <c r="A7" s="91" t="n"/>
      <c r="B7" s="92" t="n"/>
      <c r="C7" s="92" t="n"/>
      <c r="D7" s="92" t="n"/>
      <c r="E7" s="92" t="n"/>
      <c r="F7" s="92" t="n"/>
      <c r="G7" s="92" t="n"/>
      <c r="H7" s="92" t="n"/>
      <c r="I7" s="92" t="n"/>
      <c r="K7">
        <f>IF(C7="","",IF(COUNTIFS(C$5:C7,C7,E$5:E7,E7)=1,1,0))</f>
        <v/>
      </c>
      <c r="L7">
        <f>IF(C7="",0,IF(AND(B7="brand",E7="budget_probe",N(F7)&gt;=Inputs!$C$114,H7="Y"),1,0))</f>
        <v/>
      </c>
      <c r="M7">
        <f>IF(L7=1,IF(COUNTIFS(C$5:C7,C7,L$5:L7,1)=1,1,0),0)</f>
        <v/>
      </c>
      <c r="N7">
        <f>IF(C7="",0,IF(AND(B7="office",E7="budget_probe",N(F7)&gt;=Inputs!$C$129),1,0))</f>
        <v/>
      </c>
      <c r="O7">
        <f>IF(N7=1,IF(COUNTIFS(C$5:C7,C7,N$5:N7,1)=1,1,0),0)</f>
        <v/>
      </c>
      <c r="P7">
        <f>IF(C7="",0,IF(AND(B7="brand",E7="renewal_answer",N(F7)&gt;=Inputs!$C$125),1,0))</f>
        <v/>
      </c>
      <c r="Q7">
        <f>IF(AND(B7="office",E7="budget_probe",ISNUMBER(F7)),F7,"")</f>
        <v/>
      </c>
      <c r="R7">
        <f>IF(AND(B7="brand",E7="budget_probe",ISNUMBER(F7)),F7,"")</f>
        <v/>
      </c>
      <c r="T7" s="5" t="inlineStr">
        <is>
          <t>Brand conversations by Gate 0</t>
        </is>
      </c>
      <c r="U7" s="19">
        <f>SUMIFS(Pipeline!$K$5:$K$1004,Pipeline!$B$5:$B$1004,"brand",Pipeline!$E$5:$E$1004,"conversation",Pipeline!$A$5:$A$1004,"&lt;="&amp;Inputs!$C$11)</f>
        <v/>
      </c>
      <c r="V7" s="17">
        <f>Inputs!$C$11</f>
        <v/>
      </c>
    </row>
    <row r="8">
      <c r="A8" s="91" t="n"/>
      <c r="B8" s="92" t="n"/>
      <c r="C8" s="92" t="n"/>
      <c r="D8" s="92" t="n"/>
      <c r="E8" s="92" t="n"/>
      <c r="F8" s="92" t="n"/>
      <c r="G8" s="92" t="n"/>
      <c r="H8" s="92" t="n"/>
      <c r="I8" s="92" t="n"/>
      <c r="K8">
        <f>IF(C8="","",IF(COUNTIFS(C$5:C8,C8,E$5:E8,E8)=1,1,0))</f>
        <v/>
      </c>
      <c r="L8">
        <f>IF(C8="",0,IF(AND(B8="brand",E8="budget_probe",N(F8)&gt;=Inputs!$C$114,H8="Y"),1,0))</f>
        <v/>
      </c>
      <c r="M8">
        <f>IF(L8=1,IF(COUNTIFS(C$5:C8,C8,L$5:L8,1)=1,1,0),0)</f>
        <v/>
      </c>
      <c r="N8">
        <f>IF(C8="",0,IF(AND(B8="office",E8="budget_probe",N(F8)&gt;=Inputs!$C$129),1,0))</f>
        <v/>
      </c>
      <c r="O8">
        <f>IF(N8=1,IF(COUNTIFS(C$5:C8,C8,N$5:N8,1)=1,1,0),0)</f>
        <v/>
      </c>
      <c r="P8">
        <f>IF(C8="",0,IF(AND(B8="brand",E8="renewal_answer",N(F8)&gt;=Inputs!$C$125),1,0))</f>
        <v/>
      </c>
      <c r="Q8">
        <f>IF(AND(B8="office",E8="budget_probe",ISNUMBER(F8)),F8,"")</f>
        <v/>
      </c>
      <c r="R8">
        <f>IF(AND(B8="brand",E8="budget_probe",ISNUMBER(F8)),F8,"")</f>
        <v/>
      </c>
      <c r="T8" s="5" t="inlineStr">
        <is>
          <t>Brands that would pay the threshold and control the budget, by Gate 0</t>
        </is>
      </c>
      <c r="U8" s="19">
        <f>SUMIFS(Pipeline!$M$5:$M$1004,Pipeline!$A$5:$A$1004,"&lt;="&amp;Inputs!$C$11)</f>
        <v/>
      </c>
      <c r="V8" s="17">
        <f>Inputs!$C$11</f>
        <v/>
      </c>
    </row>
    <row r="9">
      <c r="A9" s="91" t="n"/>
      <c r="B9" s="92" t="n"/>
      <c r="C9" s="92" t="n"/>
      <c r="D9" s="92" t="n"/>
      <c r="E9" s="92" t="n"/>
      <c r="F9" s="92" t="n"/>
      <c r="G9" s="92" t="n"/>
      <c r="H9" s="92" t="n"/>
      <c r="I9" s="92" t="n"/>
      <c r="K9">
        <f>IF(C9="","",IF(COUNTIFS(C$5:C9,C9,E$5:E9,E9)=1,1,0))</f>
        <v/>
      </c>
      <c r="L9">
        <f>IF(C9="",0,IF(AND(B9="brand",E9="budget_probe",N(F9)&gt;=Inputs!$C$114,H9="Y"),1,0))</f>
        <v/>
      </c>
      <c r="M9">
        <f>IF(L9=1,IF(COUNTIFS(C$5:C9,C9,L$5:L9,1)=1,1,0),0)</f>
        <v/>
      </c>
      <c r="N9">
        <f>IF(C9="",0,IF(AND(B9="office",E9="budget_probe",N(F9)&gt;=Inputs!$C$129),1,0))</f>
        <v/>
      </c>
      <c r="O9">
        <f>IF(N9=1,IF(COUNTIFS(C$5:C9,C9,N$5:N9,1)=1,1,0),0)</f>
        <v/>
      </c>
      <c r="P9">
        <f>IF(C9="",0,IF(AND(B9="brand",E9="renewal_answer",N(F9)&gt;=Inputs!$C$125),1,0))</f>
        <v/>
      </c>
      <c r="Q9">
        <f>IF(AND(B9="office",E9="budget_probe",ISNUMBER(F9)),F9,"")</f>
        <v/>
      </c>
      <c r="R9">
        <f>IF(AND(B9="brand",E9="budget_probe",ISNUMBER(F9)),F9,"")</f>
        <v/>
      </c>
      <c r="T9" s="5" t="inlineStr">
        <is>
          <t>Offices signed by Gate 1</t>
        </is>
      </c>
      <c r="U9" s="19">
        <f>SUMIFS(Pipeline!$K$5:$K$1004,Pipeline!$B$5:$B$1004,"office",Pipeline!$E$5:$E$1004,"signed",Pipeline!$A$5:$A$1004,"&lt;="&amp;Inputs!$C$12)</f>
        <v/>
      </c>
      <c r="V9" s="17">
        <f>Inputs!$C$12</f>
        <v/>
      </c>
    </row>
    <row r="10">
      <c r="A10" s="91" t="n"/>
      <c r="B10" s="92" t="n"/>
      <c r="C10" s="92" t="n"/>
      <c r="D10" s="92" t="n"/>
      <c r="E10" s="92" t="n"/>
      <c r="F10" s="92" t="n"/>
      <c r="G10" s="92" t="n"/>
      <c r="H10" s="92" t="n"/>
      <c r="I10" s="92" t="n"/>
      <c r="K10">
        <f>IF(C10="","",IF(COUNTIFS(C$5:C10,C10,E$5:E10,E10)=1,1,0))</f>
        <v/>
      </c>
      <c r="L10">
        <f>IF(C10="",0,IF(AND(B10="brand",E10="budget_probe",N(F10)&gt;=Inputs!$C$114,H10="Y"),1,0))</f>
        <v/>
      </c>
      <c r="M10">
        <f>IF(L10=1,IF(COUNTIFS(C$5:C10,C10,L$5:L10,1)=1,1,0),0)</f>
        <v/>
      </c>
      <c r="N10">
        <f>IF(C10="",0,IF(AND(B10="office",E10="budget_probe",N(F10)&gt;=Inputs!$C$129),1,0))</f>
        <v/>
      </c>
      <c r="O10">
        <f>IF(N10=1,IF(COUNTIFS(C$5:C10,C10,N$5:N10,1)=1,1,0),0)</f>
        <v/>
      </c>
      <c r="P10">
        <f>IF(C10="",0,IF(AND(B10="brand",E10="renewal_answer",N(F10)&gt;=Inputs!$C$125),1,0))</f>
        <v/>
      </c>
      <c r="Q10">
        <f>IF(AND(B10="office",E10="budget_probe",ISNUMBER(F10)),F10,"")</f>
        <v/>
      </c>
      <c r="R10">
        <f>IF(AND(B10="brand",E10="budget_probe",ISNUMBER(F10)),F10,"")</f>
        <v/>
      </c>
      <c r="T10" s="5" t="inlineStr">
        <is>
          <t>Combined Tuesday headcount of offices signed by Gate 1</t>
        </is>
      </c>
      <c r="U10" s="19">
        <f>SUMIFS(Pipeline!$F$5:$F$1004,Pipeline!$B$5:$B$1004,"office",Pipeline!$E$5:$E$1004,"signed",Pipeline!$K$5:$K$1004,1,Pipeline!$A$5:$A$1004,"&lt;="&amp;Inputs!$C$12)</f>
        <v/>
      </c>
      <c r="V10" s="17">
        <f>Inputs!$C$12</f>
        <v/>
      </c>
    </row>
    <row r="11">
      <c r="A11" s="91" t="n"/>
      <c r="B11" s="92" t="n"/>
      <c r="C11" s="92" t="n"/>
      <c r="D11" s="92" t="n"/>
      <c r="E11" s="92" t="n"/>
      <c r="F11" s="92" t="n"/>
      <c r="G11" s="92" t="n"/>
      <c r="H11" s="92" t="n"/>
      <c r="I11" s="92" t="n"/>
      <c r="K11">
        <f>IF(C11="","",IF(COUNTIFS(C$5:C11,C11,E$5:E11,E11)=1,1,0))</f>
        <v/>
      </c>
      <c r="L11">
        <f>IF(C11="",0,IF(AND(B11="brand",E11="budget_probe",N(F11)&gt;=Inputs!$C$114,H11="Y"),1,0))</f>
        <v/>
      </c>
      <c r="M11">
        <f>IF(L11=1,IF(COUNTIFS(C$5:C11,C11,L$5:L11,1)=1,1,0),0)</f>
        <v/>
      </c>
      <c r="N11">
        <f>IF(C11="",0,IF(AND(B11="office",E11="budget_probe",N(F11)&gt;=Inputs!$C$129),1,0))</f>
        <v/>
      </c>
      <c r="O11">
        <f>IF(N11=1,IF(COUNTIFS(C$5:C11,C11,N$5:N11,1)=1,1,0),0)</f>
        <v/>
      </c>
      <c r="P11">
        <f>IF(C11="",0,IF(AND(B11="brand",E11="renewal_answer",N(F11)&gt;=Inputs!$C$125),1,0))</f>
        <v/>
      </c>
      <c r="Q11">
        <f>IF(AND(B11="office",E11="budget_probe",ISNUMBER(F11)),F11,"")</f>
        <v/>
      </c>
      <c r="R11">
        <f>IF(AND(B11="brand",E11="budget_probe",ISNUMBER(F11)),F11,"")</f>
        <v/>
      </c>
      <c r="T11" s="5" t="inlineStr">
        <is>
          <t>Brands paid by Gate 1</t>
        </is>
      </c>
      <c r="U11" s="19">
        <f>SUMIFS(Pipeline!$K$5:$K$1004,Pipeline!$B$5:$B$1004,"brand",Pipeline!$E$5:$E$1004,"paid",Pipeline!$A$5:$A$1004,"&lt;="&amp;Inputs!$C$12)</f>
        <v/>
      </c>
      <c r="V11" s="17">
        <f>Inputs!$C$12</f>
        <v/>
      </c>
    </row>
    <row r="12">
      <c r="A12" s="91" t="n"/>
      <c r="B12" s="92" t="n"/>
      <c r="C12" s="92" t="n"/>
      <c r="D12" s="92" t="n"/>
      <c r="E12" s="92" t="n"/>
      <c r="F12" s="92" t="n"/>
      <c r="G12" s="92" t="n"/>
      <c r="H12" s="92" t="n"/>
      <c r="I12" s="92" t="n"/>
      <c r="K12">
        <f>IF(C12="","",IF(COUNTIFS(C$5:C12,C12,E$5:E12,E12)=1,1,0))</f>
        <v/>
      </c>
      <c r="L12">
        <f>IF(C12="",0,IF(AND(B12="brand",E12="budget_probe",N(F12)&gt;=Inputs!$C$114,H12="Y"),1,0))</f>
        <v/>
      </c>
      <c r="M12">
        <f>IF(L12=1,IF(COUNTIFS(C$5:C12,C12,L$5:L12,1)=1,1,0),0)</f>
        <v/>
      </c>
      <c r="N12">
        <f>IF(C12="",0,IF(AND(B12="office",E12="budget_probe",N(F12)&gt;=Inputs!$C$129),1,0))</f>
        <v/>
      </c>
      <c r="O12">
        <f>IF(N12=1,IF(COUNTIFS(C$5:C12,C12,N$5:N12,1)=1,1,0),0)</f>
        <v/>
      </c>
      <c r="P12">
        <f>IF(C12="",0,IF(AND(B12="brand",E12="renewal_answer",N(F12)&gt;=Inputs!$C$125),1,0))</f>
        <v/>
      </c>
      <c r="Q12">
        <f>IF(AND(B12="office",E12="budget_probe",ISNUMBER(F12)),F12,"")</f>
        <v/>
      </c>
      <c r="R12">
        <f>IF(AND(B12="brand",E12="budget_probe",ISNUMBER(F12)),F12,"")</f>
        <v/>
      </c>
      <c r="T12" s="5" t="inlineStr">
        <is>
          <t>Renewals at the threshold price, by Gate 3</t>
        </is>
      </c>
      <c r="U12" s="19">
        <f>SUMIFS(Pipeline!$P$5:$P$1004,Pipeline!$A$5:$A$1004,"&lt;="&amp;Inputs!$C$14)</f>
        <v/>
      </c>
      <c r="V12" s="17">
        <f>Inputs!$C$14</f>
        <v/>
      </c>
    </row>
    <row r="13">
      <c r="A13" s="91" t="n"/>
      <c r="B13" s="92" t="n"/>
      <c r="C13" s="92" t="n"/>
      <c r="D13" s="92" t="n"/>
      <c r="E13" s="92" t="n"/>
      <c r="F13" s="92" t="n"/>
      <c r="G13" s="92" t="n"/>
      <c r="H13" s="92" t="n"/>
      <c r="I13" s="92" t="n"/>
      <c r="K13">
        <f>IF(C13="","",IF(COUNTIFS(C$5:C13,C13,E$5:E13,E13)=1,1,0))</f>
        <v/>
      </c>
      <c r="L13">
        <f>IF(C13="",0,IF(AND(B13="brand",E13="budget_probe",N(F13)&gt;=Inputs!$C$114,H13="Y"),1,0))</f>
        <v/>
      </c>
      <c r="M13">
        <f>IF(L13=1,IF(COUNTIFS(C$5:C13,C13,L$5:L13,1)=1,1,0),0)</f>
        <v/>
      </c>
      <c r="N13">
        <f>IF(C13="",0,IF(AND(B13="office",E13="budget_probe",N(F13)&gt;=Inputs!$C$129),1,0))</f>
        <v/>
      </c>
      <c r="O13">
        <f>IF(N13=1,IF(COUNTIFS(C$5:C13,C13,N$5:N13,1)=1,1,0),0)</f>
        <v/>
      </c>
      <c r="P13">
        <f>IF(C13="",0,IF(AND(B13="brand",E13="renewal_answer",N(F13)&gt;=Inputs!$C$125),1,0))</f>
        <v/>
      </c>
      <c r="Q13">
        <f>IF(AND(B13="office",E13="budget_probe",ISNUMBER(F13)),F13,"")</f>
        <v/>
      </c>
      <c r="R13">
        <f>IF(AND(B13="brand",E13="budget_probe",ISNUMBER(F13)),F13,"")</f>
        <v/>
      </c>
      <c r="T13" s="5" t="inlineStr">
        <is>
          <t>Offices that named the office-paid threshold, to date</t>
        </is>
      </c>
      <c r="U13" s="19">
        <f>SUMIFS(Pipeline!$O$5:$O$1004,Pipeline!$A$5:$A$1004,"&lt;="&amp;Inputs!$C$17)</f>
        <v/>
      </c>
      <c r="V13" s="17">
        <f>Inputs!$C$17</f>
        <v/>
      </c>
    </row>
    <row r="14">
      <c r="A14" s="91" t="n"/>
      <c r="B14" s="92" t="n"/>
      <c r="C14" s="92" t="n"/>
      <c r="D14" s="92" t="n"/>
      <c r="E14" s="92" t="n"/>
      <c r="F14" s="92" t="n"/>
      <c r="G14" s="92" t="n"/>
      <c r="H14" s="92" t="n"/>
      <c r="I14" s="92" t="n"/>
      <c r="K14">
        <f>IF(C14="","",IF(COUNTIFS(C$5:C14,C14,E$5:E14,E14)=1,1,0))</f>
        <v/>
      </c>
      <c r="L14">
        <f>IF(C14="",0,IF(AND(B14="brand",E14="budget_probe",N(F14)&gt;=Inputs!$C$114,H14="Y"),1,0))</f>
        <v/>
      </c>
      <c r="M14">
        <f>IF(L14=1,IF(COUNTIFS(C$5:C14,C14,L$5:L14,1)=1,1,0),0)</f>
        <v/>
      </c>
      <c r="N14">
        <f>IF(C14="",0,IF(AND(B14="office",E14="budget_probe",N(F14)&gt;=Inputs!$C$129),1,0))</f>
        <v/>
      </c>
      <c r="O14">
        <f>IF(N14=1,IF(COUNTIFS(C$5:C14,C14,N$5:N14,1)=1,1,0),0)</f>
        <v/>
      </c>
      <c r="P14">
        <f>IF(C14="",0,IF(AND(B14="brand",E14="renewal_answer",N(F14)&gt;=Inputs!$C$125),1,0))</f>
        <v/>
      </c>
      <c r="Q14">
        <f>IF(AND(B14="office",E14="budget_probe",ISNUMBER(F14)),F14,"")</f>
        <v/>
      </c>
      <c r="R14">
        <f>IF(AND(B14="brand",E14="budget_probe",ISNUMBER(F14)),F14,"")</f>
        <v/>
      </c>
      <c r="T14" s="5" t="inlineStr">
        <is>
          <t>Offices signed, to date</t>
        </is>
      </c>
      <c r="U14" s="19">
        <f>SUMIFS(Pipeline!$K$5:$K$1004,Pipeline!$B$5:$B$1004,"office",Pipeline!$E$5:$E$1004,"signed",Pipeline!$A$5:$A$1004,"&lt;="&amp;Inputs!$C$17)</f>
        <v/>
      </c>
      <c r="V14" s="17">
        <f>Inputs!$C$17</f>
        <v/>
      </c>
    </row>
    <row r="15">
      <c r="A15" s="91" t="n"/>
      <c r="B15" s="92" t="n"/>
      <c r="C15" s="92" t="n"/>
      <c r="D15" s="92" t="n"/>
      <c r="E15" s="92" t="n"/>
      <c r="F15" s="92" t="n"/>
      <c r="G15" s="92" t="n"/>
      <c r="H15" s="92" t="n"/>
      <c r="I15" s="92" t="n"/>
      <c r="K15">
        <f>IF(C15="","",IF(COUNTIFS(C$5:C15,C15,E$5:E15,E15)=1,1,0))</f>
        <v/>
      </c>
      <c r="L15">
        <f>IF(C15="",0,IF(AND(B15="brand",E15="budget_probe",N(F15)&gt;=Inputs!$C$114,H15="Y"),1,0))</f>
        <v/>
      </c>
      <c r="M15">
        <f>IF(L15=1,IF(COUNTIFS(C$5:C15,C15,L$5:L15,1)=1,1,0),0)</f>
        <v/>
      </c>
      <c r="N15">
        <f>IF(C15="",0,IF(AND(B15="office",E15="budget_probe",N(F15)&gt;=Inputs!$C$129),1,0))</f>
        <v/>
      </c>
      <c r="O15">
        <f>IF(N15=1,IF(COUNTIFS(C$5:C15,C15,N$5:N15,1)=1,1,0),0)</f>
        <v/>
      </c>
      <c r="P15">
        <f>IF(C15="",0,IF(AND(B15="brand",E15="renewal_answer",N(F15)&gt;=Inputs!$C$125),1,0))</f>
        <v/>
      </c>
      <c r="Q15">
        <f>IF(AND(B15="office",E15="budget_probe",ISNUMBER(F15)),F15,"")</f>
        <v/>
      </c>
      <c r="R15">
        <f>IF(AND(B15="brand",E15="budget_probe",ISNUMBER(F15)),F15,"")</f>
        <v/>
      </c>
      <c r="T15" s="5" t="inlineStr">
        <is>
          <t>Offices opted out, to date</t>
        </is>
      </c>
      <c r="U15" s="19">
        <f>SUMIFS(Pipeline!$K$5:$K$1004,Pipeline!$B$5:$B$1004,"office",Pipeline!$E$5:$E$1004,"opt_out",Pipeline!$A$5:$A$1004,"&lt;="&amp;Inputs!$C$17)</f>
        <v/>
      </c>
      <c r="V15" s="17">
        <f>Inputs!$C$17</f>
        <v/>
      </c>
    </row>
    <row r="16">
      <c r="A16" s="91" t="n"/>
      <c r="B16" s="92" t="n"/>
      <c r="C16" s="92" t="n"/>
      <c r="D16" s="92" t="n"/>
      <c r="E16" s="92" t="n"/>
      <c r="F16" s="92" t="n"/>
      <c r="G16" s="92" t="n"/>
      <c r="H16" s="92" t="n"/>
      <c r="I16" s="92" t="n"/>
      <c r="K16">
        <f>IF(C16="","",IF(COUNTIFS(C$5:C16,C16,E$5:E16,E16)=1,1,0))</f>
        <v/>
      </c>
      <c r="L16">
        <f>IF(C16="",0,IF(AND(B16="brand",E16="budget_probe",N(F16)&gt;=Inputs!$C$114,H16="Y"),1,0))</f>
        <v/>
      </c>
      <c r="M16">
        <f>IF(L16=1,IF(COUNTIFS(C$5:C16,C16,L$5:L16,1)=1,1,0),0)</f>
        <v/>
      </c>
      <c r="N16">
        <f>IF(C16="",0,IF(AND(B16="office",E16="budget_probe",N(F16)&gt;=Inputs!$C$129),1,0))</f>
        <v/>
      </c>
      <c r="O16">
        <f>IF(N16=1,IF(COUNTIFS(C$5:C16,C16,N$5:N16,1)=1,1,0),0)</f>
        <v/>
      </c>
      <c r="P16">
        <f>IF(C16="",0,IF(AND(B16="brand",E16="renewal_answer",N(F16)&gt;=Inputs!$C$125),1,0))</f>
        <v/>
      </c>
      <c r="Q16">
        <f>IF(AND(B16="office",E16="budget_probe",ISNUMBER(F16)),F16,"")</f>
        <v/>
      </c>
      <c r="R16">
        <f>IF(AND(B16="brand",E16="budget_probe",ISNUMBER(F16)),F16,"")</f>
        <v/>
      </c>
      <c r="T16" s="5" t="inlineStr">
        <is>
          <t>Brands paid, to date</t>
        </is>
      </c>
      <c r="U16" s="19">
        <f>SUMIFS(Pipeline!$K$5:$K$1004,Pipeline!$B$5:$B$1004,"brand",Pipeline!$E$5:$E$1004,"paid",Pipeline!$A$5:$A$1004,"&lt;="&amp;Inputs!$C$17)</f>
        <v/>
      </c>
      <c r="V16" s="17">
        <f>Inputs!$C$17</f>
        <v/>
      </c>
    </row>
    <row r="17">
      <c r="A17" s="91" t="n"/>
      <c r="B17" s="92" t="n"/>
      <c r="C17" s="92" t="n"/>
      <c r="D17" s="92" t="n"/>
      <c r="E17" s="92" t="n"/>
      <c r="F17" s="92" t="n"/>
      <c r="G17" s="92" t="n"/>
      <c r="H17" s="92" t="n"/>
      <c r="I17" s="92" t="n"/>
      <c r="K17">
        <f>IF(C17="","",IF(COUNTIFS(C$5:C17,C17,E$5:E17,E17)=1,1,0))</f>
        <v/>
      </c>
      <c r="L17">
        <f>IF(C17="",0,IF(AND(B17="brand",E17="budget_probe",N(F17)&gt;=Inputs!$C$114,H17="Y"),1,0))</f>
        <v/>
      </c>
      <c r="M17">
        <f>IF(L17=1,IF(COUNTIFS(C$5:C17,C17,L$5:L17,1)=1,1,0),0)</f>
        <v/>
      </c>
      <c r="N17">
        <f>IF(C17="",0,IF(AND(B17="office",E17="budget_probe",N(F17)&gt;=Inputs!$C$129),1,0))</f>
        <v/>
      </c>
      <c r="O17">
        <f>IF(N17=1,IF(COUNTIFS(C$5:C17,C17,N$5:N17,1)=1,1,0),0)</f>
        <v/>
      </c>
      <c r="P17">
        <f>IF(C17="",0,IF(AND(B17="brand",E17="renewal_answer",N(F17)&gt;=Inputs!$C$125),1,0))</f>
        <v/>
      </c>
      <c r="Q17">
        <f>IF(AND(B17="office",E17="budget_probe",ISNUMBER(F17)),F17,"")</f>
        <v/>
      </c>
      <c r="R17">
        <f>IF(AND(B17="brand",E17="budget_probe",ISNUMBER(F17)),F17,"")</f>
        <v/>
      </c>
      <c r="T17" s="5" t="inlineStr">
        <is>
          <t>Outreach messages sent, to date (events, not distinct)</t>
        </is>
      </c>
      <c r="U17" s="19">
        <f>COUNTIFS(Pipeline!$E$5:$E$1004,"outreach_sent",Pipeline!$A$5:$A$1004,"&lt;="&amp;Inputs!$C$17)</f>
        <v/>
      </c>
      <c r="V17" s="17">
        <f>Inputs!$C$17</f>
        <v/>
      </c>
    </row>
    <row r="18">
      <c r="A18" s="91" t="n"/>
      <c r="B18" s="92" t="n"/>
      <c r="C18" s="92" t="n"/>
      <c r="D18" s="92" t="n"/>
      <c r="E18" s="92" t="n"/>
      <c r="F18" s="92" t="n"/>
      <c r="G18" s="92" t="n"/>
      <c r="H18" s="92" t="n"/>
      <c r="I18" s="92" t="n"/>
      <c r="K18">
        <f>IF(C18="","",IF(COUNTIFS(C$5:C18,C18,E$5:E18,E18)=1,1,0))</f>
        <v/>
      </c>
      <c r="L18">
        <f>IF(C18="",0,IF(AND(B18="brand",E18="budget_probe",N(F18)&gt;=Inputs!$C$114,H18="Y"),1,0))</f>
        <v/>
      </c>
      <c r="M18">
        <f>IF(L18=1,IF(COUNTIFS(C$5:C18,C18,L$5:L18,1)=1,1,0),0)</f>
        <v/>
      </c>
      <c r="N18">
        <f>IF(C18="",0,IF(AND(B18="office",E18="budget_probe",N(F18)&gt;=Inputs!$C$129),1,0))</f>
        <v/>
      </c>
      <c r="O18">
        <f>IF(N18=1,IF(COUNTIFS(C$5:C18,C18,N$5:N18,1)=1,1,0),0)</f>
        <v/>
      </c>
      <c r="P18">
        <f>IF(C18="",0,IF(AND(B18="brand",E18="renewal_answer",N(F18)&gt;=Inputs!$C$125),1,0))</f>
        <v/>
      </c>
      <c r="Q18">
        <f>IF(AND(B18="office",E18="budget_probe",ISNUMBER(F18)),F18,"")</f>
        <v/>
      </c>
      <c r="R18">
        <f>IF(AND(B18="brand",E18="budget_probe",ISNUMBER(F18)),F18,"")</f>
        <v/>
      </c>
      <c r="T18" s="5" t="inlineStr">
        <is>
          <t>Median office budget probe (USD per month)</t>
        </is>
      </c>
      <c r="U18" s="33">
        <f>IF(COUNT(Pipeline!$Q$5:$Q$1004)&gt;0,MEDIAN(Pipeline!$Q$5:$Q$1004),"")</f>
        <v/>
      </c>
      <c r="V18" s="17" t="inlineStr"/>
    </row>
    <row r="19">
      <c r="A19" s="91" t="n"/>
      <c r="B19" s="92" t="n"/>
      <c r="C19" s="92" t="n"/>
      <c r="D19" s="92" t="n"/>
      <c r="E19" s="92" t="n"/>
      <c r="F19" s="92" t="n"/>
      <c r="G19" s="92" t="n"/>
      <c r="H19" s="92" t="n"/>
      <c r="I19" s="92" t="n"/>
      <c r="K19">
        <f>IF(C19="","",IF(COUNTIFS(C$5:C19,C19,E$5:E19,E19)=1,1,0))</f>
        <v/>
      </c>
      <c r="L19">
        <f>IF(C19="",0,IF(AND(B19="brand",E19="budget_probe",N(F19)&gt;=Inputs!$C$114,H19="Y"),1,0))</f>
        <v/>
      </c>
      <c r="M19">
        <f>IF(L19=1,IF(COUNTIFS(C$5:C19,C19,L$5:L19,1)=1,1,0),0)</f>
        <v/>
      </c>
      <c r="N19">
        <f>IF(C19="",0,IF(AND(B19="office",E19="budget_probe",N(F19)&gt;=Inputs!$C$129),1,0))</f>
        <v/>
      </c>
      <c r="O19">
        <f>IF(N19=1,IF(COUNTIFS(C$5:C19,C19,N$5:N19,1)=1,1,0),0)</f>
        <v/>
      </c>
      <c r="P19">
        <f>IF(C19="",0,IF(AND(B19="brand",E19="renewal_answer",N(F19)&gt;=Inputs!$C$125),1,0))</f>
        <v/>
      </c>
      <c r="Q19">
        <f>IF(AND(B19="office",E19="budget_probe",ISNUMBER(F19)),F19,"")</f>
        <v/>
      </c>
      <c r="R19">
        <f>IF(AND(B19="brand",E19="budget_probe",ISNUMBER(F19)),F19,"")</f>
        <v/>
      </c>
      <c r="T19" s="5" t="inlineStr">
        <is>
          <t>Median brand willingness to pay (USD per campaign)</t>
        </is>
      </c>
      <c r="U19" s="33">
        <f>IF(COUNT(Pipeline!$R$5:$R$1004)&gt;0,MEDIAN(Pipeline!$R$5:$R$1004),"")</f>
        <v/>
      </c>
      <c r="V19" s="17" t="inlineStr"/>
    </row>
    <row r="20">
      <c r="A20" s="91" t="n"/>
      <c r="B20" s="92" t="n"/>
      <c r="C20" s="92" t="n"/>
      <c r="D20" s="92" t="n"/>
      <c r="E20" s="92" t="n"/>
      <c r="F20" s="92" t="n"/>
      <c r="G20" s="92" t="n"/>
      <c r="H20" s="92" t="n"/>
      <c r="I20" s="92" t="n"/>
      <c r="K20">
        <f>IF(C20="","",IF(COUNTIFS(C$5:C20,C20,E$5:E20,E20)=1,1,0))</f>
        <v/>
      </c>
      <c r="L20">
        <f>IF(C20="",0,IF(AND(B20="brand",E20="budget_probe",N(F20)&gt;=Inputs!$C$114,H20="Y"),1,0))</f>
        <v/>
      </c>
      <c r="M20">
        <f>IF(L20=1,IF(COUNTIFS(C$5:C20,C20,L$5:L20,1)=1,1,0),0)</f>
        <v/>
      </c>
      <c r="N20">
        <f>IF(C20="",0,IF(AND(B20="office",E20="budget_probe",N(F20)&gt;=Inputs!$C$129),1,0))</f>
        <v/>
      </c>
      <c r="O20">
        <f>IF(N20=1,IF(COUNTIFS(C$5:C20,C20,N$5:N20,1)=1,1,0),0)</f>
        <v/>
      </c>
      <c r="P20">
        <f>IF(C20="",0,IF(AND(B20="brand",E20="renewal_answer",N(F20)&gt;=Inputs!$C$125),1,0))</f>
        <v/>
      </c>
      <c r="Q20">
        <f>IF(AND(B20="office",E20="budget_probe",ISNUMBER(F20)),F20,"")</f>
        <v/>
      </c>
      <c r="R20">
        <f>IF(AND(B20="brand",E20="budget_probe",ISNUMBER(F20)),F20,"")</f>
        <v/>
      </c>
      <c r="T20" s="5" t="inlineStr">
        <is>
          <t>Rows with an event not in the list (should be 0)</t>
        </is>
      </c>
      <c r="U20" s="19">
        <f>COUNTA(Pipeline!$E$5:$E$1004)-SUMPRODUCT(COUNTIF(Pipeline!$E$5:$E$1004,Lists!$H$4:$H$11))</f>
        <v/>
      </c>
      <c r="V20" s="17" t="inlineStr"/>
    </row>
    <row r="21">
      <c r="A21" s="91" t="n"/>
      <c r="B21" s="92" t="n"/>
      <c r="C21" s="92" t="n"/>
      <c r="D21" s="92" t="n"/>
      <c r="E21" s="92" t="n"/>
      <c r="F21" s="92" t="n"/>
      <c r="G21" s="92" t="n"/>
      <c r="H21" s="92" t="n"/>
      <c r="I21" s="92" t="n"/>
      <c r="K21">
        <f>IF(C21="","",IF(COUNTIFS(C$5:C21,C21,E$5:E21,E21)=1,1,0))</f>
        <v/>
      </c>
      <c r="L21">
        <f>IF(C21="",0,IF(AND(B21="brand",E21="budget_probe",N(F21)&gt;=Inputs!$C$114,H21="Y"),1,0))</f>
        <v/>
      </c>
      <c r="M21">
        <f>IF(L21=1,IF(COUNTIFS(C$5:C21,C21,L$5:L21,1)=1,1,0),0)</f>
        <v/>
      </c>
      <c r="N21">
        <f>IF(C21="",0,IF(AND(B21="office",E21="budget_probe",N(F21)&gt;=Inputs!$C$129),1,0))</f>
        <v/>
      </c>
      <c r="O21">
        <f>IF(N21=1,IF(COUNTIFS(C$5:C21,C21,N$5:N21,1)=1,1,0),0)</f>
        <v/>
      </c>
      <c r="P21">
        <f>IF(C21="",0,IF(AND(B21="brand",E21="renewal_answer",N(F21)&gt;=Inputs!$C$125),1,0))</f>
        <v/>
      </c>
      <c r="Q21">
        <f>IF(AND(B21="office",E21="budget_probe",ISNUMBER(F21)),F21,"")</f>
        <v/>
      </c>
      <c r="R21">
        <f>IF(AND(B21="brand",E21="budget_probe",ISNUMBER(F21)),F21,"")</f>
        <v/>
      </c>
      <c r="T21" s="5" t="inlineStr">
        <is>
          <t>Rows with a side not in the list (should be 0)</t>
        </is>
      </c>
      <c r="U21" s="19">
        <f>COUNTA(Pipeline!$B$5:$B$1004)-SUMPRODUCT(COUNTIF(Pipeline!$B$5:$B$1004,Lists!$G$4:$G$5))</f>
        <v/>
      </c>
      <c r="V21" s="17" t="inlineStr"/>
    </row>
    <row r="22">
      <c r="A22" s="91" t="n"/>
      <c r="B22" s="92" t="n"/>
      <c r="C22" s="92" t="n"/>
      <c r="D22" s="92" t="n"/>
      <c r="E22" s="92" t="n"/>
      <c r="F22" s="92" t="n"/>
      <c r="G22" s="92" t="n"/>
      <c r="H22" s="92" t="n"/>
      <c r="I22" s="92" t="n"/>
      <c r="K22">
        <f>IF(C22="","",IF(COUNTIFS(C$5:C22,C22,E$5:E22,E22)=1,1,0))</f>
        <v/>
      </c>
      <c r="L22">
        <f>IF(C22="",0,IF(AND(B22="brand",E22="budget_probe",N(F22)&gt;=Inputs!$C$114,H22="Y"),1,0))</f>
        <v/>
      </c>
      <c r="M22">
        <f>IF(L22=1,IF(COUNTIFS(C$5:C22,C22,L$5:L22,1)=1,1,0),0)</f>
        <v/>
      </c>
      <c r="N22">
        <f>IF(C22="",0,IF(AND(B22="office",E22="budget_probe",N(F22)&gt;=Inputs!$C$129),1,0))</f>
        <v/>
      </c>
      <c r="O22">
        <f>IF(N22=1,IF(COUNTIFS(C$5:C22,C22,N$5:N22,1)=1,1,0),0)</f>
        <v/>
      </c>
      <c r="P22">
        <f>IF(C22="",0,IF(AND(B22="brand",E22="renewal_answer",N(F22)&gt;=Inputs!$C$125),1,0))</f>
        <v/>
      </c>
      <c r="Q22">
        <f>IF(AND(B22="office",E22="budget_probe",ISNUMBER(F22)),F22,"")</f>
        <v/>
      </c>
      <c r="R22">
        <f>IF(AND(B22="brand",E22="budget_probe",ISNUMBER(F22)),F22,"")</f>
        <v/>
      </c>
      <c r="T22" t="inlineStr">
        <is>
          <t>Active offices, to date (signed less opted out)</t>
        </is>
      </c>
      <c r="U22" s="19">
        <f>Pipeline!$U$14-Pipeline!$U$15</f>
        <v/>
      </c>
    </row>
    <row r="23">
      <c r="A23" s="91" t="n"/>
      <c r="B23" s="92" t="n"/>
      <c r="C23" s="92" t="n"/>
      <c r="D23" s="92" t="n"/>
      <c r="E23" s="92" t="n"/>
      <c r="F23" s="92" t="n"/>
      <c r="G23" s="92" t="n"/>
      <c r="H23" s="92" t="n"/>
      <c r="I23" s="92" t="n"/>
      <c r="K23">
        <f>IF(C23="","",IF(COUNTIFS(C$5:C23,C23,E$5:E23,E23)=1,1,0))</f>
        <v/>
      </c>
      <c r="L23">
        <f>IF(C23="",0,IF(AND(B23="brand",E23="budget_probe",N(F23)&gt;=Inputs!$C$114,H23="Y"),1,0))</f>
        <v/>
      </c>
      <c r="M23">
        <f>IF(L23=1,IF(COUNTIFS(C$5:C23,C23,L$5:L23,1)=1,1,0),0)</f>
        <v/>
      </c>
      <c r="N23">
        <f>IF(C23="",0,IF(AND(B23="office",E23="budget_probe",N(F23)&gt;=Inputs!$C$129),1,0))</f>
        <v/>
      </c>
      <c r="O23">
        <f>IF(N23=1,IF(COUNTIFS(C$5:C23,C23,N$5:N23,1)=1,1,0),0)</f>
        <v/>
      </c>
      <c r="P23">
        <f>IF(C23="",0,IF(AND(B23="brand",E23="renewal_answer",N(F23)&gt;=Inputs!$C$125),1,0))</f>
        <v/>
      </c>
      <c r="Q23">
        <f>IF(AND(B23="office",E23="budget_probe",ISNUMBER(F23)),F23,"")</f>
        <v/>
      </c>
      <c r="R23">
        <f>IF(AND(B23="brand",E23="budget_probe",ISNUMBER(F23)),F23,"")</f>
        <v/>
      </c>
    </row>
    <row r="24">
      <c r="A24" s="91" t="n"/>
      <c r="B24" s="92" t="n"/>
      <c r="C24" s="92" t="n"/>
      <c r="D24" s="92" t="n"/>
      <c r="E24" s="92" t="n"/>
      <c r="F24" s="92" t="n"/>
      <c r="G24" s="92" t="n"/>
      <c r="H24" s="92" t="n"/>
      <c r="I24" s="92" t="n"/>
      <c r="K24">
        <f>IF(C24="","",IF(COUNTIFS(C$5:C24,C24,E$5:E24,E24)=1,1,0))</f>
        <v/>
      </c>
      <c r="L24">
        <f>IF(C24="",0,IF(AND(B24="brand",E24="budget_probe",N(F24)&gt;=Inputs!$C$114,H24="Y"),1,0))</f>
        <v/>
      </c>
      <c r="M24">
        <f>IF(L24=1,IF(COUNTIFS(C$5:C24,C24,L$5:L24,1)=1,1,0),0)</f>
        <v/>
      </c>
      <c r="N24">
        <f>IF(C24="",0,IF(AND(B24="office",E24="budget_probe",N(F24)&gt;=Inputs!$C$129),1,0))</f>
        <v/>
      </c>
      <c r="O24">
        <f>IF(N24=1,IF(COUNTIFS(C$5:C24,C24,N$5:N24,1)=1,1,0),0)</f>
        <v/>
      </c>
      <c r="P24">
        <f>IF(C24="",0,IF(AND(B24="brand",E24="renewal_answer",N(F24)&gt;=Inputs!$C$125),1,0))</f>
        <v/>
      </c>
      <c r="Q24">
        <f>IF(AND(B24="office",E24="budget_probe",ISNUMBER(F24)),F24,"")</f>
        <v/>
      </c>
      <c r="R24">
        <f>IF(AND(B24="brand",E24="budget_probe",ISNUMBER(F24)),F24,"")</f>
        <v/>
      </c>
    </row>
    <row r="25">
      <c r="A25" s="91" t="n"/>
      <c r="B25" s="92" t="n"/>
      <c r="C25" s="92" t="n"/>
      <c r="D25" s="92" t="n"/>
      <c r="E25" s="92" t="n"/>
      <c r="F25" s="92" t="n"/>
      <c r="G25" s="92" t="n"/>
      <c r="H25" s="92" t="n"/>
      <c r="I25" s="92" t="n"/>
      <c r="K25">
        <f>IF(C25="","",IF(COUNTIFS(C$5:C25,C25,E$5:E25,E25)=1,1,0))</f>
        <v/>
      </c>
      <c r="L25">
        <f>IF(C25="",0,IF(AND(B25="brand",E25="budget_probe",N(F25)&gt;=Inputs!$C$114,H25="Y"),1,0))</f>
        <v/>
      </c>
      <c r="M25">
        <f>IF(L25=1,IF(COUNTIFS(C$5:C25,C25,L$5:L25,1)=1,1,0),0)</f>
        <v/>
      </c>
      <c r="N25">
        <f>IF(C25="",0,IF(AND(B25="office",E25="budget_probe",N(F25)&gt;=Inputs!$C$129),1,0))</f>
        <v/>
      </c>
      <c r="O25">
        <f>IF(N25=1,IF(COUNTIFS(C$5:C25,C25,N$5:N25,1)=1,1,0),0)</f>
        <v/>
      </c>
      <c r="P25">
        <f>IF(C25="",0,IF(AND(B25="brand",E25="renewal_answer",N(F25)&gt;=Inputs!$C$125),1,0))</f>
        <v/>
      </c>
      <c r="Q25">
        <f>IF(AND(B25="office",E25="budget_probe",ISNUMBER(F25)),F25,"")</f>
        <v/>
      </c>
      <c r="R25">
        <f>IF(AND(B25="brand",E25="budget_probe",ISNUMBER(F25)),F25,"")</f>
        <v/>
      </c>
    </row>
    <row r="26">
      <c r="A26" s="91" t="n"/>
      <c r="B26" s="92" t="n"/>
      <c r="C26" s="92" t="n"/>
      <c r="D26" s="92" t="n"/>
      <c r="E26" s="92" t="n"/>
      <c r="F26" s="92" t="n"/>
      <c r="G26" s="92" t="n"/>
      <c r="H26" s="92" t="n"/>
      <c r="I26" s="92" t="n"/>
      <c r="K26">
        <f>IF(C26="","",IF(COUNTIFS(C$5:C26,C26,E$5:E26,E26)=1,1,0))</f>
        <v/>
      </c>
      <c r="L26">
        <f>IF(C26="",0,IF(AND(B26="brand",E26="budget_probe",N(F26)&gt;=Inputs!$C$114,H26="Y"),1,0))</f>
        <v/>
      </c>
      <c r="M26">
        <f>IF(L26=1,IF(COUNTIFS(C$5:C26,C26,L$5:L26,1)=1,1,0),0)</f>
        <v/>
      </c>
      <c r="N26">
        <f>IF(C26="",0,IF(AND(B26="office",E26="budget_probe",N(F26)&gt;=Inputs!$C$129),1,0))</f>
        <v/>
      </c>
      <c r="O26">
        <f>IF(N26=1,IF(COUNTIFS(C$5:C26,C26,N$5:N26,1)=1,1,0),0)</f>
        <v/>
      </c>
      <c r="P26">
        <f>IF(C26="",0,IF(AND(B26="brand",E26="renewal_answer",N(F26)&gt;=Inputs!$C$125),1,0))</f>
        <v/>
      </c>
      <c r="Q26">
        <f>IF(AND(B26="office",E26="budget_probe",ISNUMBER(F26)),F26,"")</f>
        <v/>
      </c>
      <c r="R26">
        <f>IF(AND(B26="brand",E26="budget_probe",ISNUMBER(F26)),F26,"")</f>
        <v/>
      </c>
    </row>
    <row r="27">
      <c r="A27" s="91" t="n"/>
      <c r="B27" s="92" t="n"/>
      <c r="C27" s="92" t="n"/>
      <c r="D27" s="92" t="n"/>
      <c r="E27" s="92" t="n"/>
      <c r="F27" s="92" t="n"/>
      <c r="G27" s="92" t="n"/>
      <c r="H27" s="92" t="n"/>
      <c r="I27" s="92" t="n"/>
      <c r="K27">
        <f>IF(C27="","",IF(COUNTIFS(C$5:C27,C27,E$5:E27,E27)=1,1,0))</f>
        <v/>
      </c>
      <c r="L27">
        <f>IF(C27="",0,IF(AND(B27="brand",E27="budget_probe",N(F27)&gt;=Inputs!$C$114,H27="Y"),1,0))</f>
        <v/>
      </c>
      <c r="M27">
        <f>IF(L27=1,IF(COUNTIFS(C$5:C27,C27,L$5:L27,1)=1,1,0),0)</f>
        <v/>
      </c>
      <c r="N27">
        <f>IF(C27="",0,IF(AND(B27="office",E27="budget_probe",N(F27)&gt;=Inputs!$C$129),1,0))</f>
        <v/>
      </c>
      <c r="O27">
        <f>IF(N27=1,IF(COUNTIFS(C$5:C27,C27,N$5:N27,1)=1,1,0),0)</f>
        <v/>
      </c>
      <c r="P27">
        <f>IF(C27="",0,IF(AND(B27="brand",E27="renewal_answer",N(F27)&gt;=Inputs!$C$125),1,0))</f>
        <v/>
      </c>
      <c r="Q27">
        <f>IF(AND(B27="office",E27="budget_probe",ISNUMBER(F27)),F27,"")</f>
        <v/>
      </c>
      <c r="R27">
        <f>IF(AND(B27="brand",E27="budget_probe",ISNUMBER(F27)),F27,"")</f>
        <v/>
      </c>
    </row>
    <row r="28">
      <c r="A28" s="91" t="n"/>
      <c r="B28" s="92" t="n"/>
      <c r="C28" s="92" t="n"/>
      <c r="D28" s="92" t="n"/>
      <c r="E28" s="92" t="n"/>
      <c r="F28" s="92" t="n"/>
      <c r="G28" s="92" t="n"/>
      <c r="H28" s="92" t="n"/>
      <c r="I28" s="92" t="n"/>
      <c r="K28">
        <f>IF(C28="","",IF(COUNTIFS(C$5:C28,C28,E$5:E28,E28)=1,1,0))</f>
        <v/>
      </c>
      <c r="L28">
        <f>IF(C28="",0,IF(AND(B28="brand",E28="budget_probe",N(F28)&gt;=Inputs!$C$114,H28="Y"),1,0))</f>
        <v/>
      </c>
      <c r="M28">
        <f>IF(L28=1,IF(COUNTIFS(C$5:C28,C28,L$5:L28,1)=1,1,0),0)</f>
        <v/>
      </c>
      <c r="N28">
        <f>IF(C28="",0,IF(AND(B28="office",E28="budget_probe",N(F28)&gt;=Inputs!$C$129),1,0))</f>
        <v/>
      </c>
      <c r="O28">
        <f>IF(N28=1,IF(COUNTIFS(C$5:C28,C28,N$5:N28,1)=1,1,0),0)</f>
        <v/>
      </c>
      <c r="P28">
        <f>IF(C28="",0,IF(AND(B28="brand",E28="renewal_answer",N(F28)&gt;=Inputs!$C$125),1,0))</f>
        <v/>
      </c>
      <c r="Q28">
        <f>IF(AND(B28="office",E28="budget_probe",ISNUMBER(F28)),F28,"")</f>
        <v/>
      </c>
      <c r="R28">
        <f>IF(AND(B28="brand",E28="budget_probe",ISNUMBER(F28)),F28,"")</f>
        <v/>
      </c>
    </row>
    <row r="29">
      <c r="A29" s="91" t="n"/>
      <c r="B29" s="92" t="n"/>
      <c r="C29" s="92" t="n"/>
      <c r="D29" s="92" t="n"/>
      <c r="E29" s="92" t="n"/>
      <c r="F29" s="92" t="n"/>
      <c r="G29" s="92" t="n"/>
      <c r="H29" s="92" t="n"/>
      <c r="I29" s="92" t="n"/>
      <c r="K29">
        <f>IF(C29="","",IF(COUNTIFS(C$5:C29,C29,E$5:E29,E29)=1,1,0))</f>
        <v/>
      </c>
      <c r="L29">
        <f>IF(C29="",0,IF(AND(B29="brand",E29="budget_probe",N(F29)&gt;=Inputs!$C$114,H29="Y"),1,0))</f>
        <v/>
      </c>
      <c r="M29">
        <f>IF(L29=1,IF(COUNTIFS(C$5:C29,C29,L$5:L29,1)=1,1,0),0)</f>
        <v/>
      </c>
      <c r="N29">
        <f>IF(C29="",0,IF(AND(B29="office",E29="budget_probe",N(F29)&gt;=Inputs!$C$129),1,0))</f>
        <v/>
      </c>
      <c r="O29">
        <f>IF(N29=1,IF(COUNTIFS(C$5:C29,C29,N$5:N29,1)=1,1,0),0)</f>
        <v/>
      </c>
      <c r="P29">
        <f>IF(C29="",0,IF(AND(B29="brand",E29="renewal_answer",N(F29)&gt;=Inputs!$C$125),1,0))</f>
        <v/>
      </c>
      <c r="Q29">
        <f>IF(AND(B29="office",E29="budget_probe",ISNUMBER(F29)),F29,"")</f>
        <v/>
      </c>
      <c r="R29">
        <f>IF(AND(B29="brand",E29="budget_probe",ISNUMBER(F29)),F29,"")</f>
        <v/>
      </c>
    </row>
    <row r="30">
      <c r="A30" s="91" t="n"/>
      <c r="B30" s="92" t="n"/>
      <c r="C30" s="92" t="n"/>
      <c r="D30" s="92" t="n"/>
      <c r="E30" s="92" t="n"/>
      <c r="F30" s="92" t="n"/>
      <c r="G30" s="92" t="n"/>
      <c r="H30" s="92" t="n"/>
      <c r="I30" s="92" t="n"/>
      <c r="K30">
        <f>IF(C30="","",IF(COUNTIFS(C$5:C30,C30,E$5:E30,E30)=1,1,0))</f>
        <v/>
      </c>
      <c r="L30">
        <f>IF(C30="",0,IF(AND(B30="brand",E30="budget_probe",N(F30)&gt;=Inputs!$C$114,H30="Y"),1,0))</f>
        <v/>
      </c>
      <c r="M30">
        <f>IF(L30=1,IF(COUNTIFS(C$5:C30,C30,L$5:L30,1)=1,1,0),0)</f>
        <v/>
      </c>
      <c r="N30">
        <f>IF(C30="",0,IF(AND(B30="office",E30="budget_probe",N(F30)&gt;=Inputs!$C$129),1,0))</f>
        <v/>
      </c>
      <c r="O30">
        <f>IF(N30=1,IF(COUNTIFS(C$5:C30,C30,N$5:N30,1)=1,1,0),0)</f>
        <v/>
      </c>
      <c r="P30">
        <f>IF(C30="",0,IF(AND(B30="brand",E30="renewal_answer",N(F30)&gt;=Inputs!$C$125),1,0))</f>
        <v/>
      </c>
      <c r="Q30">
        <f>IF(AND(B30="office",E30="budget_probe",ISNUMBER(F30)),F30,"")</f>
        <v/>
      </c>
      <c r="R30">
        <f>IF(AND(B30="brand",E30="budget_probe",ISNUMBER(F30)),F30,"")</f>
        <v/>
      </c>
    </row>
    <row r="31">
      <c r="A31" s="91" t="n"/>
      <c r="B31" s="92" t="n"/>
      <c r="C31" s="92" t="n"/>
      <c r="D31" s="92" t="n"/>
      <c r="E31" s="92" t="n"/>
      <c r="F31" s="92" t="n"/>
      <c r="G31" s="92" t="n"/>
      <c r="H31" s="92" t="n"/>
      <c r="I31" s="92" t="n"/>
      <c r="K31">
        <f>IF(C31="","",IF(COUNTIFS(C$5:C31,C31,E$5:E31,E31)=1,1,0))</f>
        <v/>
      </c>
      <c r="L31">
        <f>IF(C31="",0,IF(AND(B31="brand",E31="budget_probe",N(F31)&gt;=Inputs!$C$114,H31="Y"),1,0))</f>
        <v/>
      </c>
      <c r="M31">
        <f>IF(L31=1,IF(COUNTIFS(C$5:C31,C31,L$5:L31,1)=1,1,0),0)</f>
        <v/>
      </c>
      <c r="N31">
        <f>IF(C31="",0,IF(AND(B31="office",E31="budget_probe",N(F31)&gt;=Inputs!$C$129),1,0))</f>
        <v/>
      </c>
      <c r="O31">
        <f>IF(N31=1,IF(COUNTIFS(C$5:C31,C31,N$5:N31,1)=1,1,0),0)</f>
        <v/>
      </c>
      <c r="P31">
        <f>IF(C31="",0,IF(AND(B31="brand",E31="renewal_answer",N(F31)&gt;=Inputs!$C$125),1,0))</f>
        <v/>
      </c>
      <c r="Q31">
        <f>IF(AND(B31="office",E31="budget_probe",ISNUMBER(F31)),F31,"")</f>
        <v/>
      </c>
      <c r="R31">
        <f>IF(AND(B31="brand",E31="budget_probe",ISNUMBER(F31)),F31,"")</f>
        <v/>
      </c>
    </row>
    <row r="32">
      <c r="A32" s="91" t="n"/>
      <c r="B32" s="92" t="n"/>
      <c r="C32" s="92" t="n"/>
      <c r="D32" s="92" t="n"/>
      <c r="E32" s="92" t="n"/>
      <c r="F32" s="92" t="n"/>
      <c r="G32" s="92" t="n"/>
      <c r="H32" s="92" t="n"/>
      <c r="I32" s="92" t="n"/>
      <c r="K32">
        <f>IF(C32="","",IF(COUNTIFS(C$5:C32,C32,E$5:E32,E32)=1,1,0))</f>
        <v/>
      </c>
      <c r="L32">
        <f>IF(C32="",0,IF(AND(B32="brand",E32="budget_probe",N(F32)&gt;=Inputs!$C$114,H32="Y"),1,0))</f>
        <v/>
      </c>
      <c r="M32">
        <f>IF(L32=1,IF(COUNTIFS(C$5:C32,C32,L$5:L32,1)=1,1,0),0)</f>
        <v/>
      </c>
      <c r="N32">
        <f>IF(C32="",0,IF(AND(B32="office",E32="budget_probe",N(F32)&gt;=Inputs!$C$129),1,0))</f>
        <v/>
      </c>
      <c r="O32">
        <f>IF(N32=1,IF(COUNTIFS(C$5:C32,C32,N$5:N32,1)=1,1,0),0)</f>
        <v/>
      </c>
      <c r="P32">
        <f>IF(C32="",0,IF(AND(B32="brand",E32="renewal_answer",N(F32)&gt;=Inputs!$C$125),1,0))</f>
        <v/>
      </c>
      <c r="Q32">
        <f>IF(AND(B32="office",E32="budget_probe",ISNUMBER(F32)),F32,"")</f>
        <v/>
      </c>
      <c r="R32">
        <f>IF(AND(B32="brand",E32="budget_probe",ISNUMBER(F32)),F32,"")</f>
        <v/>
      </c>
    </row>
    <row r="33">
      <c r="A33" s="91" t="n"/>
      <c r="B33" s="92" t="n"/>
      <c r="C33" s="92" t="n"/>
      <c r="D33" s="92" t="n"/>
      <c r="E33" s="92" t="n"/>
      <c r="F33" s="92" t="n"/>
      <c r="G33" s="92" t="n"/>
      <c r="H33" s="92" t="n"/>
      <c r="I33" s="92" t="n"/>
      <c r="K33">
        <f>IF(C33="","",IF(COUNTIFS(C$5:C33,C33,E$5:E33,E33)=1,1,0))</f>
        <v/>
      </c>
      <c r="L33">
        <f>IF(C33="",0,IF(AND(B33="brand",E33="budget_probe",N(F33)&gt;=Inputs!$C$114,H33="Y"),1,0))</f>
        <v/>
      </c>
      <c r="M33">
        <f>IF(L33=1,IF(COUNTIFS(C$5:C33,C33,L$5:L33,1)=1,1,0),0)</f>
        <v/>
      </c>
      <c r="N33">
        <f>IF(C33="",0,IF(AND(B33="office",E33="budget_probe",N(F33)&gt;=Inputs!$C$129),1,0))</f>
        <v/>
      </c>
      <c r="O33">
        <f>IF(N33=1,IF(COUNTIFS(C$5:C33,C33,N$5:N33,1)=1,1,0),0)</f>
        <v/>
      </c>
      <c r="P33">
        <f>IF(C33="",0,IF(AND(B33="brand",E33="renewal_answer",N(F33)&gt;=Inputs!$C$125),1,0))</f>
        <v/>
      </c>
      <c r="Q33">
        <f>IF(AND(B33="office",E33="budget_probe",ISNUMBER(F33)),F33,"")</f>
        <v/>
      </c>
      <c r="R33">
        <f>IF(AND(B33="brand",E33="budget_probe",ISNUMBER(F33)),F33,"")</f>
        <v/>
      </c>
    </row>
    <row r="34">
      <c r="A34" s="91" t="n"/>
      <c r="B34" s="92" t="n"/>
      <c r="C34" s="92" t="n"/>
      <c r="D34" s="92" t="n"/>
      <c r="E34" s="92" t="n"/>
      <c r="F34" s="92" t="n"/>
      <c r="G34" s="92" t="n"/>
      <c r="H34" s="92" t="n"/>
      <c r="I34" s="92" t="n"/>
      <c r="K34">
        <f>IF(C34="","",IF(COUNTIFS(C$5:C34,C34,E$5:E34,E34)=1,1,0))</f>
        <v/>
      </c>
      <c r="L34">
        <f>IF(C34="",0,IF(AND(B34="brand",E34="budget_probe",N(F34)&gt;=Inputs!$C$114,H34="Y"),1,0))</f>
        <v/>
      </c>
      <c r="M34">
        <f>IF(L34=1,IF(COUNTIFS(C$5:C34,C34,L$5:L34,1)=1,1,0),0)</f>
        <v/>
      </c>
      <c r="N34">
        <f>IF(C34="",0,IF(AND(B34="office",E34="budget_probe",N(F34)&gt;=Inputs!$C$129),1,0))</f>
        <v/>
      </c>
      <c r="O34">
        <f>IF(N34=1,IF(COUNTIFS(C$5:C34,C34,N$5:N34,1)=1,1,0),0)</f>
        <v/>
      </c>
      <c r="P34">
        <f>IF(C34="",0,IF(AND(B34="brand",E34="renewal_answer",N(F34)&gt;=Inputs!$C$125),1,0))</f>
        <v/>
      </c>
      <c r="Q34">
        <f>IF(AND(B34="office",E34="budget_probe",ISNUMBER(F34)),F34,"")</f>
        <v/>
      </c>
      <c r="R34">
        <f>IF(AND(B34="brand",E34="budget_probe",ISNUMBER(F34)),F34,"")</f>
        <v/>
      </c>
    </row>
    <row r="35">
      <c r="A35" s="91" t="n"/>
      <c r="B35" s="92" t="n"/>
      <c r="C35" s="92" t="n"/>
      <c r="D35" s="92" t="n"/>
      <c r="E35" s="92" t="n"/>
      <c r="F35" s="92" t="n"/>
      <c r="G35" s="92" t="n"/>
      <c r="H35" s="92" t="n"/>
      <c r="I35" s="92" t="n"/>
      <c r="K35">
        <f>IF(C35="","",IF(COUNTIFS(C$5:C35,C35,E$5:E35,E35)=1,1,0))</f>
        <v/>
      </c>
      <c r="L35">
        <f>IF(C35="",0,IF(AND(B35="brand",E35="budget_probe",N(F35)&gt;=Inputs!$C$114,H35="Y"),1,0))</f>
        <v/>
      </c>
      <c r="M35">
        <f>IF(L35=1,IF(COUNTIFS(C$5:C35,C35,L$5:L35,1)=1,1,0),0)</f>
        <v/>
      </c>
      <c r="N35">
        <f>IF(C35="",0,IF(AND(B35="office",E35="budget_probe",N(F35)&gt;=Inputs!$C$129),1,0))</f>
        <v/>
      </c>
      <c r="O35">
        <f>IF(N35=1,IF(COUNTIFS(C$5:C35,C35,N$5:N35,1)=1,1,0),0)</f>
        <v/>
      </c>
      <c r="P35">
        <f>IF(C35="",0,IF(AND(B35="brand",E35="renewal_answer",N(F35)&gt;=Inputs!$C$125),1,0))</f>
        <v/>
      </c>
      <c r="Q35">
        <f>IF(AND(B35="office",E35="budget_probe",ISNUMBER(F35)),F35,"")</f>
        <v/>
      </c>
      <c r="R35">
        <f>IF(AND(B35="brand",E35="budget_probe",ISNUMBER(F35)),F35,"")</f>
        <v/>
      </c>
    </row>
    <row r="36">
      <c r="A36" s="91" t="n"/>
      <c r="B36" s="92" t="n"/>
      <c r="C36" s="92" t="n"/>
      <c r="D36" s="92" t="n"/>
      <c r="E36" s="92" t="n"/>
      <c r="F36" s="92" t="n"/>
      <c r="G36" s="92" t="n"/>
      <c r="H36" s="92" t="n"/>
      <c r="I36" s="92" t="n"/>
      <c r="K36">
        <f>IF(C36="","",IF(COUNTIFS(C$5:C36,C36,E$5:E36,E36)=1,1,0))</f>
        <v/>
      </c>
      <c r="L36">
        <f>IF(C36="",0,IF(AND(B36="brand",E36="budget_probe",N(F36)&gt;=Inputs!$C$114,H36="Y"),1,0))</f>
        <v/>
      </c>
      <c r="M36">
        <f>IF(L36=1,IF(COUNTIFS(C$5:C36,C36,L$5:L36,1)=1,1,0),0)</f>
        <v/>
      </c>
      <c r="N36">
        <f>IF(C36="",0,IF(AND(B36="office",E36="budget_probe",N(F36)&gt;=Inputs!$C$129),1,0))</f>
        <v/>
      </c>
      <c r="O36">
        <f>IF(N36=1,IF(COUNTIFS(C$5:C36,C36,N$5:N36,1)=1,1,0),0)</f>
        <v/>
      </c>
      <c r="P36">
        <f>IF(C36="",0,IF(AND(B36="brand",E36="renewal_answer",N(F36)&gt;=Inputs!$C$125),1,0))</f>
        <v/>
      </c>
      <c r="Q36">
        <f>IF(AND(B36="office",E36="budget_probe",ISNUMBER(F36)),F36,"")</f>
        <v/>
      </c>
      <c r="R36">
        <f>IF(AND(B36="brand",E36="budget_probe",ISNUMBER(F36)),F36,"")</f>
        <v/>
      </c>
    </row>
    <row r="37">
      <c r="A37" s="91" t="n"/>
      <c r="B37" s="92" t="n"/>
      <c r="C37" s="92" t="n"/>
      <c r="D37" s="92" t="n"/>
      <c r="E37" s="92" t="n"/>
      <c r="F37" s="92" t="n"/>
      <c r="G37" s="92" t="n"/>
      <c r="H37" s="92" t="n"/>
      <c r="I37" s="92" t="n"/>
      <c r="K37">
        <f>IF(C37="","",IF(COUNTIFS(C$5:C37,C37,E$5:E37,E37)=1,1,0))</f>
        <v/>
      </c>
      <c r="L37">
        <f>IF(C37="",0,IF(AND(B37="brand",E37="budget_probe",N(F37)&gt;=Inputs!$C$114,H37="Y"),1,0))</f>
        <v/>
      </c>
      <c r="M37">
        <f>IF(L37=1,IF(COUNTIFS(C$5:C37,C37,L$5:L37,1)=1,1,0),0)</f>
        <v/>
      </c>
      <c r="N37">
        <f>IF(C37="",0,IF(AND(B37="office",E37="budget_probe",N(F37)&gt;=Inputs!$C$129),1,0))</f>
        <v/>
      </c>
      <c r="O37">
        <f>IF(N37=1,IF(COUNTIFS(C$5:C37,C37,N$5:N37,1)=1,1,0),0)</f>
        <v/>
      </c>
      <c r="P37">
        <f>IF(C37="",0,IF(AND(B37="brand",E37="renewal_answer",N(F37)&gt;=Inputs!$C$125),1,0))</f>
        <v/>
      </c>
      <c r="Q37">
        <f>IF(AND(B37="office",E37="budget_probe",ISNUMBER(F37)),F37,"")</f>
        <v/>
      </c>
      <c r="R37">
        <f>IF(AND(B37="brand",E37="budget_probe",ISNUMBER(F37)),F37,"")</f>
        <v/>
      </c>
    </row>
    <row r="38">
      <c r="A38" s="91" t="n"/>
      <c r="B38" s="92" t="n"/>
      <c r="C38" s="92" t="n"/>
      <c r="D38" s="92" t="n"/>
      <c r="E38" s="92" t="n"/>
      <c r="F38" s="92" t="n"/>
      <c r="G38" s="92" t="n"/>
      <c r="H38" s="92" t="n"/>
      <c r="I38" s="92" t="n"/>
      <c r="K38">
        <f>IF(C38="","",IF(COUNTIFS(C$5:C38,C38,E$5:E38,E38)=1,1,0))</f>
        <v/>
      </c>
      <c r="L38">
        <f>IF(C38="",0,IF(AND(B38="brand",E38="budget_probe",N(F38)&gt;=Inputs!$C$114,H38="Y"),1,0))</f>
        <v/>
      </c>
      <c r="M38">
        <f>IF(L38=1,IF(COUNTIFS(C$5:C38,C38,L$5:L38,1)=1,1,0),0)</f>
        <v/>
      </c>
      <c r="N38">
        <f>IF(C38="",0,IF(AND(B38="office",E38="budget_probe",N(F38)&gt;=Inputs!$C$129),1,0))</f>
        <v/>
      </c>
      <c r="O38">
        <f>IF(N38=1,IF(COUNTIFS(C$5:C38,C38,N$5:N38,1)=1,1,0),0)</f>
        <v/>
      </c>
      <c r="P38">
        <f>IF(C38="",0,IF(AND(B38="brand",E38="renewal_answer",N(F38)&gt;=Inputs!$C$125),1,0))</f>
        <v/>
      </c>
      <c r="Q38">
        <f>IF(AND(B38="office",E38="budget_probe",ISNUMBER(F38)),F38,"")</f>
        <v/>
      </c>
      <c r="R38">
        <f>IF(AND(B38="brand",E38="budget_probe",ISNUMBER(F38)),F38,"")</f>
        <v/>
      </c>
    </row>
    <row r="39">
      <c r="A39" s="91" t="n"/>
      <c r="B39" s="92" t="n"/>
      <c r="C39" s="92" t="n"/>
      <c r="D39" s="92" t="n"/>
      <c r="E39" s="92" t="n"/>
      <c r="F39" s="92" t="n"/>
      <c r="G39" s="92" t="n"/>
      <c r="H39" s="92" t="n"/>
      <c r="I39" s="92" t="n"/>
      <c r="K39">
        <f>IF(C39="","",IF(COUNTIFS(C$5:C39,C39,E$5:E39,E39)=1,1,0))</f>
        <v/>
      </c>
      <c r="L39">
        <f>IF(C39="",0,IF(AND(B39="brand",E39="budget_probe",N(F39)&gt;=Inputs!$C$114,H39="Y"),1,0))</f>
        <v/>
      </c>
      <c r="M39">
        <f>IF(L39=1,IF(COUNTIFS(C$5:C39,C39,L$5:L39,1)=1,1,0),0)</f>
        <v/>
      </c>
      <c r="N39">
        <f>IF(C39="",0,IF(AND(B39="office",E39="budget_probe",N(F39)&gt;=Inputs!$C$129),1,0))</f>
        <v/>
      </c>
      <c r="O39">
        <f>IF(N39=1,IF(COUNTIFS(C$5:C39,C39,N$5:N39,1)=1,1,0),0)</f>
        <v/>
      </c>
      <c r="P39">
        <f>IF(C39="",0,IF(AND(B39="brand",E39="renewal_answer",N(F39)&gt;=Inputs!$C$125),1,0))</f>
        <v/>
      </c>
      <c r="Q39">
        <f>IF(AND(B39="office",E39="budget_probe",ISNUMBER(F39)),F39,"")</f>
        <v/>
      </c>
      <c r="R39">
        <f>IF(AND(B39="brand",E39="budget_probe",ISNUMBER(F39)),F39,"")</f>
        <v/>
      </c>
    </row>
    <row r="40">
      <c r="A40" s="91" t="n"/>
      <c r="B40" s="92" t="n"/>
      <c r="C40" s="92" t="n"/>
      <c r="D40" s="92" t="n"/>
      <c r="E40" s="92" t="n"/>
      <c r="F40" s="92" t="n"/>
      <c r="G40" s="92" t="n"/>
      <c r="H40" s="92" t="n"/>
      <c r="I40" s="92" t="n"/>
      <c r="K40">
        <f>IF(C40="","",IF(COUNTIFS(C$5:C40,C40,E$5:E40,E40)=1,1,0))</f>
        <v/>
      </c>
      <c r="L40">
        <f>IF(C40="",0,IF(AND(B40="brand",E40="budget_probe",N(F40)&gt;=Inputs!$C$114,H40="Y"),1,0))</f>
        <v/>
      </c>
      <c r="M40">
        <f>IF(L40=1,IF(COUNTIFS(C$5:C40,C40,L$5:L40,1)=1,1,0),0)</f>
        <v/>
      </c>
      <c r="N40">
        <f>IF(C40="",0,IF(AND(B40="office",E40="budget_probe",N(F40)&gt;=Inputs!$C$129),1,0))</f>
        <v/>
      </c>
      <c r="O40">
        <f>IF(N40=1,IF(COUNTIFS(C$5:C40,C40,N$5:N40,1)=1,1,0),0)</f>
        <v/>
      </c>
      <c r="P40">
        <f>IF(C40="",0,IF(AND(B40="brand",E40="renewal_answer",N(F40)&gt;=Inputs!$C$125),1,0))</f>
        <v/>
      </c>
      <c r="Q40">
        <f>IF(AND(B40="office",E40="budget_probe",ISNUMBER(F40)),F40,"")</f>
        <v/>
      </c>
      <c r="R40">
        <f>IF(AND(B40="brand",E40="budget_probe",ISNUMBER(F40)),F40,"")</f>
        <v/>
      </c>
    </row>
    <row r="41">
      <c r="A41" s="91" t="n"/>
      <c r="B41" s="92" t="n"/>
      <c r="C41" s="92" t="n"/>
      <c r="D41" s="92" t="n"/>
      <c r="E41" s="92" t="n"/>
      <c r="F41" s="92" t="n"/>
      <c r="G41" s="92" t="n"/>
      <c r="H41" s="92" t="n"/>
      <c r="I41" s="92" t="n"/>
      <c r="K41">
        <f>IF(C41="","",IF(COUNTIFS(C$5:C41,C41,E$5:E41,E41)=1,1,0))</f>
        <v/>
      </c>
      <c r="L41">
        <f>IF(C41="",0,IF(AND(B41="brand",E41="budget_probe",N(F41)&gt;=Inputs!$C$114,H41="Y"),1,0))</f>
        <v/>
      </c>
      <c r="M41">
        <f>IF(L41=1,IF(COUNTIFS(C$5:C41,C41,L$5:L41,1)=1,1,0),0)</f>
        <v/>
      </c>
      <c r="N41">
        <f>IF(C41="",0,IF(AND(B41="office",E41="budget_probe",N(F41)&gt;=Inputs!$C$129),1,0))</f>
        <v/>
      </c>
      <c r="O41">
        <f>IF(N41=1,IF(COUNTIFS(C$5:C41,C41,N$5:N41,1)=1,1,0),0)</f>
        <v/>
      </c>
      <c r="P41">
        <f>IF(C41="",0,IF(AND(B41="brand",E41="renewal_answer",N(F41)&gt;=Inputs!$C$125),1,0))</f>
        <v/>
      </c>
      <c r="Q41">
        <f>IF(AND(B41="office",E41="budget_probe",ISNUMBER(F41)),F41,"")</f>
        <v/>
      </c>
      <c r="R41">
        <f>IF(AND(B41="brand",E41="budget_probe",ISNUMBER(F41)),F41,"")</f>
        <v/>
      </c>
    </row>
    <row r="42">
      <c r="A42" s="91" t="n"/>
      <c r="B42" s="92" t="n"/>
      <c r="C42" s="92" t="n"/>
      <c r="D42" s="92" t="n"/>
      <c r="E42" s="92" t="n"/>
      <c r="F42" s="92" t="n"/>
      <c r="G42" s="92" t="n"/>
      <c r="H42" s="92" t="n"/>
      <c r="I42" s="92" t="n"/>
      <c r="K42">
        <f>IF(C42="","",IF(COUNTIFS(C$5:C42,C42,E$5:E42,E42)=1,1,0))</f>
        <v/>
      </c>
      <c r="L42">
        <f>IF(C42="",0,IF(AND(B42="brand",E42="budget_probe",N(F42)&gt;=Inputs!$C$114,H42="Y"),1,0))</f>
        <v/>
      </c>
      <c r="M42">
        <f>IF(L42=1,IF(COUNTIFS(C$5:C42,C42,L$5:L42,1)=1,1,0),0)</f>
        <v/>
      </c>
      <c r="N42">
        <f>IF(C42="",0,IF(AND(B42="office",E42="budget_probe",N(F42)&gt;=Inputs!$C$129),1,0))</f>
        <v/>
      </c>
      <c r="O42">
        <f>IF(N42=1,IF(COUNTIFS(C$5:C42,C42,N$5:N42,1)=1,1,0),0)</f>
        <v/>
      </c>
      <c r="P42">
        <f>IF(C42="",0,IF(AND(B42="brand",E42="renewal_answer",N(F42)&gt;=Inputs!$C$125),1,0))</f>
        <v/>
      </c>
      <c r="Q42">
        <f>IF(AND(B42="office",E42="budget_probe",ISNUMBER(F42)),F42,"")</f>
        <v/>
      </c>
      <c r="R42">
        <f>IF(AND(B42="brand",E42="budget_probe",ISNUMBER(F42)),F42,"")</f>
        <v/>
      </c>
    </row>
    <row r="43">
      <c r="A43" s="91" t="n"/>
      <c r="B43" s="92" t="n"/>
      <c r="C43" s="92" t="n"/>
      <c r="D43" s="92" t="n"/>
      <c r="E43" s="92" t="n"/>
      <c r="F43" s="92" t="n"/>
      <c r="G43" s="92" t="n"/>
      <c r="H43" s="92" t="n"/>
      <c r="I43" s="92" t="n"/>
      <c r="K43">
        <f>IF(C43="","",IF(COUNTIFS(C$5:C43,C43,E$5:E43,E43)=1,1,0))</f>
        <v/>
      </c>
      <c r="L43">
        <f>IF(C43="",0,IF(AND(B43="brand",E43="budget_probe",N(F43)&gt;=Inputs!$C$114,H43="Y"),1,0))</f>
        <v/>
      </c>
      <c r="M43">
        <f>IF(L43=1,IF(COUNTIFS(C$5:C43,C43,L$5:L43,1)=1,1,0),0)</f>
        <v/>
      </c>
      <c r="N43">
        <f>IF(C43="",0,IF(AND(B43="office",E43="budget_probe",N(F43)&gt;=Inputs!$C$129),1,0))</f>
        <v/>
      </c>
      <c r="O43">
        <f>IF(N43=1,IF(COUNTIFS(C$5:C43,C43,N$5:N43,1)=1,1,0),0)</f>
        <v/>
      </c>
      <c r="P43">
        <f>IF(C43="",0,IF(AND(B43="brand",E43="renewal_answer",N(F43)&gt;=Inputs!$C$125),1,0))</f>
        <v/>
      </c>
      <c r="Q43">
        <f>IF(AND(B43="office",E43="budget_probe",ISNUMBER(F43)),F43,"")</f>
        <v/>
      </c>
      <c r="R43">
        <f>IF(AND(B43="brand",E43="budget_probe",ISNUMBER(F43)),F43,"")</f>
        <v/>
      </c>
    </row>
    <row r="44">
      <c r="A44" s="91" t="n"/>
      <c r="B44" s="92" t="n"/>
      <c r="C44" s="92" t="n"/>
      <c r="D44" s="92" t="n"/>
      <c r="E44" s="92" t="n"/>
      <c r="F44" s="92" t="n"/>
      <c r="G44" s="92" t="n"/>
      <c r="H44" s="92" t="n"/>
      <c r="I44" s="92" t="n"/>
      <c r="K44">
        <f>IF(C44="","",IF(COUNTIFS(C$5:C44,C44,E$5:E44,E44)=1,1,0))</f>
        <v/>
      </c>
      <c r="L44">
        <f>IF(C44="",0,IF(AND(B44="brand",E44="budget_probe",N(F44)&gt;=Inputs!$C$114,H44="Y"),1,0))</f>
        <v/>
      </c>
      <c r="M44">
        <f>IF(L44=1,IF(COUNTIFS(C$5:C44,C44,L$5:L44,1)=1,1,0),0)</f>
        <v/>
      </c>
      <c r="N44">
        <f>IF(C44="",0,IF(AND(B44="office",E44="budget_probe",N(F44)&gt;=Inputs!$C$129),1,0))</f>
        <v/>
      </c>
      <c r="O44">
        <f>IF(N44=1,IF(COUNTIFS(C$5:C44,C44,N$5:N44,1)=1,1,0),0)</f>
        <v/>
      </c>
      <c r="P44">
        <f>IF(C44="",0,IF(AND(B44="brand",E44="renewal_answer",N(F44)&gt;=Inputs!$C$125),1,0))</f>
        <v/>
      </c>
      <c r="Q44">
        <f>IF(AND(B44="office",E44="budget_probe",ISNUMBER(F44)),F44,"")</f>
        <v/>
      </c>
      <c r="R44">
        <f>IF(AND(B44="brand",E44="budget_probe",ISNUMBER(F44)),F44,"")</f>
        <v/>
      </c>
    </row>
    <row r="45">
      <c r="A45" s="91" t="n"/>
      <c r="B45" s="92" t="n"/>
      <c r="C45" s="92" t="n"/>
      <c r="D45" s="92" t="n"/>
      <c r="E45" s="92" t="n"/>
      <c r="F45" s="92" t="n"/>
      <c r="G45" s="92" t="n"/>
      <c r="H45" s="92" t="n"/>
      <c r="I45" s="92" t="n"/>
      <c r="K45">
        <f>IF(C45="","",IF(COUNTIFS(C$5:C45,C45,E$5:E45,E45)=1,1,0))</f>
        <v/>
      </c>
      <c r="L45">
        <f>IF(C45="",0,IF(AND(B45="brand",E45="budget_probe",N(F45)&gt;=Inputs!$C$114,H45="Y"),1,0))</f>
        <v/>
      </c>
      <c r="M45">
        <f>IF(L45=1,IF(COUNTIFS(C$5:C45,C45,L$5:L45,1)=1,1,0),0)</f>
        <v/>
      </c>
      <c r="N45">
        <f>IF(C45="",0,IF(AND(B45="office",E45="budget_probe",N(F45)&gt;=Inputs!$C$129),1,0))</f>
        <v/>
      </c>
      <c r="O45">
        <f>IF(N45=1,IF(COUNTIFS(C$5:C45,C45,N$5:N45,1)=1,1,0),0)</f>
        <v/>
      </c>
      <c r="P45">
        <f>IF(C45="",0,IF(AND(B45="brand",E45="renewal_answer",N(F45)&gt;=Inputs!$C$125),1,0))</f>
        <v/>
      </c>
      <c r="Q45">
        <f>IF(AND(B45="office",E45="budget_probe",ISNUMBER(F45)),F45,"")</f>
        <v/>
      </c>
      <c r="R45">
        <f>IF(AND(B45="brand",E45="budget_probe",ISNUMBER(F45)),F45,"")</f>
        <v/>
      </c>
    </row>
    <row r="46">
      <c r="A46" s="91" t="n"/>
      <c r="B46" s="92" t="n"/>
      <c r="C46" s="92" t="n"/>
      <c r="D46" s="92" t="n"/>
      <c r="E46" s="92" t="n"/>
      <c r="F46" s="92" t="n"/>
      <c r="G46" s="92" t="n"/>
      <c r="H46" s="92" t="n"/>
      <c r="I46" s="92" t="n"/>
      <c r="K46">
        <f>IF(C46="","",IF(COUNTIFS(C$5:C46,C46,E$5:E46,E46)=1,1,0))</f>
        <v/>
      </c>
      <c r="L46">
        <f>IF(C46="",0,IF(AND(B46="brand",E46="budget_probe",N(F46)&gt;=Inputs!$C$114,H46="Y"),1,0))</f>
        <v/>
      </c>
      <c r="M46">
        <f>IF(L46=1,IF(COUNTIFS(C$5:C46,C46,L$5:L46,1)=1,1,0),0)</f>
        <v/>
      </c>
      <c r="N46">
        <f>IF(C46="",0,IF(AND(B46="office",E46="budget_probe",N(F46)&gt;=Inputs!$C$129),1,0))</f>
        <v/>
      </c>
      <c r="O46">
        <f>IF(N46=1,IF(COUNTIFS(C$5:C46,C46,N$5:N46,1)=1,1,0),0)</f>
        <v/>
      </c>
      <c r="P46">
        <f>IF(C46="",0,IF(AND(B46="brand",E46="renewal_answer",N(F46)&gt;=Inputs!$C$125),1,0))</f>
        <v/>
      </c>
      <c r="Q46">
        <f>IF(AND(B46="office",E46="budget_probe",ISNUMBER(F46)),F46,"")</f>
        <v/>
      </c>
      <c r="R46">
        <f>IF(AND(B46="brand",E46="budget_probe",ISNUMBER(F46)),F46,"")</f>
        <v/>
      </c>
    </row>
    <row r="47">
      <c r="A47" s="91" t="n"/>
      <c r="B47" s="92" t="n"/>
      <c r="C47" s="92" t="n"/>
      <c r="D47" s="92" t="n"/>
      <c r="E47" s="92" t="n"/>
      <c r="F47" s="92" t="n"/>
      <c r="G47" s="92" t="n"/>
      <c r="H47" s="92" t="n"/>
      <c r="I47" s="92" t="n"/>
      <c r="K47">
        <f>IF(C47="","",IF(COUNTIFS(C$5:C47,C47,E$5:E47,E47)=1,1,0))</f>
        <v/>
      </c>
      <c r="L47">
        <f>IF(C47="",0,IF(AND(B47="brand",E47="budget_probe",N(F47)&gt;=Inputs!$C$114,H47="Y"),1,0))</f>
        <v/>
      </c>
      <c r="M47">
        <f>IF(L47=1,IF(COUNTIFS(C$5:C47,C47,L$5:L47,1)=1,1,0),0)</f>
        <v/>
      </c>
      <c r="N47">
        <f>IF(C47="",0,IF(AND(B47="office",E47="budget_probe",N(F47)&gt;=Inputs!$C$129),1,0))</f>
        <v/>
      </c>
      <c r="O47">
        <f>IF(N47=1,IF(COUNTIFS(C$5:C47,C47,N$5:N47,1)=1,1,0),0)</f>
        <v/>
      </c>
      <c r="P47">
        <f>IF(C47="",0,IF(AND(B47="brand",E47="renewal_answer",N(F47)&gt;=Inputs!$C$125),1,0))</f>
        <v/>
      </c>
      <c r="Q47">
        <f>IF(AND(B47="office",E47="budget_probe",ISNUMBER(F47)),F47,"")</f>
        <v/>
      </c>
      <c r="R47">
        <f>IF(AND(B47="brand",E47="budget_probe",ISNUMBER(F47)),F47,"")</f>
        <v/>
      </c>
    </row>
    <row r="48">
      <c r="A48" s="91" t="n"/>
      <c r="B48" s="92" t="n"/>
      <c r="C48" s="92" t="n"/>
      <c r="D48" s="92" t="n"/>
      <c r="E48" s="92" t="n"/>
      <c r="F48" s="92" t="n"/>
      <c r="G48" s="92" t="n"/>
      <c r="H48" s="92" t="n"/>
      <c r="I48" s="92" t="n"/>
      <c r="K48">
        <f>IF(C48="","",IF(COUNTIFS(C$5:C48,C48,E$5:E48,E48)=1,1,0))</f>
        <v/>
      </c>
      <c r="L48">
        <f>IF(C48="",0,IF(AND(B48="brand",E48="budget_probe",N(F48)&gt;=Inputs!$C$114,H48="Y"),1,0))</f>
        <v/>
      </c>
      <c r="M48">
        <f>IF(L48=1,IF(COUNTIFS(C$5:C48,C48,L$5:L48,1)=1,1,0),0)</f>
        <v/>
      </c>
      <c r="N48">
        <f>IF(C48="",0,IF(AND(B48="office",E48="budget_probe",N(F48)&gt;=Inputs!$C$129),1,0))</f>
        <v/>
      </c>
      <c r="O48">
        <f>IF(N48=1,IF(COUNTIFS(C$5:C48,C48,N$5:N48,1)=1,1,0),0)</f>
        <v/>
      </c>
      <c r="P48">
        <f>IF(C48="",0,IF(AND(B48="brand",E48="renewal_answer",N(F48)&gt;=Inputs!$C$125),1,0))</f>
        <v/>
      </c>
      <c r="Q48">
        <f>IF(AND(B48="office",E48="budget_probe",ISNUMBER(F48)),F48,"")</f>
        <v/>
      </c>
      <c r="R48">
        <f>IF(AND(B48="brand",E48="budget_probe",ISNUMBER(F48)),F48,"")</f>
        <v/>
      </c>
    </row>
    <row r="49">
      <c r="A49" s="91" t="n"/>
      <c r="B49" s="92" t="n"/>
      <c r="C49" s="92" t="n"/>
      <c r="D49" s="92" t="n"/>
      <c r="E49" s="92" t="n"/>
      <c r="F49" s="92" t="n"/>
      <c r="G49" s="92" t="n"/>
      <c r="H49" s="92" t="n"/>
      <c r="I49" s="92" t="n"/>
      <c r="K49">
        <f>IF(C49="","",IF(COUNTIFS(C$5:C49,C49,E$5:E49,E49)=1,1,0))</f>
        <v/>
      </c>
      <c r="L49">
        <f>IF(C49="",0,IF(AND(B49="brand",E49="budget_probe",N(F49)&gt;=Inputs!$C$114,H49="Y"),1,0))</f>
        <v/>
      </c>
      <c r="M49">
        <f>IF(L49=1,IF(COUNTIFS(C$5:C49,C49,L$5:L49,1)=1,1,0),0)</f>
        <v/>
      </c>
      <c r="N49">
        <f>IF(C49="",0,IF(AND(B49="office",E49="budget_probe",N(F49)&gt;=Inputs!$C$129),1,0))</f>
        <v/>
      </c>
      <c r="O49">
        <f>IF(N49=1,IF(COUNTIFS(C$5:C49,C49,N$5:N49,1)=1,1,0),0)</f>
        <v/>
      </c>
      <c r="P49">
        <f>IF(C49="",0,IF(AND(B49="brand",E49="renewal_answer",N(F49)&gt;=Inputs!$C$125),1,0))</f>
        <v/>
      </c>
      <c r="Q49">
        <f>IF(AND(B49="office",E49="budget_probe",ISNUMBER(F49)),F49,"")</f>
        <v/>
      </c>
      <c r="R49">
        <f>IF(AND(B49="brand",E49="budget_probe",ISNUMBER(F49)),F49,"")</f>
        <v/>
      </c>
    </row>
    <row r="50">
      <c r="A50" s="91" t="n"/>
      <c r="B50" s="92" t="n"/>
      <c r="C50" s="92" t="n"/>
      <c r="D50" s="92" t="n"/>
      <c r="E50" s="92" t="n"/>
      <c r="F50" s="92" t="n"/>
      <c r="G50" s="92" t="n"/>
      <c r="H50" s="92" t="n"/>
      <c r="I50" s="92" t="n"/>
      <c r="K50">
        <f>IF(C50="","",IF(COUNTIFS(C$5:C50,C50,E$5:E50,E50)=1,1,0))</f>
        <v/>
      </c>
      <c r="L50">
        <f>IF(C50="",0,IF(AND(B50="brand",E50="budget_probe",N(F50)&gt;=Inputs!$C$114,H50="Y"),1,0))</f>
        <v/>
      </c>
      <c r="M50">
        <f>IF(L50=1,IF(COUNTIFS(C$5:C50,C50,L$5:L50,1)=1,1,0),0)</f>
        <v/>
      </c>
      <c r="N50">
        <f>IF(C50="",0,IF(AND(B50="office",E50="budget_probe",N(F50)&gt;=Inputs!$C$129),1,0))</f>
        <v/>
      </c>
      <c r="O50">
        <f>IF(N50=1,IF(COUNTIFS(C$5:C50,C50,N$5:N50,1)=1,1,0),0)</f>
        <v/>
      </c>
      <c r="P50">
        <f>IF(C50="",0,IF(AND(B50="brand",E50="renewal_answer",N(F50)&gt;=Inputs!$C$125),1,0))</f>
        <v/>
      </c>
      <c r="Q50">
        <f>IF(AND(B50="office",E50="budget_probe",ISNUMBER(F50)),F50,"")</f>
        <v/>
      </c>
      <c r="R50">
        <f>IF(AND(B50="brand",E50="budget_probe",ISNUMBER(F50)),F50,"")</f>
        <v/>
      </c>
    </row>
    <row r="51">
      <c r="A51" s="91" t="n"/>
      <c r="B51" s="92" t="n"/>
      <c r="C51" s="92" t="n"/>
      <c r="D51" s="92" t="n"/>
      <c r="E51" s="92" t="n"/>
      <c r="F51" s="92" t="n"/>
      <c r="G51" s="92" t="n"/>
      <c r="H51" s="92" t="n"/>
      <c r="I51" s="92" t="n"/>
      <c r="K51">
        <f>IF(C51="","",IF(COUNTIFS(C$5:C51,C51,E$5:E51,E51)=1,1,0))</f>
        <v/>
      </c>
      <c r="L51">
        <f>IF(C51="",0,IF(AND(B51="brand",E51="budget_probe",N(F51)&gt;=Inputs!$C$114,H51="Y"),1,0))</f>
        <v/>
      </c>
      <c r="M51">
        <f>IF(L51=1,IF(COUNTIFS(C$5:C51,C51,L$5:L51,1)=1,1,0),0)</f>
        <v/>
      </c>
      <c r="N51">
        <f>IF(C51="",0,IF(AND(B51="office",E51="budget_probe",N(F51)&gt;=Inputs!$C$129),1,0))</f>
        <v/>
      </c>
      <c r="O51">
        <f>IF(N51=1,IF(COUNTIFS(C$5:C51,C51,N$5:N51,1)=1,1,0),0)</f>
        <v/>
      </c>
      <c r="P51">
        <f>IF(C51="",0,IF(AND(B51="brand",E51="renewal_answer",N(F51)&gt;=Inputs!$C$125),1,0))</f>
        <v/>
      </c>
      <c r="Q51">
        <f>IF(AND(B51="office",E51="budget_probe",ISNUMBER(F51)),F51,"")</f>
        <v/>
      </c>
      <c r="R51">
        <f>IF(AND(B51="brand",E51="budget_probe",ISNUMBER(F51)),F51,"")</f>
        <v/>
      </c>
    </row>
    <row r="52">
      <c r="A52" s="91" t="n"/>
      <c r="B52" s="92" t="n"/>
      <c r="C52" s="92" t="n"/>
      <c r="D52" s="92" t="n"/>
      <c r="E52" s="92" t="n"/>
      <c r="F52" s="92" t="n"/>
      <c r="G52" s="92" t="n"/>
      <c r="H52" s="92" t="n"/>
      <c r="I52" s="92" t="n"/>
      <c r="K52">
        <f>IF(C52="","",IF(COUNTIFS(C$5:C52,C52,E$5:E52,E52)=1,1,0))</f>
        <v/>
      </c>
      <c r="L52">
        <f>IF(C52="",0,IF(AND(B52="brand",E52="budget_probe",N(F52)&gt;=Inputs!$C$114,H52="Y"),1,0))</f>
        <v/>
      </c>
      <c r="M52">
        <f>IF(L52=1,IF(COUNTIFS(C$5:C52,C52,L$5:L52,1)=1,1,0),0)</f>
        <v/>
      </c>
      <c r="N52">
        <f>IF(C52="",0,IF(AND(B52="office",E52="budget_probe",N(F52)&gt;=Inputs!$C$129),1,0))</f>
        <v/>
      </c>
      <c r="O52">
        <f>IF(N52=1,IF(COUNTIFS(C$5:C52,C52,N$5:N52,1)=1,1,0),0)</f>
        <v/>
      </c>
      <c r="P52">
        <f>IF(C52="",0,IF(AND(B52="brand",E52="renewal_answer",N(F52)&gt;=Inputs!$C$125),1,0))</f>
        <v/>
      </c>
      <c r="Q52">
        <f>IF(AND(B52="office",E52="budget_probe",ISNUMBER(F52)),F52,"")</f>
        <v/>
      </c>
      <c r="R52">
        <f>IF(AND(B52="brand",E52="budget_probe",ISNUMBER(F52)),F52,"")</f>
        <v/>
      </c>
    </row>
    <row r="53">
      <c r="A53" s="91" t="n"/>
      <c r="B53" s="92" t="n"/>
      <c r="C53" s="92" t="n"/>
      <c r="D53" s="92" t="n"/>
      <c r="E53" s="92" t="n"/>
      <c r="F53" s="92" t="n"/>
      <c r="G53" s="92" t="n"/>
      <c r="H53" s="92" t="n"/>
      <c r="I53" s="92" t="n"/>
      <c r="K53">
        <f>IF(C53="","",IF(COUNTIFS(C$5:C53,C53,E$5:E53,E53)=1,1,0))</f>
        <v/>
      </c>
      <c r="L53">
        <f>IF(C53="",0,IF(AND(B53="brand",E53="budget_probe",N(F53)&gt;=Inputs!$C$114,H53="Y"),1,0))</f>
        <v/>
      </c>
      <c r="M53">
        <f>IF(L53=1,IF(COUNTIFS(C$5:C53,C53,L$5:L53,1)=1,1,0),0)</f>
        <v/>
      </c>
      <c r="N53">
        <f>IF(C53="",0,IF(AND(B53="office",E53="budget_probe",N(F53)&gt;=Inputs!$C$129),1,0))</f>
        <v/>
      </c>
      <c r="O53">
        <f>IF(N53=1,IF(COUNTIFS(C$5:C53,C53,N$5:N53,1)=1,1,0),0)</f>
        <v/>
      </c>
      <c r="P53">
        <f>IF(C53="",0,IF(AND(B53="brand",E53="renewal_answer",N(F53)&gt;=Inputs!$C$125),1,0))</f>
        <v/>
      </c>
      <c r="Q53">
        <f>IF(AND(B53="office",E53="budget_probe",ISNUMBER(F53)),F53,"")</f>
        <v/>
      </c>
      <c r="R53">
        <f>IF(AND(B53="brand",E53="budget_probe",ISNUMBER(F53)),F53,"")</f>
        <v/>
      </c>
    </row>
    <row r="54">
      <c r="A54" s="91" t="n"/>
      <c r="B54" s="92" t="n"/>
      <c r="C54" s="92" t="n"/>
      <c r="D54" s="92" t="n"/>
      <c r="E54" s="92" t="n"/>
      <c r="F54" s="92" t="n"/>
      <c r="G54" s="92" t="n"/>
      <c r="H54" s="92" t="n"/>
      <c r="I54" s="92" t="n"/>
      <c r="K54">
        <f>IF(C54="","",IF(COUNTIFS(C$5:C54,C54,E$5:E54,E54)=1,1,0))</f>
        <v/>
      </c>
      <c r="L54">
        <f>IF(C54="",0,IF(AND(B54="brand",E54="budget_probe",N(F54)&gt;=Inputs!$C$114,H54="Y"),1,0))</f>
        <v/>
      </c>
      <c r="M54">
        <f>IF(L54=1,IF(COUNTIFS(C$5:C54,C54,L$5:L54,1)=1,1,0),0)</f>
        <v/>
      </c>
      <c r="N54">
        <f>IF(C54="",0,IF(AND(B54="office",E54="budget_probe",N(F54)&gt;=Inputs!$C$129),1,0))</f>
        <v/>
      </c>
      <c r="O54">
        <f>IF(N54=1,IF(COUNTIFS(C$5:C54,C54,N$5:N54,1)=1,1,0),0)</f>
        <v/>
      </c>
      <c r="P54">
        <f>IF(C54="",0,IF(AND(B54="brand",E54="renewal_answer",N(F54)&gt;=Inputs!$C$125),1,0))</f>
        <v/>
      </c>
      <c r="Q54">
        <f>IF(AND(B54="office",E54="budget_probe",ISNUMBER(F54)),F54,"")</f>
        <v/>
      </c>
      <c r="R54">
        <f>IF(AND(B54="brand",E54="budget_probe",ISNUMBER(F54)),F54,"")</f>
        <v/>
      </c>
    </row>
    <row r="55">
      <c r="A55" s="91" t="n"/>
      <c r="B55" s="92" t="n"/>
      <c r="C55" s="92" t="n"/>
      <c r="D55" s="92" t="n"/>
      <c r="E55" s="92" t="n"/>
      <c r="F55" s="92" t="n"/>
      <c r="G55" s="92" t="n"/>
      <c r="H55" s="92" t="n"/>
      <c r="I55" s="92" t="n"/>
      <c r="K55">
        <f>IF(C55="","",IF(COUNTIFS(C$5:C55,C55,E$5:E55,E55)=1,1,0))</f>
        <v/>
      </c>
      <c r="L55">
        <f>IF(C55="",0,IF(AND(B55="brand",E55="budget_probe",N(F55)&gt;=Inputs!$C$114,H55="Y"),1,0))</f>
        <v/>
      </c>
      <c r="M55">
        <f>IF(L55=1,IF(COUNTIFS(C$5:C55,C55,L$5:L55,1)=1,1,0),0)</f>
        <v/>
      </c>
      <c r="N55">
        <f>IF(C55="",0,IF(AND(B55="office",E55="budget_probe",N(F55)&gt;=Inputs!$C$129),1,0))</f>
        <v/>
      </c>
      <c r="O55">
        <f>IF(N55=1,IF(COUNTIFS(C$5:C55,C55,N$5:N55,1)=1,1,0),0)</f>
        <v/>
      </c>
      <c r="P55">
        <f>IF(C55="",0,IF(AND(B55="brand",E55="renewal_answer",N(F55)&gt;=Inputs!$C$125),1,0))</f>
        <v/>
      </c>
      <c r="Q55">
        <f>IF(AND(B55="office",E55="budget_probe",ISNUMBER(F55)),F55,"")</f>
        <v/>
      </c>
      <c r="R55">
        <f>IF(AND(B55="brand",E55="budget_probe",ISNUMBER(F55)),F55,"")</f>
        <v/>
      </c>
    </row>
    <row r="56">
      <c r="A56" s="91" t="n"/>
      <c r="B56" s="92" t="n"/>
      <c r="C56" s="92" t="n"/>
      <c r="D56" s="92" t="n"/>
      <c r="E56" s="92" t="n"/>
      <c r="F56" s="92" t="n"/>
      <c r="G56" s="92" t="n"/>
      <c r="H56" s="92" t="n"/>
      <c r="I56" s="92" t="n"/>
      <c r="K56">
        <f>IF(C56="","",IF(COUNTIFS(C$5:C56,C56,E$5:E56,E56)=1,1,0))</f>
        <v/>
      </c>
      <c r="L56">
        <f>IF(C56="",0,IF(AND(B56="brand",E56="budget_probe",N(F56)&gt;=Inputs!$C$114,H56="Y"),1,0))</f>
        <v/>
      </c>
      <c r="M56">
        <f>IF(L56=1,IF(COUNTIFS(C$5:C56,C56,L$5:L56,1)=1,1,0),0)</f>
        <v/>
      </c>
      <c r="N56">
        <f>IF(C56="",0,IF(AND(B56="office",E56="budget_probe",N(F56)&gt;=Inputs!$C$129),1,0))</f>
        <v/>
      </c>
      <c r="O56">
        <f>IF(N56=1,IF(COUNTIFS(C$5:C56,C56,N$5:N56,1)=1,1,0),0)</f>
        <v/>
      </c>
      <c r="P56">
        <f>IF(C56="",0,IF(AND(B56="brand",E56="renewal_answer",N(F56)&gt;=Inputs!$C$125),1,0))</f>
        <v/>
      </c>
      <c r="Q56">
        <f>IF(AND(B56="office",E56="budget_probe",ISNUMBER(F56)),F56,"")</f>
        <v/>
      </c>
      <c r="R56">
        <f>IF(AND(B56="brand",E56="budget_probe",ISNUMBER(F56)),F56,"")</f>
        <v/>
      </c>
    </row>
    <row r="57">
      <c r="A57" s="91" t="n"/>
      <c r="B57" s="92" t="n"/>
      <c r="C57" s="92" t="n"/>
      <c r="D57" s="92" t="n"/>
      <c r="E57" s="92" t="n"/>
      <c r="F57" s="92" t="n"/>
      <c r="G57" s="92" t="n"/>
      <c r="H57" s="92" t="n"/>
      <c r="I57" s="92" t="n"/>
      <c r="K57">
        <f>IF(C57="","",IF(COUNTIFS(C$5:C57,C57,E$5:E57,E57)=1,1,0))</f>
        <v/>
      </c>
      <c r="L57">
        <f>IF(C57="",0,IF(AND(B57="brand",E57="budget_probe",N(F57)&gt;=Inputs!$C$114,H57="Y"),1,0))</f>
        <v/>
      </c>
      <c r="M57">
        <f>IF(L57=1,IF(COUNTIFS(C$5:C57,C57,L$5:L57,1)=1,1,0),0)</f>
        <v/>
      </c>
      <c r="N57">
        <f>IF(C57="",0,IF(AND(B57="office",E57="budget_probe",N(F57)&gt;=Inputs!$C$129),1,0))</f>
        <v/>
      </c>
      <c r="O57">
        <f>IF(N57=1,IF(COUNTIFS(C$5:C57,C57,N$5:N57,1)=1,1,0),0)</f>
        <v/>
      </c>
      <c r="P57">
        <f>IF(C57="",0,IF(AND(B57="brand",E57="renewal_answer",N(F57)&gt;=Inputs!$C$125),1,0))</f>
        <v/>
      </c>
      <c r="Q57">
        <f>IF(AND(B57="office",E57="budget_probe",ISNUMBER(F57)),F57,"")</f>
        <v/>
      </c>
      <c r="R57">
        <f>IF(AND(B57="brand",E57="budget_probe",ISNUMBER(F57)),F57,"")</f>
        <v/>
      </c>
    </row>
    <row r="58">
      <c r="A58" s="91" t="n"/>
      <c r="B58" s="92" t="n"/>
      <c r="C58" s="92" t="n"/>
      <c r="D58" s="92" t="n"/>
      <c r="E58" s="92" t="n"/>
      <c r="F58" s="92" t="n"/>
      <c r="G58" s="92" t="n"/>
      <c r="H58" s="92" t="n"/>
      <c r="I58" s="92" t="n"/>
      <c r="K58">
        <f>IF(C58="","",IF(COUNTIFS(C$5:C58,C58,E$5:E58,E58)=1,1,0))</f>
        <v/>
      </c>
      <c r="L58">
        <f>IF(C58="",0,IF(AND(B58="brand",E58="budget_probe",N(F58)&gt;=Inputs!$C$114,H58="Y"),1,0))</f>
        <v/>
      </c>
      <c r="M58">
        <f>IF(L58=1,IF(COUNTIFS(C$5:C58,C58,L$5:L58,1)=1,1,0),0)</f>
        <v/>
      </c>
      <c r="N58">
        <f>IF(C58="",0,IF(AND(B58="office",E58="budget_probe",N(F58)&gt;=Inputs!$C$129),1,0))</f>
        <v/>
      </c>
      <c r="O58">
        <f>IF(N58=1,IF(COUNTIFS(C$5:C58,C58,N$5:N58,1)=1,1,0),0)</f>
        <v/>
      </c>
      <c r="P58">
        <f>IF(C58="",0,IF(AND(B58="brand",E58="renewal_answer",N(F58)&gt;=Inputs!$C$125),1,0))</f>
        <v/>
      </c>
      <c r="Q58">
        <f>IF(AND(B58="office",E58="budget_probe",ISNUMBER(F58)),F58,"")</f>
        <v/>
      </c>
      <c r="R58">
        <f>IF(AND(B58="brand",E58="budget_probe",ISNUMBER(F58)),F58,"")</f>
        <v/>
      </c>
    </row>
    <row r="59">
      <c r="A59" s="91" t="n"/>
      <c r="B59" s="92" t="n"/>
      <c r="C59" s="92" t="n"/>
      <c r="D59" s="92" t="n"/>
      <c r="E59" s="92" t="n"/>
      <c r="F59" s="92" t="n"/>
      <c r="G59" s="92" t="n"/>
      <c r="H59" s="92" t="n"/>
      <c r="I59" s="92" t="n"/>
      <c r="K59">
        <f>IF(C59="","",IF(COUNTIFS(C$5:C59,C59,E$5:E59,E59)=1,1,0))</f>
        <v/>
      </c>
      <c r="L59">
        <f>IF(C59="",0,IF(AND(B59="brand",E59="budget_probe",N(F59)&gt;=Inputs!$C$114,H59="Y"),1,0))</f>
        <v/>
      </c>
      <c r="M59">
        <f>IF(L59=1,IF(COUNTIFS(C$5:C59,C59,L$5:L59,1)=1,1,0),0)</f>
        <v/>
      </c>
      <c r="N59">
        <f>IF(C59="",0,IF(AND(B59="office",E59="budget_probe",N(F59)&gt;=Inputs!$C$129),1,0))</f>
        <v/>
      </c>
      <c r="O59">
        <f>IF(N59=1,IF(COUNTIFS(C$5:C59,C59,N$5:N59,1)=1,1,0),0)</f>
        <v/>
      </c>
      <c r="P59">
        <f>IF(C59="",0,IF(AND(B59="brand",E59="renewal_answer",N(F59)&gt;=Inputs!$C$125),1,0))</f>
        <v/>
      </c>
      <c r="Q59">
        <f>IF(AND(B59="office",E59="budget_probe",ISNUMBER(F59)),F59,"")</f>
        <v/>
      </c>
      <c r="R59">
        <f>IF(AND(B59="brand",E59="budget_probe",ISNUMBER(F59)),F59,"")</f>
        <v/>
      </c>
    </row>
    <row r="60">
      <c r="A60" s="91" t="n"/>
      <c r="B60" s="92" t="n"/>
      <c r="C60" s="92" t="n"/>
      <c r="D60" s="92" t="n"/>
      <c r="E60" s="92" t="n"/>
      <c r="F60" s="92" t="n"/>
      <c r="G60" s="92" t="n"/>
      <c r="H60" s="92" t="n"/>
      <c r="I60" s="92" t="n"/>
      <c r="K60">
        <f>IF(C60="","",IF(COUNTIFS(C$5:C60,C60,E$5:E60,E60)=1,1,0))</f>
        <v/>
      </c>
      <c r="L60">
        <f>IF(C60="",0,IF(AND(B60="brand",E60="budget_probe",N(F60)&gt;=Inputs!$C$114,H60="Y"),1,0))</f>
        <v/>
      </c>
      <c r="M60">
        <f>IF(L60=1,IF(COUNTIFS(C$5:C60,C60,L$5:L60,1)=1,1,0),0)</f>
        <v/>
      </c>
      <c r="N60">
        <f>IF(C60="",0,IF(AND(B60="office",E60="budget_probe",N(F60)&gt;=Inputs!$C$129),1,0))</f>
        <v/>
      </c>
      <c r="O60">
        <f>IF(N60=1,IF(COUNTIFS(C$5:C60,C60,N$5:N60,1)=1,1,0),0)</f>
        <v/>
      </c>
      <c r="P60">
        <f>IF(C60="",0,IF(AND(B60="brand",E60="renewal_answer",N(F60)&gt;=Inputs!$C$125),1,0))</f>
        <v/>
      </c>
      <c r="Q60">
        <f>IF(AND(B60="office",E60="budget_probe",ISNUMBER(F60)),F60,"")</f>
        <v/>
      </c>
      <c r="R60">
        <f>IF(AND(B60="brand",E60="budget_probe",ISNUMBER(F60)),F60,"")</f>
        <v/>
      </c>
    </row>
    <row r="61">
      <c r="A61" s="91" t="n"/>
      <c r="B61" s="92" t="n"/>
      <c r="C61" s="92" t="n"/>
      <c r="D61" s="92" t="n"/>
      <c r="E61" s="92" t="n"/>
      <c r="F61" s="92" t="n"/>
      <c r="G61" s="92" t="n"/>
      <c r="H61" s="92" t="n"/>
      <c r="I61" s="92" t="n"/>
      <c r="K61">
        <f>IF(C61="","",IF(COUNTIFS(C$5:C61,C61,E$5:E61,E61)=1,1,0))</f>
        <v/>
      </c>
      <c r="L61">
        <f>IF(C61="",0,IF(AND(B61="brand",E61="budget_probe",N(F61)&gt;=Inputs!$C$114,H61="Y"),1,0))</f>
        <v/>
      </c>
      <c r="M61">
        <f>IF(L61=1,IF(COUNTIFS(C$5:C61,C61,L$5:L61,1)=1,1,0),0)</f>
        <v/>
      </c>
      <c r="N61">
        <f>IF(C61="",0,IF(AND(B61="office",E61="budget_probe",N(F61)&gt;=Inputs!$C$129),1,0))</f>
        <v/>
      </c>
      <c r="O61">
        <f>IF(N61=1,IF(COUNTIFS(C$5:C61,C61,N$5:N61,1)=1,1,0),0)</f>
        <v/>
      </c>
      <c r="P61">
        <f>IF(C61="",0,IF(AND(B61="brand",E61="renewal_answer",N(F61)&gt;=Inputs!$C$125),1,0))</f>
        <v/>
      </c>
      <c r="Q61">
        <f>IF(AND(B61="office",E61="budget_probe",ISNUMBER(F61)),F61,"")</f>
        <v/>
      </c>
      <c r="R61">
        <f>IF(AND(B61="brand",E61="budget_probe",ISNUMBER(F61)),F61,"")</f>
        <v/>
      </c>
    </row>
    <row r="62">
      <c r="A62" s="91" t="n"/>
      <c r="B62" s="92" t="n"/>
      <c r="C62" s="92" t="n"/>
      <c r="D62" s="92" t="n"/>
      <c r="E62" s="92" t="n"/>
      <c r="F62" s="92" t="n"/>
      <c r="G62" s="92" t="n"/>
      <c r="H62" s="92" t="n"/>
      <c r="I62" s="92" t="n"/>
      <c r="K62">
        <f>IF(C62="","",IF(COUNTIFS(C$5:C62,C62,E$5:E62,E62)=1,1,0))</f>
        <v/>
      </c>
      <c r="L62">
        <f>IF(C62="",0,IF(AND(B62="brand",E62="budget_probe",N(F62)&gt;=Inputs!$C$114,H62="Y"),1,0))</f>
        <v/>
      </c>
      <c r="M62">
        <f>IF(L62=1,IF(COUNTIFS(C$5:C62,C62,L$5:L62,1)=1,1,0),0)</f>
        <v/>
      </c>
      <c r="N62">
        <f>IF(C62="",0,IF(AND(B62="office",E62="budget_probe",N(F62)&gt;=Inputs!$C$129),1,0))</f>
        <v/>
      </c>
      <c r="O62">
        <f>IF(N62=1,IF(COUNTIFS(C$5:C62,C62,N$5:N62,1)=1,1,0),0)</f>
        <v/>
      </c>
      <c r="P62">
        <f>IF(C62="",0,IF(AND(B62="brand",E62="renewal_answer",N(F62)&gt;=Inputs!$C$125),1,0))</f>
        <v/>
      </c>
      <c r="Q62">
        <f>IF(AND(B62="office",E62="budget_probe",ISNUMBER(F62)),F62,"")</f>
        <v/>
      </c>
      <c r="R62">
        <f>IF(AND(B62="brand",E62="budget_probe",ISNUMBER(F62)),F62,"")</f>
        <v/>
      </c>
    </row>
    <row r="63">
      <c r="A63" s="91" t="n"/>
      <c r="B63" s="92" t="n"/>
      <c r="C63" s="92" t="n"/>
      <c r="D63" s="92" t="n"/>
      <c r="E63" s="92" t="n"/>
      <c r="F63" s="92" t="n"/>
      <c r="G63" s="92" t="n"/>
      <c r="H63" s="92" t="n"/>
      <c r="I63" s="92" t="n"/>
      <c r="K63">
        <f>IF(C63="","",IF(COUNTIFS(C$5:C63,C63,E$5:E63,E63)=1,1,0))</f>
        <v/>
      </c>
      <c r="L63">
        <f>IF(C63="",0,IF(AND(B63="brand",E63="budget_probe",N(F63)&gt;=Inputs!$C$114,H63="Y"),1,0))</f>
        <v/>
      </c>
      <c r="M63">
        <f>IF(L63=1,IF(COUNTIFS(C$5:C63,C63,L$5:L63,1)=1,1,0),0)</f>
        <v/>
      </c>
      <c r="N63">
        <f>IF(C63="",0,IF(AND(B63="office",E63="budget_probe",N(F63)&gt;=Inputs!$C$129),1,0))</f>
        <v/>
      </c>
      <c r="O63">
        <f>IF(N63=1,IF(COUNTIFS(C$5:C63,C63,N$5:N63,1)=1,1,0),0)</f>
        <v/>
      </c>
      <c r="P63">
        <f>IF(C63="",0,IF(AND(B63="brand",E63="renewal_answer",N(F63)&gt;=Inputs!$C$125),1,0))</f>
        <v/>
      </c>
      <c r="Q63">
        <f>IF(AND(B63="office",E63="budget_probe",ISNUMBER(F63)),F63,"")</f>
        <v/>
      </c>
      <c r="R63">
        <f>IF(AND(B63="brand",E63="budget_probe",ISNUMBER(F63)),F63,"")</f>
        <v/>
      </c>
    </row>
    <row r="64">
      <c r="A64" s="91" t="n"/>
      <c r="B64" s="92" t="n"/>
      <c r="C64" s="92" t="n"/>
      <c r="D64" s="92" t="n"/>
      <c r="E64" s="92" t="n"/>
      <c r="F64" s="92" t="n"/>
      <c r="G64" s="92" t="n"/>
      <c r="H64" s="92" t="n"/>
      <c r="I64" s="92" t="n"/>
      <c r="K64">
        <f>IF(C64="","",IF(COUNTIFS(C$5:C64,C64,E$5:E64,E64)=1,1,0))</f>
        <v/>
      </c>
      <c r="L64">
        <f>IF(C64="",0,IF(AND(B64="brand",E64="budget_probe",N(F64)&gt;=Inputs!$C$114,H64="Y"),1,0))</f>
        <v/>
      </c>
      <c r="M64">
        <f>IF(L64=1,IF(COUNTIFS(C$5:C64,C64,L$5:L64,1)=1,1,0),0)</f>
        <v/>
      </c>
      <c r="N64">
        <f>IF(C64="",0,IF(AND(B64="office",E64="budget_probe",N(F64)&gt;=Inputs!$C$129),1,0))</f>
        <v/>
      </c>
      <c r="O64">
        <f>IF(N64=1,IF(COUNTIFS(C$5:C64,C64,N$5:N64,1)=1,1,0),0)</f>
        <v/>
      </c>
      <c r="P64">
        <f>IF(C64="",0,IF(AND(B64="brand",E64="renewal_answer",N(F64)&gt;=Inputs!$C$125),1,0))</f>
        <v/>
      </c>
      <c r="Q64">
        <f>IF(AND(B64="office",E64="budget_probe",ISNUMBER(F64)),F64,"")</f>
        <v/>
      </c>
      <c r="R64">
        <f>IF(AND(B64="brand",E64="budget_probe",ISNUMBER(F64)),F64,"")</f>
        <v/>
      </c>
    </row>
    <row r="65">
      <c r="A65" s="91" t="n"/>
      <c r="B65" s="92" t="n"/>
      <c r="C65" s="92" t="n"/>
      <c r="D65" s="92" t="n"/>
      <c r="E65" s="92" t="n"/>
      <c r="F65" s="92" t="n"/>
      <c r="G65" s="92" t="n"/>
      <c r="H65" s="92" t="n"/>
      <c r="I65" s="92" t="n"/>
      <c r="K65">
        <f>IF(C65="","",IF(COUNTIFS(C$5:C65,C65,E$5:E65,E65)=1,1,0))</f>
        <v/>
      </c>
      <c r="L65">
        <f>IF(C65="",0,IF(AND(B65="brand",E65="budget_probe",N(F65)&gt;=Inputs!$C$114,H65="Y"),1,0))</f>
        <v/>
      </c>
      <c r="M65">
        <f>IF(L65=1,IF(COUNTIFS(C$5:C65,C65,L$5:L65,1)=1,1,0),0)</f>
        <v/>
      </c>
      <c r="N65">
        <f>IF(C65="",0,IF(AND(B65="office",E65="budget_probe",N(F65)&gt;=Inputs!$C$129),1,0))</f>
        <v/>
      </c>
      <c r="O65">
        <f>IF(N65=1,IF(COUNTIFS(C$5:C65,C65,N$5:N65,1)=1,1,0),0)</f>
        <v/>
      </c>
      <c r="P65">
        <f>IF(C65="",0,IF(AND(B65="brand",E65="renewal_answer",N(F65)&gt;=Inputs!$C$125),1,0))</f>
        <v/>
      </c>
      <c r="Q65">
        <f>IF(AND(B65="office",E65="budget_probe",ISNUMBER(F65)),F65,"")</f>
        <v/>
      </c>
      <c r="R65">
        <f>IF(AND(B65="brand",E65="budget_probe",ISNUMBER(F65)),F65,"")</f>
        <v/>
      </c>
    </row>
    <row r="66">
      <c r="A66" s="91" t="n"/>
      <c r="B66" s="92" t="n"/>
      <c r="C66" s="92" t="n"/>
      <c r="D66" s="92" t="n"/>
      <c r="E66" s="92" t="n"/>
      <c r="F66" s="92" t="n"/>
      <c r="G66" s="92" t="n"/>
      <c r="H66" s="92" t="n"/>
      <c r="I66" s="92" t="n"/>
      <c r="K66">
        <f>IF(C66="","",IF(COUNTIFS(C$5:C66,C66,E$5:E66,E66)=1,1,0))</f>
        <v/>
      </c>
      <c r="L66">
        <f>IF(C66="",0,IF(AND(B66="brand",E66="budget_probe",N(F66)&gt;=Inputs!$C$114,H66="Y"),1,0))</f>
        <v/>
      </c>
      <c r="M66">
        <f>IF(L66=1,IF(COUNTIFS(C$5:C66,C66,L$5:L66,1)=1,1,0),0)</f>
        <v/>
      </c>
      <c r="N66">
        <f>IF(C66="",0,IF(AND(B66="office",E66="budget_probe",N(F66)&gt;=Inputs!$C$129),1,0))</f>
        <v/>
      </c>
      <c r="O66">
        <f>IF(N66=1,IF(COUNTIFS(C$5:C66,C66,N$5:N66,1)=1,1,0),0)</f>
        <v/>
      </c>
      <c r="P66">
        <f>IF(C66="",0,IF(AND(B66="brand",E66="renewal_answer",N(F66)&gt;=Inputs!$C$125),1,0))</f>
        <v/>
      </c>
      <c r="Q66">
        <f>IF(AND(B66="office",E66="budget_probe",ISNUMBER(F66)),F66,"")</f>
        <v/>
      </c>
      <c r="R66">
        <f>IF(AND(B66="brand",E66="budget_probe",ISNUMBER(F66)),F66,"")</f>
        <v/>
      </c>
    </row>
    <row r="67">
      <c r="A67" s="91" t="n"/>
      <c r="B67" s="92" t="n"/>
      <c r="C67" s="92" t="n"/>
      <c r="D67" s="92" t="n"/>
      <c r="E67" s="92" t="n"/>
      <c r="F67" s="92" t="n"/>
      <c r="G67" s="92" t="n"/>
      <c r="H67" s="92" t="n"/>
      <c r="I67" s="92" t="n"/>
      <c r="K67">
        <f>IF(C67="","",IF(COUNTIFS(C$5:C67,C67,E$5:E67,E67)=1,1,0))</f>
        <v/>
      </c>
      <c r="L67">
        <f>IF(C67="",0,IF(AND(B67="brand",E67="budget_probe",N(F67)&gt;=Inputs!$C$114,H67="Y"),1,0))</f>
        <v/>
      </c>
      <c r="M67">
        <f>IF(L67=1,IF(COUNTIFS(C$5:C67,C67,L$5:L67,1)=1,1,0),0)</f>
        <v/>
      </c>
      <c r="N67">
        <f>IF(C67="",0,IF(AND(B67="office",E67="budget_probe",N(F67)&gt;=Inputs!$C$129),1,0))</f>
        <v/>
      </c>
      <c r="O67">
        <f>IF(N67=1,IF(COUNTIFS(C$5:C67,C67,N$5:N67,1)=1,1,0),0)</f>
        <v/>
      </c>
      <c r="P67">
        <f>IF(C67="",0,IF(AND(B67="brand",E67="renewal_answer",N(F67)&gt;=Inputs!$C$125),1,0))</f>
        <v/>
      </c>
      <c r="Q67">
        <f>IF(AND(B67="office",E67="budget_probe",ISNUMBER(F67)),F67,"")</f>
        <v/>
      </c>
      <c r="R67">
        <f>IF(AND(B67="brand",E67="budget_probe",ISNUMBER(F67)),F67,"")</f>
        <v/>
      </c>
    </row>
    <row r="68">
      <c r="A68" s="91" t="n"/>
      <c r="B68" s="92" t="n"/>
      <c r="C68" s="92" t="n"/>
      <c r="D68" s="92" t="n"/>
      <c r="E68" s="92" t="n"/>
      <c r="F68" s="92" t="n"/>
      <c r="G68" s="92" t="n"/>
      <c r="H68" s="92" t="n"/>
      <c r="I68" s="92" t="n"/>
      <c r="K68">
        <f>IF(C68="","",IF(COUNTIFS(C$5:C68,C68,E$5:E68,E68)=1,1,0))</f>
        <v/>
      </c>
      <c r="L68">
        <f>IF(C68="",0,IF(AND(B68="brand",E68="budget_probe",N(F68)&gt;=Inputs!$C$114,H68="Y"),1,0))</f>
        <v/>
      </c>
      <c r="M68">
        <f>IF(L68=1,IF(COUNTIFS(C$5:C68,C68,L$5:L68,1)=1,1,0),0)</f>
        <v/>
      </c>
      <c r="N68">
        <f>IF(C68="",0,IF(AND(B68="office",E68="budget_probe",N(F68)&gt;=Inputs!$C$129),1,0))</f>
        <v/>
      </c>
      <c r="O68">
        <f>IF(N68=1,IF(COUNTIFS(C$5:C68,C68,N$5:N68,1)=1,1,0),0)</f>
        <v/>
      </c>
      <c r="P68">
        <f>IF(C68="",0,IF(AND(B68="brand",E68="renewal_answer",N(F68)&gt;=Inputs!$C$125),1,0))</f>
        <v/>
      </c>
      <c r="Q68">
        <f>IF(AND(B68="office",E68="budget_probe",ISNUMBER(F68)),F68,"")</f>
        <v/>
      </c>
      <c r="R68">
        <f>IF(AND(B68="brand",E68="budget_probe",ISNUMBER(F68)),F68,"")</f>
        <v/>
      </c>
    </row>
    <row r="69">
      <c r="A69" s="91" t="n"/>
      <c r="B69" s="92" t="n"/>
      <c r="C69" s="92" t="n"/>
      <c r="D69" s="92" t="n"/>
      <c r="E69" s="92" t="n"/>
      <c r="F69" s="92" t="n"/>
      <c r="G69" s="92" t="n"/>
      <c r="H69" s="92" t="n"/>
      <c r="I69" s="92" t="n"/>
      <c r="K69">
        <f>IF(C69="","",IF(COUNTIFS(C$5:C69,C69,E$5:E69,E69)=1,1,0))</f>
        <v/>
      </c>
      <c r="L69">
        <f>IF(C69="",0,IF(AND(B69="brand",E69="budget_probe",N(F69)&gt;=Inputs!$C$114,H69="Y"),1,0))</f>
        <v/>
      </c>
      <c r="M69">
        <f>IF(L69=1,IF(COUNTIFS(C$5:C69,C69,L$5:L69,1)=1,1,0),0)</f>
        <v/>
      </c>
      <c r="N69">
        <f>IF(C69="",0,IF(AND(B69="office",E69="budget_probe",N(F69)&gt;=Inputs!$C$129),1,0))</f>
        <v/>
      </c>
      <c r="O69">
        <f>IF(N69=1,IF(COUNTIFS(C$5:C69,C69,N$5:N69,1)=1,1,0),0)</f>
        <v/>
      </c>
      <c r="P69">
        <f>IF(C69="",0,IF(AND(B69="brand",E69="renewal_answer",N(F69)&gt;=Inputs!$C$125),1,0))</f>
        <v/>
      </c>
      <c r="Q69">
        <f>IF(AND(B69="office",E69="budget_probe",ISNUMBER(F69)),F69,"")</f>
        <v/>
      </c>
      <c r="R69">
        <f>IF(AND(B69="brand",E69="budget_probe",ISNUMBER(F69)),F69,"")</f>
        <v/>
      </c>
    </row>
    <row r="70">
      <c r="A70" s="91" t="n"/>
      <c r="B70" s="92" t="n"/>
      <c r="C70" s="92" t="n"/>
      <c r="D70" s="92" t="n"/>
      <c r="E70" s="92" t="n"/>
      <c r="F70" s="92" t="n"/>
      <c r="G70" s="92" t="n"/>
      <c r="H70" s="92" t="n"/>
      <c r="I70" s="92" t="n"/>
      <c r="K70">
        <f>IF(C70="","",IF(COUNTIFS(C$5:C70,C70,E$5:E70,E70)=1,1,0))</f>
        <v/>
      </c>
      <c r="L70">
        <f>IF(C70="",0,IF(AND(B70="brand",E70="budget_probe",N(F70)&gt;=Inputs!$C$114,H70="Y"),1,0))</f>
        <v/>
      </c>
      <c r="M70">
        <f>IF(L70=1,IF(COUNTIFS(C$5:C70,C70,L$5:L70,1)=1,1,0),0)</f>
        <v/>
      </c>
      <c r="N70">
        <f>IF(C70="",0,IF(AND(B70="office",E70="budget_probe",N(F70)&gt;=Inputs!$C$129),1,0))</f>
        <v/>
      </c>
      <c r="O70">
        <f>IF(N70=1,IF(COUNTIFS(C$5:C70,C70,N$5:N70,1)=1,1,0),0)</f>
        <v/>
      </c>
      <c r="P70">
        <f>IF(C70="",0,IF(AND(B70="brand",E70="renewal_answer",N(F70)&gt;=Inputs!$C$125),1,0))</f>
        <v/>
      </c>
      <c r="Q70">
        <f>IF(AND(B70="office",E70="budget_probe",ISNUMBER(F70)),F70,"")</f>
        <v/>
      </c>
      <c r="R70">
        <f>IF(AND(B70="brand",E70="budget_probe",ISNUMBER(F70)),F70,"")</f>
        <v/>
      </c>
    </row>
    <row r="71">
      <c r="A71" s="91" t="n"/>
      <c r="B71" s="92" t="n"/>
      <c r="C71" s="92" t="n"/>
      <c r="D71" s="92" t="n"/>
      <c r="E71" s="92" t="n"/>
      <c r="F71" s="92" t="n"/>
      <c r="G71" s="92" t="n"/>
      <c r="H71" s="92" t="n"/>
      <c r="I71" s="92" t="n"/>
      <c r="K71">
        <f>IF(C71="","",IF(COUNTIFS(C$5:C71,C71,E$5:E71,E71)=1,1,0))</f>
        <v/>
      </c>
      <c r="L71">
        <f>IF(C71="",0,IF(AND(B71="brand",E71="budget_probe",N(F71)&gt;=Inputs!$C$114,H71="Y"),1,0))</f>
        <v/>
      </c>
      <c r="M71">
        <f>IF(L71=1,IF(COUNTIFS(C$5:C71,C71,L$5:L71,1)=1,1,0),0)</f>
        <v/>
      </c>
      <c r="N71">
        <f>IF(C71="",0,IF(AND(B71="office",E71="budget_probe",N(F71)&gt;=Inputs!$C$129),1,0))</f>
        <v/>
      </c>
      <c r="O71">
        <f>IF(N71=1,IF(COUNTIFS(C$5:C71,C71,N$5:N71,1)=1,1,0),0)</f>
        <v/>
      </c>
      <c r="P71">
        <f>IF(C71="",0,IF(AND(B71="brand",E71="renewal_answer",N(F71)&gt;=Inputs!$C$125),1,0))</f>
        <v/>
      </c>
      <c r="Q71">
        <f>IF(AND(B71="office",E71="budget_probe",ISNUMBER(F71)),F71,"")</f>
        <v/>
      </c>
      <c r="R71">
        <f>IF(AND(B71="brand",E71="budget_probe",ISNUMBER(F71)),F71,"")</f>
        <v/>
      </c>
    </row>
    <row r="72">
      <c r="A72" s="91" t="n"/>
      <c r="B72" s="92" t="n"/>
      <c r="C72" s="92" t="n"/>
      <c r="D72" s="92" t="n"/>
      <c r="E72" s="92" t="n"/>
      <c r="F72" s="92" t="n"/>
      <c r="G72" s="92" t="n"/>
      <c r="H72" s="92" t="n"/>
      <c r="I72" s="92" t="n"/>
      <c r="K72">
        <f>IF(C72="","",IF(COUNTIFS(C$5:C72,C72,E$5:E72,E72)=1,1,0))</f>
        <v/>
      </c>
      <c r="L72">
        <f>IF(C72="",0,IF(AND(B72="brand",E72="budget_probe",N(F72)&gt;=Inputs!$C$114,H72="Y"),1,0))</f>
        <v/>
      </c>
      <c r="M72">
        <f>IF(L72=1,IF(COUNTIFS(C$5:C72,C72,L$5:L72,1)=1,1,0),0)</f>
        <v/>
      </c>
      <c r="N72">
        <f>IF(C72="",0,IF(AND(B72="office",E72="budget_probe",N(F72)&gt;=Inputs!$C$129),1,0))</f>
        <v/>
      </c>
      <c r="O72">
        <f>IF(N72=1,IF(COUNTIFS(C$5:C72,C72,N$5:N72,1)=1,1,0),0)</f>
        <v/>
      </c>
      <c r="P72">
        <f>IF(C72="",0,IF(AND(B72="brand",E72="renewal_answer",N(F72)&gt;=Inputs!$C$125),1,0))</f>
        <v/>
      </c>
      <c r="Q72">
        <f>IF(AND(B72="office",E72="budget_probe",ISNUMBER(F72)),F72,"")</f>
        <v/>
      </c>
      <c r="R72">
        <f>IF(AND(B72="brand",E72="budget_probe",ISNUMBER(F72)),F72,"")</f>
        <v/>
      </c>
    </row>
    <row r="73">
      <c r="A73" s="91" t="n"/>
      <c r="B73" s="92" t="n"/>
      <c r="C73" s="92" t="n"/>
      <c r="D73" s="92" t="n"/>
      <c r="E73" s="92" t="n"/>
      <c r="F73" s="92" t="n"/>
      <c r="G73" s="92" t="n"/>
      <c r="H73" s="92" t="n"/>
      <c r="I73" s="92" t="n"/>
      <c r="K73">
        <f>IF(C73="","",IF(COUNTIFS(C$5:C73,C73,E$5:E73,E73)=1,1,0))</f>
        <v/>
      </c>
      <c r="L73">
        <f>IF(C73="",0,IF(AND(B73="brand",E73="budget_probe",N(F73)&gt;=Inputs!$C$114,H73="Y"),1,0))</f>
        <v/>
      </c>
      <c r="M73">
        <f>IF(L73=1,IF(COUNTIFS(C$5:C73,C73,L$5:L73,1)=1,1,0),0)</f>
        <v/>
      </c>
      <c r="N73">
        <f>IF(C73="",0,IF(AND(B73="office",E73="budget_probe",N(F73)&gt;=Inputs!$C$129),1,0))</f>
        <v/>
      </c>
      <c r="O73">
        <f>IF(N73=1,IF(COUNTIFS(C$5:C73,C73,N$5:N73,1)=1,1,0),0)</f>
        <v/>
      </c>
      <c r="P73">
        <f>IF(C73="",0,IF(AND(B73="brand",E73="renewal_answer",N(F73)&gt;=Inputs!$C$125),1,0))</f>
        <v/>
      </c>
      <c r="Q73">
        <f>IF(AND(B73="office",E73="budget_probe",ISNUMBER(F73)),F73,"")</f>
        <v/>
      </c>
      <c r="R73">
        <f>IF(AND(B73="brand",E73="budget_probe",ISNUMBER(F73)),F73,"")</f>
        <v/>
      </c>
    </row>
    <row r="74">
      <c r="A74" s="91" t="n"/>
      <c r="B74" s="92" t="n"/>
      <c r="C74" s="92" t="n"/>
      <c r="D74" s="92" t="n"/>
      <c r="E74" s="92" t="n"/>
      <c r="F74" s="92" t="n"/>
      <c r="G74" s="92" t="n"/>
      <c r="H74" s="92" t="n"/>
      <c r="I74" s="92" t="n"/>
      <c r="K74">
        <f>IF(C74="","",IF(COUNTIFS(C$5:C74,C74,E$5:E74,E74)=1,1,0))</f>
        <v/>
      </c>
      <c r="L74">
        <f>IF(C74="",0,IF(AND(B74="brand",E74="budget_probe",N(F74)&gt;=Inputs!$C$114,H74="Y"),1,0))</f>
        <v/>
      </c>
      <c r="M74">
        <f>IF(L74=1,IF(COUNTIFS(C$5:C74,C74,L$5:L74,1)=1,1,0),0)</f>
        <v/>
      </c>
      <c r="N74">
        <f>IF(C74="",0,IF(AND(B74="office",E74="budget_probe",N(F74)&gt;=Inputs!$C$129),1,0))</f>
        <v/>
      </c>
      <c r="O74">
        <f>IF(N74=1,IF(COUNTIFS(C$5:C74,C74,N$5:N74,1)=1,1,0),0)</f>
        <v/>
      </c>
      <c r="P74">
        <f>IF(C74="",0,IF(AND(B74="brand",E74="renewal_answer",N(F74)&gt;=Inputs!$C$125),1,0))</f>
        <v/>
      </c>
      <c r="Q74">
        <f>IF(AND(B74="office",E74="budget_probe",ISNUMBER(F74)),F74,"")</f>
        <v/>
      </c>
      <c r="R74">
        <f>IF(AND(B74="brand",E74="budget_probe",ISNUMBER(F74)),F74,"")</f>
        <v/>
      </c>
    </row>
    <row r="75">
      <c r="A75" s="91" t="n"/>
      <c r="B75" s="92" t="n"/>
      <c r="C75" s="92" t="n"/>
      <c r="D75" s="92" t="n"/>
      <c r="E75" s="92" t="n"/>
      <c r="F75" s="92" t="n"/>
      <c r="G75" s="92" t="n"/>
      <c r="H75" s="92" t="n"/>
      <c r="I75" s="92" t="n"/>
      <c r="K75">
        <f>IF(C75="","",IF(COUNTIFS(C$5:C75,C75,E$5:E75,E75)=1,1,0))</f>
        <v/>
      </c>
      <c r="L75">
        <f>IF(C75="",0,IF(AND(B75="brand",E75="budget_probe",N(F75)&gt;=Inputs!$C$114,H75="Y"),1,0))</f>
        <v/>
      </c>
      <c r="M75">
        <f>IF(L75=1,IF(COUNTIFS(C$5:C75,C75,L$5:L75,1)=1,1,0),0)</f>
        <v/>
      </c>
      <c r="N75">
        <f>IF(C75="",0,IF(AND(B75="office",E75="budget_probe",N(F75)&gt;=Inputs!$C$129),1,0))</f>
        <v/>
      </c>
      <c r="O75">
        <f>IF(N75=1,IF(COUNTIFS(C$5:C75,C75,N$5:N75,1)=1,1,0),0)</f>
        <v/>
      </c>
      <c r="P75">
        <f>IF(C75="",0,IF(AND(B75="brand",E75="renewal_answer",N(F75)&gt;=Inputs!$C$125),1,0))</f>
        <v/>
      </c>
      <c r="Q75">
        <f>IF(AND(B75="office",E75="budget_probe",ISNUMBER(F75)),F75,"")</f>
        <v/>
      </c>
      <c r="R75">
        <f>IF(AND(B75="brand",E75="budget_probe",ISNUMBER(F75)),F75,"")</f>
        <v/>
      </c>
    </row>
    <row r="76">
      <c r="A76" s="91" t="n"/>
      <c r="B76" s="92" t="n"/>
      <c r="C76" s="92" t="n"/>
      <c r="D76" s="92" t="n"/>
      <c r="E76" s="92" t="n"/>
      <c r="F76" s="92" t="n"/>
      <c r="G76" s="92" t="n"/>
      <c r="H76" s="92" t="n"/>
      <c r="I76" s="92" t="n"/>
      <c r="K76">
        <f>IF(C76="","",IF(COUNTIFS(C$5:C76,C76,E$5:E76,E76)=1,1,0))</f>
        <v/>
      </c>
      <c r="L76">
        <f>IF(C76="",0,IF(AND(B76="brand",E76="budget_probe",N(F76)&gt;=Inputs!$C$114,H76="Y"),1,0))</f>
        <v/>
      </c>
      <c r="M76">
        <f>IF(L76=1,IF(COUNTIFS(C$5:C76,C76,L$5:L76,1)=1,1,0),0)</f>
        <v/>
      </c>
      <c r="N76">
        <f>IF(C76="",0,IF(AND(B76="office",E76="budget_probe",N(F76)&gt;=Inputs!$C$129),1,0))</f>
        <v/>
      </c>
      <c r="O76">
        <f>IF(N76=1,IF(COUNTIFS(C$5:C76,C76,N$5:N76,1)=1,1,0),0)</f>
        <v/>
      </c>
      <c r="P76">
        <f>IF(C76="",0,IF(AND(B76="brand",E76="renewal_answer",N(F76)&gt;=Inputs!$C$125),1,0))</f>
        <v/>
      </c>
      <c r="Q76">
        <f>IF(AND(B76="office",E76="budget_probe",ISNUMBER(F76)),F76,"")</f>
        <v/>
      </c>
      <c r="R76">
        <f>IF(AND(B76="brand",E76="budget_probe",ISNUMBER(F76)),F76,"")</f>
        <v/>
      </c>
    </row>
    <row r="77">
      <c r="A77" s="91" t="n"/>
      <c r="B77" s="92" t="n"/>
      <c r="C77" s="92" t="n"/>
      <c r="D77" s="92" t="n"/>
      <c r="E77" s="92" t="n"/>
      <c r="F77" s="92" t="n"/>
      <c r="G77" s="92" t="n"/>
      <c r="H77" s="92" t="n"/>
      <c r="I77" s="92" t="n"/>
      <c r="K77">
        <f>IF(C77="","",IF(COUNTIFS(C$5:C77,C77,E$5:E77,E77)=1,1,0))</f>
        <v/>
      </c>
      <c r="L77">
        <f>IF(C77="",0,IF(AND(B77="brand",E77="budget_probe",N(F77)&gt;=Inputs!$C$114,H77="Y"),1,0))</f>
        <v/>
      </c>
      <c r="M77">
        <f>IF(L77=1,IF(COUNTIFS(C$5:C77,C77,L$5:L77,1)=1,1,0),0)</f>
        <v/>
      </c>
      <c r="N77">
        <f>IF(C77="",0,IF(AND(B77="office",E77="budget_probe",N(F77)&gt;=Inputs!$C$129),1,0))</f>
        <v/>
      </c>
      <c r="O77">
        <f>IF(N77=1,IF(COUNTIFS(C$5:C77,C77,N$5:N77,1)=1,1,0),0)</f>
        <v/>
      </c>
      <c r="P77">
        <f>IF(C77="",0,IF(AND(B77="brand",E77="renewal_answer",N(F77)&gt;=Inputs!$C$125),1,0))</f>
        <v/>
      </c>
      <c r="Q77">
        <f>IF(AND(B77="office",E77="budget_probe",ISNUMBER(F77)),F77,"")</f>
        <v/>
      </c>
      <c r="R77">
        <f>IF(AND(B77="brand",E77="budget_probe",ISNUMBER(F77)),F77,"")</f>
        <v/>
      </c>
    </row>
    <row r="78">
      <c r="A78" s="91" t="n"/>
      <c r="B78" s="92" t="n"/>
      <c r="C78" s="92" t="n"/>
      <c r="D78" s="92" t="n"/>
      <c r="E78" s="92" t="n"/>
      <c r="F78" s="92" t="n"/>
      <c r="G78" s="92" t="n"/>
      <c r="H78" s="92" t="n"/>
      <c r="I78" s="92" t="n"/>
      <c r="K78">
        <f>IF(C78="","",IF(COUNTIFS(C$5:C78,C78,E$5:E78,E78)=1,1,0))</f>
        <v/>
      </c>
      <c r="L78">
        <f>IF(C78="",0,IF(AND(B78="brand",E78="budget_probe",N(F78)&gt;=Inputs!$C$114,H78="Y"),1,0))</f>
        <v/>
      </c>
      <c r="M78">
        <f>IF(L78=1,IF(COUNTIFS(C$5:C78,C78,L$5:L78,1)=1,1,0),0)</f>
        <v/>
      </c>
      <c r="N78">
        <f>IF(C78="",0,IF(AND(B78="office",E78="budget_probe",N(F78)&gt;=Inputs!$C$129),1,0))</f>
        <v/>
      </c>
      <c r="O78">
        <f>IF(N78=1,IF(COUNTIFS(C$5:C78,C78,N$5:N78,1)=1,1,0),0)</f>
        <v/>
      </c>
      <c r="P78">
        <f>IF(C78="",0,IF(AND(B78="brand",E78="renewal_answer",N(F78)&gt;=Inputs!$C$125),1,0))</f>
        <v/>
      </c>
      <c r="Q78">
        <f>IF(AND(B78="office",E78="budget_probe",ISNUMBER(F78)),F78,"")</f>
        <v/>
      </c>
      <c r="R78">
        <f>IF(AND(B78="brand",E78="budget_probe",ISNUMBER(F78)),F78,"")</f>
        <v/>
      </c>
    </row>
    <row r="79">
      <c r="A79" s="91" t="n"/>
      <c r="B79" s="92" t="n"/>
      <c r="C79" s="92" t="n"/>
      <c r="D79" s="92" t="n"/>
      <c r="E79" s="92" t="n"/>
      <c r="F79" s="92" t="n"/>
      <c r="G79" s="92" t="n"/>
      <c r="H79" s="92" t="n"/>
      <c r="I79" s="92" t="n"/>
      <c r="K79">
        <f>IF(C79="","",IF(COUNTIFS(C$5:C79,C79,E$5:E79,E79)=1,1,0))</f>
        <v/>
      </c>
      <c r="L79">
        <f>IF(C79="",0,IF(AND(B79="brand",E79="budget_probe",N(F79)&gt;=Inputs!$C$114,H79="Y"),1,0))</f>
        <v/>
      </c>
      <c r="M79">
        <f>IF(L79=1,IF(COUNTIFS(C$5:C79,C79,L$5:L79,1)=1,1,0),0)</f>
        <v/>
      </c>
      <c r="N79">
        <f>IF(C79="",0,IF(AND(B79="office",E79="budget_probe",N(F79)&gt;=Inputs!$C$129),1,0))</f>
        <v/>
      </c>
      <c r="O79">
        <f>IF(N79=1,IF(COUNTIFS(C$5:C79,C79,N$5:N79,1)=1,1,0),0)</f>
        <v/>
      </c>
      <c r="P79">
        <f>IF(C79="",0,IF(AND(B79="brand",E79="renewal_answer",N(F79)&gt;=Inputs!$C$125),1,0))</f>
        <v/>
      </c>
      <c r="Q79">
        <f>IF(AND(B79="office",E79="budget_probe",ISNUMBER(F79)),F79,"")</f>
        <v/>
      </c>
      <c r="R79">
        <f>IF(AND(B79="brand",E79="budget_probe",ISNUMBER(F79)),F79,"")</f>
        <v/>
      </c>
    </row>
    <row r="80">
      <c r="A80" s="91" t="n"/>
      <c r="B80" s="92" t="n"/>
      <c r="C80" s="92" t="n"/>
      <c r="D80" s="92" t="n"/>
      <c r="E80" s="92" t="n"/>
      <c r="F80" s="92" t="n"/>
      <c r="G80" s="92" t="n"/>
      <c r="H80" s="92" t="n"/>
      <c r="I80" s="92" t="n"/>
      <c r="K80">
        <f>IF(C80="","",IF(COUNTIFS(C$5:C80,C80,E$5:E80,E80)=1,1,0))</f>
        <v/>
      </c>
      <c r="L80">
        <f>IF(C80="",0,IF(AND(B80="brand",E80="budget_probe",N(F80)&gt;=Inputs!$C$114,H80="Y"),1,0))</f>
        <v/>
      </c>
      <c r="M80">
        <f>IF(L80=1,IF(COUNTIFS(C$5:C80,C80,L$5:L80,1)=1,1,0),0)</f>
        <v/>
      </c>
      <c r="N80">
        <f>IF(C80="",0,IF(AND(B80="office",E80="budget_probe",N(F80)&gt;=Inputs!$C$129),1,0))</f>
        <v/>
      </c>
      <c r="O80">
        <f>IF(N80=1,IF(COUNTIFS(C$5:C80,C80,N$5:N80,1)=1,1,0),0)</f>
        <v/>
      </c>
      <c r="P80">
        <f>IF(C80="",0,IF(AND(B80="brand",E80="renewal_answer",N(F80)&gt;=Inputs!$C$125),1,0))</f>
        <v/>
      </c>
      <c r="Q80">
        <f>IF(AND(B80="office",E80="budget_probe",ISNUMBER(F80)),F80,"")</f>
        <v/>
      </c>
      <c r="R80">
        <f>IF(AND(B80="brand",E80="budget_probe",ISNUMBER(F80)),F80,"")</f>
        <v/>
      </c>
    </row>
    <row r="81">
      <c r="A81" s="91" t="n"/>
      <c r="B81" s="92" t="n"/>
      <c r="C81" s="92" t="n"/>
      <c r="D81" s="92" t="n"/>
      <c r="E81" s="92" t="n"/>
      <c r="F81" s="92" t="n"/>
      <c r="G81" s="92" t="n"/>
      <c r="H81" s="92" t="n"/>
      <c r="I81" s="92" t="n"/>
      <c r="K81">
        <f>IF(C81="","",IF(COUNTIFS(C$5:C81,C81,E$5:E81,E81)=1,1,0))</f>
        <v/>
      </c>
      <c r="L81">
        <f>IF(C81="",0,IF(AND(B81="brand",E81="budget_probe",N(F81)&gt;=Inputs!$C$114,H81="Y"),1,0))</f>
        <v/>
      </c>
      <c r="M81">
        <f>IF(L81=1,IF(COUNTIFS(C$5:C81,C81,L$5:L81,1)=1,1,0),0)</f>
        <v/>
      </c>
      <c r="N81">
        <f>IF(C81="",0,IF(AND(B81="office",E81="budget_probe",N(F81)&gt;=Inputs!$C$129),1,0))</f>
        <v/>
      </c>
      <c r="O81">
        <f>IF(N81=1,IF(COUNTIFS(C$5:C81,C81,N$5:N81,1)=1,1,0),0)</f>
        <v/>
      </c>
      <c r="P81">
        <f>IF(C81="",0,IF(AND(B81="brand",E81="renewal_answer",N(F81)&gt;=Inputs!$C$125),1,0))</f>
        <v/>
      </c>
      <c r="Q81">
        <f>IF(AND(B81="office",E81="budget_probe",ISNUMBER(F81)),F81,"")</f>
        <v/>
      </c>
      <c r="R81">
        <f>IF(AND(B81="brand",E81="budget_probe",ISNUMBER(F81)),F81,"")</f>
        <v/>
      </c>
    </row>
    <row r="82">
      <c r="A82" s="91" t="n"/>
      <c r="B82" s="92" t="n"/>
      <c r="C82" s="92" t="n"/>
      <c r="D82" s="92" t="n"/>
      <c r="E82" s="92" t="n"/>
      <c r="F82" s="92" t="n"/>
      <c r="G82" s="92" t="n"/>
      <c r="H82" s="92" t="n"/>
      <c r="I82" s="92" t="n"/>
      <c r="K82">
        <f>IF(C82="","",IF(COUNTIFS(C$5:C82,C82,E$5:E82,E82)=1,1,0))</f>
        <v/>
      </c>
      <c r="L82">
        <f>IF(C82="",0,IF(AND(B82="brand",E82="budget_probe",N(F82)&gt;=Inputs!$C$114,H82="Y"),1,0))</f>
        <v/>
      </c>
      <c r="M82">
        <f>IF(L82=1,IF(COUNTIFS(C$5:C82,C82,L$5:L82,1)=1,1,0),0)</f>
        <v/>
      </c>
      <c r="N82">
        <f>IF(C82="",0,IF(AND(B82="office",E82="budget_probe",N(F82)&gt;=Inputs!$C$129),1,0))</f>
        <v/>
      </c>
      <c r="O82">
        <f>IF(N82=1,IF(COUNTIFS(C$5:C82,C82,N$5:N82,1)=1,1,0),0)</f>
        <v/>
      </c>
      <c r="P82">
        <f>IF(C82="",0,IF(AND(B82="brand",E82="renewal_answer",N(F82)&gt;=Inputs!$C$125),1,0))</f>
        <v/>
      </c>
      <c r="Q82">
        <f>IF(AND(B82="office",E82="budget_probe",ISNUMBER(F82)),F82,"")</f>
        <v/>
      </c>
      <c r="R82">
        <f>IF(AND(B82="brand",E82="budget_probe",ISNUMBER(F82)),F82,"")</f>
        <v/>
      </c>
    </row>
    <row r="83">
      <c r="A83" s="91" t="n"/>
      <c r="B83" s="92" t="n"/>
      <c r="C83" s="92" t="n"/>
      <c r="D83" s="92" t="n"/>
      <c r="E83" s="92" t="n"/>
      <c r="F83" s="92" t="n"/>
      <c r="G83" s="92" t="n"/>
      <c r="H83" s="92" t="n"/>
      <c r="I83" s="92" t="n"/>
      <c r="K83">
        <f>IF(C83="","",IF(COUNTIFS(C$5:C83,C83,E$5:E83,E83)=1,1,0))</f>
        <v/>
      </c>
      <c r="L83">
        <f>IF(C83="",0,IF(AND(B83="brand",E83="budget_probe",N(F83)&gt;=Inputs!$C$114,H83="Y"),1,0))</f>
        <v/>
      </c>
      <c r="M83">
        <f>IF(L83=1,IF(COUNTIFS(C$5:C83,C83,L$5:L83,1)=1,1,0),0)</f>
        <v/>
      </c>
      <c r="N83">
        <f>IF(C83="",0,IF(AND(B83="office",E83="budget_probe",N(F83)&gt;=Inputs!$C$129),1,0))</f>
        <v/>
      </c>
      <c r="O83">
        <f>IF(N83=1,IF(COUNTIFS(C$5:C83,C83,N$5:N83,1)=1,1,0),0)</f>
        <v/>
      </c>
      <c r="P83">
        <f>IF(C83="",0,IF(AND(B83="brand",E83="renewal_answer",N(F83)&gt;=Inputs!$C$125),1,0))</f>
        <v/>
      </c>
      <c r="Q83">
        <f>IF(AND(B83="office",E83="budget_probe",ISNUMBER(F83)),F83,"")</f>
        <v/>
      </c>
      <c r="R83">
        <f>IF(AND(B83="brand",E83="budget_probe",ISNUMBER(F83)),F83,"")</f>
        <v/>
      </c>
    </row>
    <row r="84">
      <c r="A84" s="91" t="n"/>
      <c r="B84" s="92" t="n"/>
      <c r="C84" s="92" t="n"/>
      <c r="D84" s="92" t="n"/>
      <c r="E84" s="92" t="n"/>
      <c r="F84" s="92" t="n"/>
      <c r="G84" s="92" t="n"/>
      <c r="H84" s="92" t="n"/>
      <c r="I84" s="92" t="n"/>
      <c r="K84">
        <f>IF(C84="","",IF(COUNTIFS(C$5:C84,C84,E$5:E84,E84)=1,1,0))</f>
        <v/>
      </c>
      <c r="L84">
        <f>IF(C84="",0,IF(AND(B84="brand",E84="budget_probe",N(F84)&gt;=Inputs!$C$114,H84="Y"),1,0))</f>
        <v/>
      </c>
      <c r="M84">
        <f>IF(L84=1,IF(COUNTIFS(C$5:C84,C84,L$5:L84,1)=1,1,0),0)</f>
        <v/>
      </c>
      <c r="N84">
        <f>IF(C84="",0,IF(AND(B84="office",E84="budget_probe",N(F84)&gt;=Inputs!$C$129),1,0))</f>
        <v/>
      </c>
      <c r="O84">
        <f>IF(N84=1,IF(COUNTIFS(C$5:C84,C84,N$5:N84,1)=1,1,0),0)</f>
        <v/>
      </c>
      <c r="P84">
        <f>IF(C84="",0,IF(AND(B84="brand",E84="renewal_answer",N(F84)&gt;=Inputs!$C$125),1,0))</f>
        <v/>
      </c>
      <c r="Q84">
        <f>IF(AND(B84="office",E84="budget_probe",ISNUMBER(F84)),F84,"")</f>
        <v/>
      </c>
      <c r="R84">
        <f>IF(AND(B84="brand",E84="budget_probe",ISNUMBER(F84)),F84,"")</f>
        <v/>
      </c>
    </row>
    <row r="85">
      <c r="A85" s="91" t="n"/>
      <c r="B85" s="92" t="n"/>
      <c r="C85" s="92" t="n"/>
      <c r="D85" s="92" t="n"/>
      <c r="E85" s="92" t="n"/>
      <c r="F85" s="92" t="n"/>
      <c r="G85" s="92" t="n"/>
      <c r="H85" s="92" t="n"/>
      <c r="I85" s="92" t="n"/>
      <c r="K85">
        <f>IF(C85="","",IF(COUNTIFS(C$5:C85,C85,E$5:E85,E85)=1,1,0))</f>
        <v/>
      </c>
      <c r="L85">
        <f>IF(C85="",0,IF(AND(B85="brand",E85="budget_probe",N(F85)&gt;=Inputs!$C$114,H85="Y"),1,0))</f>
        <v/>
      </c>
      <c r="M85">
        <f>IF(L85=1,IF(COUNTIFS(C$5:C85,C85,L$5:L85,1)=1,1,0),0)</f>
        <v/>
      </c>
      <c r="N85">
        <f>IF(C85="",0,IF(AND(B85="office",E85="budget_probe",N(F85)&gt;=Inputs!$C$129),1,0))</f>
        <v/>
      </c>
      <c r="O85">
        <f>IF(N85=1,IF(COUNTIFS(C$5:C85,C85,N$5:N85,1)=1,1,0),0)</f>
        <v/>
      </c>
      <c r="P85">
        <f>IF(C85="",0,IF(AND(B85="brand",E85="renewal_answer",N(F85)&gt;=Inputs!$C$125),1,0))</f>
        <v/>
      </c>
      <c r="Q85">
        <f>IF(AND(B85="office",E85="budget_probe",ISNUMBER(F85)),F85,"")</f>
        <v/>
      </c>
      <c r="R85">
        <f>IF(AND(B85="brand",E85="budget_probe",ISNUMBER(F85)),F85,"")</f>
        <v/>
      </c>
    </row>
    <row r="86">
      <c r="A86" s="91" t="n"/>
      <c r="B86" s="92" t="n"/>
      <c r="C86" s="92" t="n"/>
      <c r="D86" s="92" t="n"/>
      <c r="E86" s="92" t="n"/>
      <c r="F86" s="92" t="n"/>
      <c r="G86" s="92" t="n"/>
      <c r="H86" s="92" t="n"/>
      <c r="I86" s="92" t="n"/>
      <c r="K86">
        <f>IF(C86="","",IF(COUNTIFS(C$5:C86,C86,E$5:E86,E86)=1,1,0))</f>
        <v/>
      </c>
      <c r="L86">
        <f>IF(C86="",0,IF(AND(B86="brand",E86="budget_probe",N(F86)&gt;=Inputs!$C$114,H86="Y"),1,0))</f>
        <v/>
      </c>
      <c r="M86">
        <f>IF(L86=1,IF(COUNTIFS(C$5:C86,C86,L$5:L86,1)=1,1,0),0)</f>
        <v/>
      </c>
      <c r="N86">
        <f>IF(C86="",0,IF(AND(B86="office",E86="budget_probe",N(F86)&gt;=Inputs!$C$129),1,0))</f>
        <v/>
      </c>
      <c r="O86">
        <f>IF(N86=1,IF(COUNTIFS(C$5:C86,C86,N$5:N86,1)=1,1,0),0)</f>
        <v/>
      </c>
      <c r="P86">
        <f>IF(C86="",0,IF(AND(B86="brand",E86="renewal_answer",N(F86)&gt;=Inputs!$C$125),1,0))</f>
        <v/>
      </c>
      <c r="Q86">
        <f>IF(AND(B86="office",E86="budget_probe",ISNUMBER(F86)),F86,"")</f>
        <v/>
      </c>
      <c r="R86">
        <f>IF(AND(B86="brand",E86="budget_probe",ISNUMBER(F86)),F86,"")</f>
        <v/>
      </c>
    </row>
    <row r="87">
      <c r="A87" s="91" t="n"/>
      <c r="B87" s="92" t="n"/>
      <c r="C87" s="92" t="n"/>
      <c r="D87" s="92" t="n"/>
      <c r="E87" s="92" t="n"/>
      <c r="F87" s="92" t="n"/>
      <c r="G87" s="92" t="n"/>
      <c r="H87" s="92" t="n"/>
      <c r="I87" s="92" t="n"/>
      <c r="K87">
        <f>IF(C87="","",IF(COUNTIFS(C$5:C87,C87,E$5:E87,E87)=1,1,0))</f>
        <v/>
      </c>
      <c r="L87">
        <f>IF(C87="",0,IF(AND(B87="brand",E87="budget_probe",N(F87)&gt;=Inputs!$C$114,H87="Y"),1,0))</f>
        <v/>
      </c>
      <c r="M87">
        <f>IF(L87=1,IF(COUNTIFS(C$5:C87,C87,L$5:L87,1)=1,1,0),0)</f>
        <v/>
      </c>
      <c r="N87">
        <f>IF(C87="",0,IF(AND(B87="office",E87="budget_probe",N(F87)&gt;=Inputs!$C$129),1,0))</f>
        <v/>
      </c>
      <c r="O87">
        <f>IF(N87=1,IF(COUNTIFS(C$5:C87,C87,N$5:N87,1)=1,1,0),0)</f>
        <v/>
      </c>
      <c r="P87">
        <f>IF(C87="",0,IF(AND(B87="brand",E87="renewal_answer",N(F87)&gt;=Inputs!$C$125),1,0))</f>
        <v/>
      </c>
      <c r="Q87">
        <f>IF(AND(B87="office",E87="budget_probe",ISNUMBER(F87)),F87,"")</f>
        <v/>
      </c>
      <c r="R87">
        <f>IF(AND(B87="brand",E87="budget_probe",ISNUMBER(F87)),F87,"")</f>
        <v/>
      </c>
    </row>
    <row r="88">
      <c r="A88" s="91" t="n"/>
      <c r="B88" s="92" t="n"/>
      <c r="C88" s="92" t="n"/>
      <c r="D88" s="92" t="n"/>
      <c r="E88" s="92" t="n"/>
      <c r="F88" s="92" t="n"/>
      <c r="G88" s="92" t="n"/>
      <c r="H88" s="92" t="n"/>
      <c r="I88" s="92" t="n"/>
      <c r="K88">
        <f>IF(C88="","",IF(COUNTIFS(C$5:C88,C88,E$5:E88,E88)=1,1,0))</f>
        <v/>
      </c>
      <c r="L88">
        <f>IF(C88="",0,IF(AND(B88="brand",E88="budget_probe",N(F88)&gt;=Inputs!$C$114,H88="Y"),1,0))</f>
        <v/>
      </c>
      <c r="M88">
        <f>IF(L88=1,IF(COUNTIFS(C$5:C88,C88,L$5:L88,1)=1,1,0),0)</f>
        <v/>
      </c>
      <c r="N88">
        <f>IF(C88="",0,IF(AND(B88="office",E88="budget_probe",N(F88)&gt;=Inputs!$C$129),1,0))</f>
        <v/>
      </c>
      <c r="O88">
        <f>IF(N88=1,IF(COUNTIFS(C$5:C88,C88,N$5:N88,1)=1,1,0),0)</f>
        <v/>
      </c>
      <c r="P88">
        <f>IF(C88="",0,IF(AND(B88="brand",E88="renewal_answer",N(F88)&gt;=Inputs!$C$125),1,0))</f>
        <v/>
      </c>
      <c r="Q88">
        <f>IF(AND(B88="office",E88="budget_probe",ISNUMBER(F88)),F88,"")</f>
        <v/>
      </c>
      <c r="R88">
        <f>IF(AND(B88="brand",E88="budget_probe",ISNUMBER(F88)),F88,"")</f>
        <v/>
      </c>
    </row>
    <row r="89">
      <c r="A89" s="91" t="n"/>
      <c r="B89" s="92" t="n"/>
      <c r="C89" s="92" t="n"/>
      <c r="D89" s="92" t="n"/>
      <c r="E89" s="92" t="n"/>
      <c r="F89" s="92" t="n"/>
      <c r="G89" s="92" t="n"/>
      <c r="H89" s="92" t="n"/>
      <c r="I89" s="92" t="n"/>
      <c r="K89">
        <f>IF(C89="","",IF(COUNTIFS(C$5:C89,C89,E$5:E89,E89)=1,1,0))</f>
        <v/>
      </c>
      <c r="L89">
        <f>IF(C89="",0,IF(AND(B89="brand",E89="budget_probe",N(F89)&gt;=Inputs!$C$114,H89="Y"),1,0))</f>
        <v/>
      </c>
      <c r="M89">
        <f>IF(L89=1,IF(COUNTIFS(C$5:C89,C89,L$5:L89,1)=1,1,0),0)</f>
        <v/>
      </c>
      <c r="N89">
        <f>IF(C89="",0,IF(AND(B89="office",E89="budget_probe",N(F89)&gt;=Inputs!$C$129),1,0))</f>
        <v/>
      </c>
      <c r="O89">
        <f>IF(N89=1,IF(COUNTIFS(C$5:C89,C89,N$5:N89,1)=1,1,0),0)</f>
        <v/>
      </c>
      <c r="P89">
        <f>IF(C89="",0,IF(AND(B89="brand",E89="renewal_answer",N(F89)&gt;=Inputs!$C$125),1,0))</f>
        <v/>
      </c>
      <c r="Q89">
        <f>IF(AND(B89="office",E89="budget_probe",ISNUMBER(F89)),F89,"")</f>
        <v/>
      </c>
      <c r="R89">
        <f>IF(AND(B89="brand",E89="budget_probe",ISNUMBER(F89)),F89,"")</f>
        <v/>
      </c>
    </row>
    <row r="90">
      <c r="A90" s="91" t="n"/>
      <c r="B90" s="92" t="n"/>
      <c r="C90" s="92" t="n"/>
      <c r="D90" s="92" t="n"/>
      <c r="E90" s="92" t="n"/>
      <c r="F90" s="92" t="n"/>
      <c r="G90" s="92" t="n"/>
      <c r="H90" s="92" t="n"/>
      <c r="I90" s="92" t="n"/>
      <c r="K90">
        <f>IF(C90="","",IF(COUNTIFS(C$5:C90,C90,E$5:E90,E90)=1,1,0))</f>
        <v/>
      </c>
      <c r="L90">
        <f>IF(C90="",0,IF(AND(B90="brand",E90="budget_probe",N(F90)&gt;=Inputs!$C$114,H90="Y"),1,0))</f>
        <v/>
      </c>
      <c r="M90">
        <f>IF(L90=1,IF(COUNTIFS(C$5:C90,C90,L$5:L90,1)=1,1,0),0)</f>
        <v/>
      </c>
      <c r="N90">
        <f>IF(C90="",0,IF(AND(B90="office",E90="budget_probe",N(F90)&gt;=Inputs!$C$129),1,0))</f>
        <v/>
      </c>
      <c r="O90">
        <f>IF(N90=1,IF(COUNTIFS(C$5:C90,C90,N$5:N90,1)=1,1,0),0)</f>
        <v/>
      </c>
      <c r="P90">
        <f>IF(C90="",0,IF(AND(B90="brand",E90="renewal_answer",N(F90)&gt;=Inputs!$C$125),1,0))</f>
        <v/>
      </c>
      <c r="Q90">
        <f>IF(AND(B90="office",E90="budget_probe",ISNUMBER(F90)),F90,"")</f>
        <v/>
      </c>
      <c r="R90">
        <f>IF(AND(B90="brand",E90="budget_probe",ISNUMBER(F90)),F90,"")</f>
        <v/>
      </c>
    </row>
    <row r="91">
      <c r="A91" s="91" t="n"/>
      <c r="B91" s="92" t="n"/>
      <c r="C91" s="92" t="n"/>
      <c r="D91" s="92" t="n"/>
      <c r="E91" s="92" t="n"/>
      <c r="F91" s="92" t="n"/>
      <c r="G91" s="92" t="n"/>
      <c r="H91" s="92" t="n"/>
      <c r="I91" s="92" t="n"/>
      <c r="K91">
        <f>IF(C91="","",IF(COUNTIFS(C$5:C91,C91,E$5:E91,E91)=1,1,0))</f>
        <v/>
      </c>
      <c r="L91">
        <f>IF(C91="",0,IF(AND(B91="brand",E91="budget_probe",N(F91)&gt;=Inputs!$C$114,H91="Y"),1,0))</f>
        <v/>
      </c>
      <c r="M91">
        <f>IF(L91=1,IF(COUNTIFS(C$5:C91,C91,L$5:L91,1)=1,1,0),0)</f>
        <v/>
      </c>
      <c r="N91">
        <f>IF(C91="",0,IF(AND(B91="office",E91="budget_probe",N(F91)&gt;=Inputs!$C$129),1,0))</f>
        <v/>
      </c>
      <c r="O91">
        <f>IF(N91=1,IF(COUNTIFS(C$5:C91,C91,N$5:N91,1)=1,1,0),0)</f>
        <v/>
      </c>
      <c r="P91">
        <f>IF(C91="",0,IF(AND(B91="brand",E91="renewal_answer",N(F91)&gt;=Inputs!$C$125),1,0))</f>
        <v/>
      </c>
      <c r="Q91">
        <f>IF(AND(B91="office",E91="budget_probe",ISNUMBER(F91)),F91,"")</f>
        <v/>
      </c>
      <c r="R91">
        <f>IF(AND(B91="brand",E91="budget_probe",ISNUMBER(F91)),F91,"")</f>
        <v/>
      </c>
    </row>
    <row r="92">
      <c r="A92" s="91" t="n"/>
      <c r="B92" s="92" t="n"/>
      <c r="C92" s="92" t="n"/>
      <c r="D92" s="92" t="n"/>
      <c r="E92" s="92" t="n"/>
      <c r="F92" s="92" t="n"/>
      <c r="G92" s="92" t="n"/>
      <c r="H92" s="92" t="n"/>
      <c r="I92" s="92" t="n"/>
      <c r="K92">
        <f>IF(C92="","",IF(COUNTIFS(C$5:C92,C92,E$5:E92,E92)=1,1,0))</f>
        <v/>
      </c>
      <c r="L92">
        <f>IF(C92="",0,IF(AND(B92="brand",E92="budget_probe",N(F92)&gt;=Inputs!$C$114,H92="Y"),1,0))</f>
        <v/>
      </c>
      <c r="M92">
        <f>IF(L92=1,IF(COUNTIFS(C$5:C92,C92,L$5:L92,1)=1,1,0),0)</f>
        <v/>
      </c>
      <c r="N92">
        <f>IF(C92="",0,IF(AND(B92="office",E92="budget_probe",N(F92)&gt;=Inputs!$C$129),1,0))</f>
        <v/>
      </c>
      <c r="O92">
        <f>IF(N92=1,IF(COUNTIFS(C$5:C92,C92,N$5:N92,1)=1,1,0),0)</f>
        <v/>
      </c>
      <c r="P92">
        <f>IF(C92="",0,IF(AND(B92="brand",E92="renewal_answer",N(F92)&gt;=Inputs!$C$125),1,0))</f>
        <v/>
      </c>
      <c r="Q92">
        <f>IF(AND(B92="office",E92="budget_probe",ISNUMBER(F92)),F92,"")</f>
        <v/>
      </c>
      <c r="R92">
        <f>IF(AND(B92="brand",E92="budget_probe",ISNUMBER(F92)),F92,"")</f>
        <v/>
      </c>
    </row>
    <row r="93">
      <c r="A93" s="91" t="n"/>
      <c r="B93" s="92" t="n"/>
      <c r="C93" s="92" t="n"/>
      <c r="D93" s="92" t="n"/>
      <c r="E93" s="92" t="n"/>
      <c r="F93" s="92" t="n"/>
      <c r="G93" s="92" t="n"/>
      <c r="H93" s="92" t="n"/>
      <c r="I93" s="92" t="n"/>
      <c r="K93">
        <f>IF(C93="","",IF(COUNTIFS(C$5:C93,C93,E$5:E93,E93)=1,1,0))</f>
        <v/>
      </c>
      <c r="L93">
        <f>IF(C93="",0,IF(AND(B93="brand",E93="budget_probe",N(F93)&gt;=Inputs!$C$114,H93="Y"),1,0))</f>
        <v/>
      </c>
      <c r="M93">
        <f>IF(L93=1,IF(COUNTIFS(C$5:C93,C93,L$5:L93,1)=1,1,0),0)</f>
        <v/>
      </c>
      <c r="N93">
        <f>IF(C93="",0,IF(AND(B93="office",E93="budget_probe",N(F93)&gt;=Inputs!$C$129),1,0))</f>
        <v/>
      </c>
      <c r="O93">
        <f>IF(N93=1,IF(COUNTIFS(C$5:C93,C93,N$5:N93,1)=1,1,0),0)</f>
        <v/>
      </c>
      <c r="P93">
        <f>IF(C93="",0,IF(AND(B93="brand",E93="renewal_answer",N(F93)&gt;=Inputs!$C$125),1,0))</f>
        <v/>
      </c>
      <c r="Q93">
        <f>IF(AND(B93="office",E93="budget_probe",ISNUMBER(F93)),F93,"")</f>
        <v/>
      </c>
      <c r="R93">
        <f>IF(AND(B93="brand",E93="budget_probe",ISNUMBER(F93)),F93,"")</f>
        <v/>
      </c>
    </row>
    <row r="94">
      <c r="A94" s="91" t="n"/>
      <c r="B94" s="92" t="n"/>
      <c r="C94" s="92" t="n"/>
      <c r="D94" s="92" t="n"/>
      <c r="E94" s="92" t="n"/>
      <c r="F94" s="92" t="n"/>
      <c r="G94" s="92" t="n"/>
      <c r="H94" s="92" t="n"/>
      <c r="I94" s="92" t="n"/>
      <c r="K94">
        <f>IF(C94="","",IF(COUNTIFS(C$5:C94,C94,E$5:E94,E94)=1,1,0))</f>
        <v/>
      </c>
      <c r="L94">
        <f>IF(C94="",0,IF(AND(B94="brand",E94="budget_probe",N(F94)&gt;=Inputs!$C$114,H94="Y"),1,0))</f>
        <v/>
      </c>
      <c r="M94">
        <f>IF(L94=1,IF(COUNTIFS(C$5:C94,C94,L$5:L94,1)=1,1,0),0)</f>
        <v/>
      </c>
      <c r="N94">
        <f>IF(C94="",0,IF(AND(B94="office",E94="budget_probe",N(F94)&gt;=Inputs!$C$129),1,0))</f>
        <v/>
      </c>
      <c r="O94">
        <f>IF(N94=1,IF(COUNTIFS(C$5:C94,C94,N$5:N94,1)=1,1,0),0)</f>
        <v/>
      </c>
      <c r="P94">
        <f>IF(C94="",0,IF(AND(B94="brand",E94="renewal_answer",N(F94)&gt;=Inputs!$C$125),1,0))</f>
        <v/>
      </c>
      <c r="Q94">
        <f>IF(AND(B94="office",E94="budget_probe",ISNUMBER(F94)),F94,"")</f>
        <v/>
      </c>
      <c r="R94">
        <f>IF(AND(B94="brand",E94="budget_probe",ISNUMBER(F94)),F94,"")</f>
        <v/>
      </c>
    </row>
    <row r="95">
      <c r="A95" s="91" t="n"/>
      <c r="B95" s="92" t="n"/>
      <c r="C95" s="92" t="n"/>
      <c r="D95" s="92" t="n"/>
      <c r="E95" s="92" t="n"/>
      <c r="F95" s="92" t="n"/>
      <c r="G95" s="92" t="n"/>
      <c r="H95" s="92" t="n"/>
      <c r="I95" s="92" t="n"/>
      <c r="K95">
        <f>IF(C95="","",IF(COUNTIFS(C$5:C95,C95,E$5:E95,E95)=1,1,0))</f>
        <v/>
      </c>
      <c r="L95">
        <f>IF(C95="",0,IF(AND(B95="brand",E95="budget_probe",N(F95)&gt;=Inputs!$C$114,H95="Y"),1,0))</f>
        <v/>
      </c>
      <c r="M95">
        <f>IF(L95=1,IF(COUNTIFS(C$5:C95,C95,L$5:L95,1)=1,1,0),0)</f>
        <v/>
      </c>
      <c r="N95">
        <f>IF(C95="",0,IF(AND(B95="office",E95="budget_probe",N(F95)&gt;=Inputs!$C$129),1,0))</f>
        <v/>
      </c>
      <c r="O95">
        <f>IF(N95=1,IF(COUNTIFS(C$5:C95,C95,N$5:N95,1)=1,1,0),0)</f>
        <v/>
      </c>
      <c r="P95">
        <f>IF(C95="",0,IF(AND(B95="brand",E95="renewal_answer",N(F95)&gt;=Inputs!$C$125),1,0))</f>
        <v/>
      </c>
      <c r="Q95">
        <f>IF(AND(B95="office",E95="budget_probe",ISNUMBER(F95)),F95,"")</f>
        <v/>
      </c>
      <c r="R95">
        <f>IF(AND(B95="brand",E95="budget_probe",ISNUMBER(F95)),F95,"")</f>
        <v/>
      </c>
    </row>
    <row r="96">
      <c r="A96" s="91" t="n"/>
      <c r="B96" s="92" t="n"/>
      <c r="C96" s="92" t="n"/>
      <c r="D96" s="92" t="n"/>
      <c r="E96" s="92" t="n"/>
      <c r="F96" s="92" t="n"/>
      <c r="G96" s="92" t="n"/>
      <c r="H96" s="92" t="n"/>
      <c r="I96" s="92" t="n"/>
      <c r="K96">
        <f>IF(C96="","",IF(COUNTIFS(C$5:C96,C96,E$5:E96,E96)=1,1,0))</f>
        <v/>
      </c>
      <c r="L96">
        <f>IF(C96="",0,IF(AND(B96="brand",E96="budget_probe",N(F96)&gt;=Inputs!$C$114,H96="Y"),1,0))</f>
        <v/>
      </c>
      <c r="M96">
        <f>IF(L96=1,IF(COUNTIFS(C$5:C96,C96,L$5:L96,1)=1,1,0),0)</f>
        <v/>
      </c>
      <c r="N96">
        <f>IF(C96="",0,IF(AND(B96="office",E96="budget_probe",N(F96)&gt;=Inputs!$C$129),1,0))</f>
        <v/>
      </c>
      <c r="O96">
        <f>IF(N96=1,IF(COUNTIFS(C$5:C96,C96,N$5:N96,1)=1,1,0),0)</f>
        <v/>
      </c>
      <c r="P96">
        <f>IF(C96="",0,IF(AND(B96="brand",E96="renewal_answer",N(F96)&gt;=Inputs!$C$125),1,0))</f>
        <v/>
      </c>
      <c r="Q96">
        <f>IF(AND(B96="office",E96="budget_probe",ISNUMBER(F96)),F96,"")</f>
        <v/>
      </c>
      <c r="R96">
        <f>IF(AND(B96="brand",E96="budget_probe",ISNUMBER(F96)),F96,"")</f>
        <v/>
      </c>
    </row>
    <row r="97">
      <c r="A97" s="91" t="n"/>
      <c r="B97" s="92" t="n"/>
      <c r="C97" s="92" t="n"/>
      <c r="D97" s="92" t="n"/>
      <c r="E97" s="92" t="n"/>
      <c r="F97" s="92" t="n"/>
      <c r="G97" s="92" t="n"/>
      <c r="H97" s="92" t="n"/>
      <c r="I97" s="92" t="n"/>
      <c r="K97">
        <f>IF(C97="","",IF(COUNTIFS(C$5:C97,C97,E$5:E97,E97)=1,1,0))</f>
        <v/>
      </c>
      <c r="L97">
        <f>IF(C97="",0,IF(AND(B97="brand",E97="budget_probe",N(F97)&gt;=Inputs!$C$114,H97="Y"),1,0))</f>
        <v/>
      </c>
      <c r="M97">
        <f>IF(L97=1,IF(COUNTIFS(C$5:C97,C97,L$5:L97,1)=1,1,0),0)</f>
        <v/>
      </c>
      <c r="N97">
        <f>IF(C97="",0,IF(AND(B97="office",E97="budget_probe",N(F97)&gt;=Inputs!$C$129),1,0))</f>
        <v/>
      </c>
      <c r="O97">
        <f>IF(N97=1,IF(COUNTIFS(C$5:C97,C97,N$5:N97,1)=1,1,0),0)</f>
        <v/>
      </c>
      <c r="P97">
        <f>IF(C97="",0,IF(AND(B97="brand",E97="renewal_answer",N(F97)&gt;=Inputs!$C$125),1,0))</f>
        <v/>
      </c>
      <c r="Q97">
        <f>IF(AND(B97="office",E97="budget_probe",ISNUMBER(F97)),F97,"")</f>
        <v/>
      </c>
      <c r="R97">
        <f>IF(AND(B97="brand",E97="budget_probe",ISNUMBER(F97)),F97,"")</f>
        <v/>
      </c>
    </row>
    <row r="98">
      <c r="A98" s="91" t="n"/>
      <c r="B98" s="92" t="n"/>
      <c r="C98" s="92" t="n"/>
      <c r="D98" s="92" t="n"/>
      <c r="E98" s="92" t="n"/>
      <c r="F98" s="92" t="n"/>
      <c r="G98" s="92" t="n"/>
      <c r="H98" s="92" t="n"/>
      <c r="I98" s="92" t="n"/>
      <c r="K98">
        <f>IF(C98="","",IF(COUNTIFS(C$5:C98,C98,E$5:E98,E98)=1,1,0))</f>
        <v/>
      </c>
      <c r="L98">
        <f>IF(C98="",0,IF(AND(B98="brand",E98="budget_probe",N(F98)&gt;=Inputs!$C$114,H98="Y"),1,0))</f>
        <v/>
      </c>
      <c r="M98">
        <f>IF(L98=1,IF(COUNTIFS(C$5:C98,C98,L$5:L98,1)=1,1,0),0)</f>
        <v/>
      </c>
      <c r="N98">
        <f>IF(C98="",0,IF(AND(B98="office",E98="budget_probe",N(F98)&gt;=Inputs!$C$129),1,0))</f>
        <v/>
      </c>
      <c r="O98">
        <f>IF(N98=1,IF(COUNTIFS(C$5:C98,C98,N$5:N98,1)=1,1,0),0)</f>
        <v/>
      </c>
      <c r="P98">
        <f>IF(C98="",0,IF(AND(B98="brand",E98="renewal_answer",N(F98)&gt;=Inputs!$C$125),1,0))</f>
        <v/>
      </c>
      <c r="Q98">
        <f>IF(AND(B98="office",E98="budget_probe",ISNUMBER(F98)),F98,"")</f>
        <v/>
      </c>
      <c r="R98">
        <f>IF(AND(B98="brand",E98="budget_probe",ISNUMBER(F98)),F98,"")</f>
        <v/>
      </c>
    </row>
    <row r="99">
      <c r="A99" s="91" t="n"/>
      <c r="B99" s="92" t="n"/>
      <c r="C99" s="92" t="n"/>
      <c r="D99" s="92" t="n"/>
      <c r="E99" s="92" t="n"/>
      <c r="F99" s="92" t="n"/>
      <c r="G99" s="92" t="n"/>
      <c r="H99" s="92" t="n"/>
      <c r="I99" s="92" t="n"/>
      <c r="K99">
        <f>IF(C99="","",IF(COUNTIFS(C$5:C99,C99,E$5:E99,E99)=1,1,0))</f>
        <v/>
      </c>
      <c r="L99">
        <f>IF(C99="",0,IF(AND(B99="brand",E99="budget_probe",N(F99)&gt;=Inputs!$C$114,H99="Y"),1,0))</f>
        <v/>
      </c>
      <c r="M99">
        <f>IF(L99=1,IF(COUNTIFS(C$5:C99,C99,L$5:L99,1)=1,1,0),0)</f>
        <v/>
      </c>
      <c r="N99">
        <f>IF(C99="",0,IF(AND(B99="office",E99="budget_probe",N(F99)&gt;=Inputs!$C$129),1,0))</f>
        <v/>
      </c>
      <c r="O99">
        <f>IF(N99=1,IF(COUNTIFS(C$5:C99,C99,N$5:N99,1)=1,1,0),0)</f>
        <v/>
      </c>
      <c r="P99">
        <f>IF(C99="",0,IF(AND(B99="brand",E99="renewal_answer",N(F99)&gt;=Inputs!$C$125),1,0))</f>
        <v/>
      </c>
      <c r="Q99">
        <f>IF(AND(B99="office",E99="budget_probe",ISNUMBER(F99)),F99,"")</f>
        <v/>
      </c>
      <c r="R99">
        <f>IF(AND(B99="brand",E99="budget_probe",ISNUMBER(F99)),F99,"")</f>
        <v/>
      </c>
    </row>
    <row r="100">
      <c r="A100" s="91" t="n"/>
      <c r="B100" s="92" t="n"/>
      <c r="C100" s="92" t="n"/>
      <c r="D100" s="92" t="n"/>
      <c r="E100" s="92" t="n"/>
      <c r="F100" s="92" t="n"/>
      <c r="G100" s="92" t="n"/>
      <c r="H100" s="92" t="n"/>
      <c r="I100" s="92" t="n"/>
      <c r="K100">
        <f>IF(C100="","",IF(COUNTIFS(C$5:C100,C100,E$5:E100,E100)=1,1,0))</f>
        <v/>
      </c>
      <c r="L100">
        <f>IF(C100="",0,IF(AND(B100="brand",E100="budget_probe",N(F100)&gt;=Inputs!$C$114,H100="Y"),1,0))</f>
        <v/>
      </c>
      <c r="M100">
        <f>IF(L100=1,IF(COUNTIFS(C$5:C100,C100,L$5:L100,1)=1,1,0),0)</f>
        <v/>
      </c>
      <c r="N100">
        <f>IF(C100="",0,IF(AND(B100="office",E100="budget_probe",N(F100)&gt;=Inputs!$C$129),1,0))</f>
        <v/>
      </c>
      <c r="O100">
        <f>IF(N100=1,IF(COUNTIFS(C$5:C100,C100,N$5:N100,1)=1,1,0),0)</f>
        <v/>
      </c>
      <c r="P100">
        <f>IF(C100="",0,IF(AND(B100="brand",E100="renewal_answer",N(F100)&gt;=Inputs!$C$125),1,0))</f>
        <v/>
      </c>
      <c r="Q100">
        <f>IF(AND(B100="office",E100="budget_probe",ISNUMBER(F100)),F100,"")</f>
        <v/>
      </c>
      <c r="R100">
        <f>IF(AND(B100="brand",E100="budget_probe",ISNUMBER(F100)),F100,"")</f>
        <v/>
      </c>
    </row>
    <row r="101">
      <c r="A101" s="91" t="n"/>
      <c r="B101" s="92" t="n"/>
      <c r="C101" s="92" t="n"/>
      <c r="D101" s="92" t="n"/>
      <c r="E101" s="92" t="n"/>
      <c r="F101" s="92" t="n"/>
      <c r="G101" s="92" t="n"/>
      <c r="H101" s="92" t="n"/>
      <c r="I101" s="92" t="n"/>
      <c r="K101">
        <f>IF(C101="","",IF(COUNTIFS(C$5:C101,C101,E$5:E101,E101)=1,1,0))</f>
        <v/>
      </c>
      <c r="L101">
        <f>IF(C101="",0,IF(AND(B101="brand",E101="budget_probe",N(F101)&gt;=Inputs!$C$114,H101="Y"),1,0))</f>
        <v/>
      </c>
      <c r="M101">
        <f>IF(L101=1,IF(COUNTIFS(C$5:C101,C101,L$5:L101,1)=1,1,0),0)</f>
        <v/>
      </c>
      <c r="N101">
        <f>IF(C101="",0,IF(AND(B101="office",E101="budget_probe",N(F101)&gt;=Inputs!$C$129),1,0))</f>
        <v/>
      </c>
      <c r="O101">
        <f>IF(N101=1,IF(COUNTIFS(C$5:C101,C101,N$5:N101,1)=1,1,0),0)</f>
        <v/>
      </c>
      <c r="P101">
        <f>IF(C101="",0,IF(AND(B101="brand",E101="renewal_answer",N(F101)&gt;=Inputs!$C$125),1,0))</f>
        <v/>
      </c>
      <c r="Q101">
        <f>IF(AND(B101="office",E101="budget_probe",ISNUMBER(F101)),F101,"")</f>
        <v/>
      </c>
      <c r="R101">
        <f>IF(AND(B101="brand",E101="budget_probe",ISNUMBER(F101)),F101,"")</f>
        <v/>
      </c>
    </row>
    <row r="102">
      <c r="A102" s="91" t="n"/>
      <c r="B102" s="92" t="n"/>
      <c r="C102" s="92" t="n"/>
      <c r="D102" s="92" t="n"/>
      <c r="E102" s="92" t="n"/>
      <c r="F102" s="92" t="n"/>
      <c r="G102" s="92" t="n"/>
      <c r="H102" s="92" t="n"/>
      <c r="I102" s="92" t="n"/>
      <c r="K102">
        <f>IF(C102="","",IF(COUNTIFS(C$5:C102,C102,E$5:E102,E102)=1,1,0))</f>
        <v/>
      </c>
      <c r="L102">
        <f>IF(C102="",0,IF(AND(B102="brand",E102="budget_probe",N(F102)&gt;=Inputs!$C$114,H102="Y"),1,0))</f>
        <v/>
      </c>
      <c r="M102">
        <f>IF(L102=1,IF(COUNTIFS(C$5:C102,C102,L$5:L102,1)=1,1,0),0)</f>
        <v/>
      </c>
      <c r="N102">
        <f>IF(C102="",0,IF(AND(B102="office",E102="budget_probe",N(F102)&gt;=Inputs!$C$129),1,0))</f>
        <v/>
      </c>
      <c r="O102">
        <f>IF(N102=1,IF(COUNTIFS(C$5:C102,C102,N$5:N102,1)=1,1,0),0)</f>
        <v/>
      </c>
      <c r="P102">
        <f>IF(C102="",0,IF(AND(B102="brand",E102="renewal_answer",N(F102)&gt;=Inputs!$C$125),1,0))</f>
        <v/>
      </c>
      <c r="Q102">
        <f>IF(AND(B102="office",E102="budget_probe",ISNUMBER(F102)),F102,"")</f>
        <v/>
      </c>
      <c r="R102">
        <f>IF(AND(B102="brand",E102="budget_probe",ISNUMBER(F102)),F102,"")</f>
        <v/>
      </c>
    </row>
    <row r="103">
      <c r="A103" s="91" t="n"/>
      <c r="B103" s="92" t="n"/>
      <c r="C103" s="92" t="n"/>
      <c r="D103" s="92" t="n"/>
      <c r="E103" s="92" t="n"/>
      <c r="F103" s="92" t="n"/>
      <c r="G103" s="92" t="n"/>
      <c r="H103" s="92" t="n"/>
      <c r="I103" s="92" t="n"/>
      <c r="K103">
        <f>IF(C103="","",IF(COUNTIFS(C$5:C103,C103,E$5:E103,E103)=1,1,0))</f>
        <v/>
      </c>
      <c r="L103">
        <f>IF(C103="",0,IF(AND(B103="brand",E103="budget_probe",N(F103)&gt;=Inputs!$C$114,H103="Y"),1,0))</f>
        <v/>
      </c>
      <c r="M103">
        <f>IF(L103=1,IF(COUNTIFS(C$5:C103,C103,L$5:L103,1)=1,1,0),0)</f>
        <v/>
      </c>
      <c r="N103">
        <f>IF(C103="",0,IF(AND(B103="office",E103="budget_probe",N(F103)&gt;=Inputs!$C$129),1,0))</f>
        <v/>
      </c>
      <c r="O103">
        <f>IF(N103=1,IF(COUNTIFS(C$5:C103,C103,N$5:N103,1)=1,1,0),0)</f>
        <v/>
      </c>
      <c r="P103">
        <f>IF(C103="",0,IF(AND(B103="brand",E103="renewal_answer",N(F103)&gt;=Inputs!$C$125),1,0))</f>
        <v/>
      </c>
      <c r="Q103">
        <f>IF(AND(B103="office",E103="budget_probe",ISNUMBER(F103)),F103,"")</f>
        <v/>
      </c>
      <c r="R103">
        <f>IF(AND(B103="brand",E103="budget_probe",ISNUMBER(F103)),F103,"")</f>
        <v/>
      </c>
    </row>
    <row r="104">
      <c r="A104" s="91" t="n"/>
      <c r="B104" s="92" t="n"/>
      <c r="C104" s="92" t="n"/>
      <c r="D104" s="92" t="n"/>
      <c r="E104" s="92" t="n"/>
      <c r="F104" s="92" t="n"/>
      <c r="G104" s="92" t="n"/>
      <c r="H104" s="92" t="n"/>
      <c r="I104" s="92" t="n"/>
      <c r="K104">
        <f>IF(C104="","",IF(COUNTIFS(C$5:C104,C104,E$5:E104,E104)=1,1,0))</f>
        <v/>
      </c>
      <c r="L104">
        <f>IF(C104="",0,IF(AND(B104="brand",E104="budget_probe",N(F104)&gt;=Inputs!$C$114,H104="Y"),1,0))</f>
        <v/>
      </c>
      <c r="M104">
        <f>IF(L104=1,IF(COUNTIFS(C$5:C104,C104,L$5:L104,1)=1,1,0),0)</f>
        <v/>
      </c>
      <c r="N104">
        <f>IF(C104="",0,IF(AND(B104="office",E104="budget_probe",N(F104)&gt;=Inputs!$C$129),1,0))</f>
        <v/>
      </c>
      <c r="O104">
        <f>IF(N104=1,IF(COUNTIFS(C$5:C104,C104,N$5:N104,1)=1,1,0),0)</f>
        <v/>
      </c>
      <c r="P104">
        <f>IF(C104="",0,IF(AND(B104="brand",E104="renewal_answer",N(F104)&gt;=Inputs!$C$125),1,0))</f>
        <v/>
      </c>
      <c r="Q104">
        <f>IF(AND(B104="office",E104="budget_probe",ISNUMBER(F104)),F104,"")</f>
        <v/>
      </c>
      <c r="R104">
        <f>IF(AND(B104="brand",E104="budget_probe",ISNUMBER(F104)),F104,"")</f>
        <v/>
      </c>
    </row>
    <row r="105">
      <c r="A105" s="91" t="n"/>
      <c r="B105" s="92" t="n"/>
      <c r="C105" s="92" t="n"/>
      <c r="D105" s="92" t="n"/>
      <c r="E105" s="92" t="n"/>
      <c r="F105" s="92" t="n"/>
      <c r="G105" s="92" t="n"/>
      <c r="H105" s="92" t="n"/>
      <c r="I105" s="92" t="n"/>
      <c r="K105">
        <f>IF(C105="","",IF(COUNTIFS(C$5:C105,C105,E$5:E105,E105)=1,1,0))</f>
        <v/>
      </c>
      <c r="L105">
        <f>IF(C105="",0,IF(AND(B105="brand",E105="budget_probe",N(F105)&gt;=Inputs!$C$114,H105="Y"),1,0))</f>
        <v/>
      </c>
      <c r="M105">
        <f>IF(L105=1,IF(COUNTIFS(C$5:C105,C105,L$5:L105,1)=1,1,0),0)</f>
        <v/>
      </c>
      <c r="N105">
        <f>IF(C105="",0,IF(AND(B105="office",E105="budget_probe",N(F105)&gt;=Inputs!$C$129),1,0))</f>
        <v/>
      </c>
      <c r="O105">
        <f>IF(N105=1,IF(COUNTIFS(C$5:C105,C105,N$5:N105,1)=1,1,0),0)</f>
        <v/>
      </c>
      <c r="P105">
        <f>IF(C105="",0,IF(AND(B105="brand",E105="renewal_answer",N(F105)&gt;=Inputs!$C$125),1,0))</f>
        <v/>
      </c>
      <c r="Q105">
        <f>IF(AND(B105="office",E105="budget_probe",ISNUMBER(F105)),F105,"")</f>
        <v/>
      </c>
      <c r="R105">
        <f>IF(AND(B105="brand",E105="budget_probe",ISNUMBER(F105)),F105,"")</f>
        <v/>
      </c>
    </row>
    <row r="106">
      <c r="A106" s="91" t="n"/>
      <c r="B106" s="92" t="n"/>
      <c r="C106" s="92" t="n"/>
      <c r="D106" s="92" t="n"/>
      <c r="E106" s="92" t="n"/>
      <c r="F106" s="92" t="n"/>
      <c r="G106" s="92" t="n"/>
      <c r="H106" s="92" t="n"/>
      <c r="I106" s="92" t="n"/>
      <c r="K106">
        <f>IF(C106="","",IF(COUNTIFS(C$5:C106,C106,E$5:E106,E106)=1,1,0))</f>
        <v/>
      </c>
      <c r="L106">
        <f>IF(C106="",0,IF(AND(B106="brand",E106="budget_probe",N(F106)&gt;=Inputs!$C$114,H106="Y"),1,0))</f>
        <v/>
      </c>
      <c r="M106">
        <f>IF(L106=1,IF(COUNTIFS(C$5:C106,C106,L$5:L106,1)=1,1,0),0)</f>
        <v/>
      </c>
      <c r="N106">
        <f>IF(C106="",0,IF(AND(B106="office",E106="budget_probe",N(F106)&gt;=Inputs!$C$129),1,0))</f>
        <v/>
      </c>
      <c r="O106">
        <f>IF(N106=1,IF(COUNTIFS(C$5:C106,C106,N$5:N106,1)=1,1,0),0)</f>
        <v/>
      </c>
      <c r="P106">
        <f>IF(C106="",0,IF(AND(B106="brand",E106="renewal_answer",N(F106)&gt;=Inputs!$C$125),1,0))</f>
        <v/>
      </c>
      <c r="Q106">
        <f>IF(AND(B106="office",E106="budget_probe",ISNUMBER(F106)),F106,"")</f>
        <v/>
      </c>
      <c r="R106">
        <f>IF(AND(B106="brand",E106="budget_probe",ISNUMBER(F106)),F106,"")</f>
        <v/>
      </c>
    </row>
    <row r="107">
      <c r="A107" s="91" t="n"/>
      <c r="B107" s="92" t="n"/>
      <c r="C107" s="92" t="n"/>
      <c r="D107" s="92" t="n"/>
      <c r="E107" s="92" t="n"/>
      <c r="F107" s="92" t="n"/>
      <c r="G107" s="92" t="n"/>
      <c r="H107" s="92" t="n"/>
      <c r="I107" s="92" t="n"/>
      <c r="K107">
        <f>IF(C107="","",IF(COUNTIFS(C$5:C107,C107,E$5:E107,E107)=1,1,0))</f>
        <v/>
      </c>
      <c r="L107">
        <f>IF(C107="",0,IF(AND(B107="brand",E107="budget_probe",N(F107)&gt;=Inputs!$C$114,H107="Y"),1,0))</f>
        <v/>
      </c>
      <c r="M107">
        <f>IF(L107=1,IF(COUNTIFS(C$5:C107,C107,L$5:L107,1)=1,1,0),0)</f>
        <v/>
      </c>
      <c r="N107">
        <f>IF(C107="",0,IF(AND(B107="office",E107="budget_probe",N(F107)&gt;=Inputs!$C$129),1,0))</f>
        <v/>
      </c>
      <c r="O107">
        <f>IF(N107=1,IF(COUNTIFS(C$5:C107,C107,N$5:N107,1)=1,1,0),0)</f>
        <v/>
      </c>
      <c r="P107">
        <f>IF(C107="",0,IF(AND(B107="brand",E107="renewal_answer",N(F107)&gt;=Inputs!$C$125),1,0))</f>
        <v/>
      </c>
      <c r="Q107">
        <f>IF(AND(B107="office",E107="budget_probe",ISNUMBER(F107)),F107,"")</f>
        <v/>
      </c>
      <c r="R107">
        <f>IF(AND(B107="brand",E107="budget_probe",ISNUMBER(F107)),F107,"")</f>
        <v/>
      </c>
    </row>
    <row r="108">
      <c r="A108" s="91" t="n"/>
      <c r="B108" s="92" t="n"/>
      <c r="C108" s="92" t="n"/>
      <c r="D108" s="92" t="n"/>
      <c r="E108" s="92" t="n"/>
      <c r="F108" s="92" t="n"/>
      <c r="G108" s="92" t="n"/>
      <c r="H108" s="92" t="n"/>
      <c r="I108" s="92" t="n"/>
      <c r="K108">
        <f>IF(C108="","",IF(COUNTIFS(C$5:C108,C108,E$5:E108,E108)=1,1,0))</f>
        <v/>
      </c>
      <c r="L108">
        <f>IF(C108="",0,IF(AND(B108="brand",E108="budget_probe",N(F108)&gt;=Inputs!$C$114,H108="Y"),1,0))</f>
        <v/>
      </c>
      <c r="M108">
        <f>IF(L108=1,IF(COUNTIFS(C$5:C108,C108,L$5:L108,1)=1,1,0),0)</f>
        <v/>
      </c>
      <c r="N108">
        <f>IF(C108="",0,IF(AND(B108="office",E108="budget_probe",N(F108)&gt;=Inputs!$C$129),1,0))</f>
        <v/>
      </c>
      <c r="O108">
        <f>IF(N108=1,IF(COUNTIFS(C$5:C108,C108,N$5:N108,1)=1,1,0),0)</f>
        <v/>
      </c>
      <c r="P108">
        <f>IF(C108="",0,IF(AND(B108="brand",E108="renewal_answer",N(F108)&gt;=Inputs!$C$125),1,0))</f>
        <v/>
      </c>
      <c r="Q108">
        <f>IF(AND(B108="office",E108="budget_probe",ISNUMBER(F108)),F108,"")</f>
        <v/>
      </c>
      <c r="R108">
        <f>IF(AND(B108="brand",E108="budget_probe",ISNUMBER(F108)),F108,"")</f>
        <v/>
      </c>
    </row>
    <row r="109">
      <c r="A109" s="91" t="n"/>
      <c r="B109" s="92" t="n"/>
      <c r="C109" s="92" t="n"/>
      <c r="D109" s="92" t="n"/>
      <c r="E109" s="92" t="n"/>
      <c r="F109" s="92" t="n"/>
      <c r="G109" s="92" t="n"/>
      <c r="H109" s="92" t="n"/>
      <c r="I109" s="92" t="n"/>
      <c r="K109">
        <f>IF(C109="","",IF(COUNTIFS(C$5:C109,C109,E$5:E109,E109)=1,1,0))</f>
        <v/>
      </c>
      <c r="L109">
        <f>IF(C109="",0,IF(AND(B109="brand",E109="budget_probe",N(F109)&gt;=Inputs!$C$114,H109="Y"),1,0))</f>
        <v/>
      </c>
      <c r="M109">
        <f>IF(L109=1,IF(COUNTIFS(C$5:C109,C109,L$5:L109,1)=1,1,0),0)</f>
        <v/>
      </c>
      <c r="N109">
        <f>IF(C109="",0,IF(AND(B109="office",E109="budget_probe",N(F109)&gt;=Inputs!$C$129),1,0))</f>
        <v/>
      </c>
      <c r="O109">
        <f>IF(N109=1,IF(COUNTIFS(C$5:C109,C109,N$5:N109,1)=1,1,0),0)</f>
        <v/>
      </c>
      <c r="P109">
        <f>IF(C109="",0,IF(AND(B109="brand",E109="renewal_answer",N(F109)&gt;=Inputs!$C$125),1,0))</f>
        <v/>
      </c>
      <c r="Q109">
        <f>IF(AND(B109="office",E109="budget_probe",ISNUMBER(F109)),F109,"")</f>
        <v/>
      </c>
      <c r="R109">
        <f>IF(AND(B109="brand",E109="budget_probe",ISNUMBER(F109)),F109,"")</f>
        <v/>
      </c>
    </row>
    <row r="110">
      <c r="A110" s="91" t="n"/>
      <c r="B110" s="92" t="n"/>
      <c r="C110" s="92" t="n"/>
      <c r="D110" s="92" t="n"/>
      <c r="E110" s="92" t="n"/>
      <c r="F110" s="92" t="n"/>
      <c r="G110" s="92" t="n"/>
      <c r="H110" s="92" t="n"/>
      <c r="I110" s="92" t="n"/>
      <c r="K110">
        <f>IF(C110="","",IF(COUNTIFS(C$5:C110,C110,E$5:E110,E110)=1,1,0))</f>
        <v/>
      </c>
      <c r="L110">
        <f>IF(C110="",0,IF(AND(B110="brand",E110="budget_probe",N(F110)&gt;=Inputs!$C$114,H110="Y"),1,0))</f>
        <v/>
      </c>
      <c r="M110">
        <f>IF(L110=1,IF(COUNTIFS(C$5:C110,C110,L$5:L110,1)=1,1,0),0)</f>
        <v/>
      </c>
      <c r="N110">
        <f>IF(C110="",0,IF(AND(B110="office",E110="budget_probe",N(F110)&gt;=Inputs!$C$129),1,0))</f>
        <v/>
      </c>
      <c r="O110">
        <f>IF(N110=1,IF(COUNTIFS(C$5:C110,C110,N$5:N110,1)=1,1,0),0)</f>
        <v/>
      </c>
      <c r="P110">
        <f>IF(C110="",0,IF(AND(B110="brand",E110="renewal_answer",N(F110)&gt;=Inputs!$C$125),1,0))</f>
        <v/>
      </c>
      <c r="Q110">
        <f>IF(AND(B110="office",E110="budget_probe",ISNUMBER(F110)),F110,"")</f>
        <v/>
      </c>
      <c r="R110">
        <f>IF(AND(B110="brand",E110="budget_probe",ISNUMBER(F110)),F110,"")</f>
        <v/>
      </c>
    </row>
    <row r="111">
      <c r="A111" s="91" t="n"/>
      <c r="B111" s="92" t="n"/>
      <c r="C111" s="92" t="n"/>
      <c r="D111" s="92" t="n"/>
      <c r="E111" s="92" t="n"/>
      <c r="F111" s="92" t="n"/>
      <c r="G111" s="92" t="n"/>
      <c r="H111" s="92" t="n"/>
      <c r="I111" s="92" t="n"/>
      <c r="K111">
        <f>IF(C111="","",IF(COUNTIFS(C$5:C111,C111,E$5:E111,E111)=1,1,0))</f>
        <v/>
      </c>
      <c r="L111">
        <f>IF(C111="",0,IF(AND(B111="brand",E111="budget_probe",N(F111)&gt;=Inputs!$C$114,H111="Y"),1,0))</f>
        <v/>
      </c>
      <c r="M111">
        <f>IF(L111=1,IF(COUNTIFS(C$5:C111,C111,L$5:L111,1)=1,1,0),0)</f>
        <v/>
      </c>
      <c r="N111">
        <f>IF(C111="",0,IF(AND(B111="office",E111="budget_probe",N(F111)&gt;=Inputs!$C$129),1,0))</f>
        <v/>
      </c>
      <c r="O111">
        <f>IF(N111=1,IF(COUNTIFS(C$5:C111,C111,N$5:N111,1)=1,1,0),0)</f>
        <v/>
      </c>
      <c r="P111">
        <f>IF(C111="",0,IF(AND(B111="brand",E111="renewal_answer",N(F111)&gt;=Inputs!$C$125),1,0))</f>
        <v/>
      </c>
      <c r="Q111">
        <f>IF(AND(B111="office",E111="budget_probe",ISNUMBER(F111)),F111,"")</f>
        <v/>
      </c>
      <c r="R111">
        <f>IF(AND(B111="brand",E111="budget_probe",ISNUMBER(F111)),F111,"")</f>
        <v/>
      </c>
    </row>
    <row r="112">
      <c r="A112" s="91" t="n"/>
      <c r="B112" s="92" t="n"/>
      <c r="C112" s="92" t="n"/>
      <c r="D112" s="92" t="n"/>
      <c r="E112" s="92" t="n"/>
      <c r="F112" s="92" t="n"/>
      <c r="G112" s="92" t="n"/>
      <c r="H112" s="92" t="n"/>
      <c r="I112" s="92" t="n"/>
      <c r="K112">
        <f>IF(C112="","",IF(COUNTIFS(C$5:C112,C112,E$5:E112,E112)=1,1,0))</f>
        <v/>
      </c>
      <c r="L112">
        <f>IF(C112="",0,IF(AND(B112="brand",E112="budget_probe",N(F112)&gt;=Inputs!$C$114,H112="Y"),1,0))</f>
        <v/>
      </c>
      <c r="M112">
        <f>IF(L112=1,IF(COUNTIFS(C$5:C112,C112,L$5:L112,1)=1,1,0),0)</f>
        <v/>
      </c>
      <c r="N112">
        <f>IF(C112="",0,IF(AND(B112="office",E112="budget_probe",N(F112)&gt;=Inputs!$C$129),1,0))</f>
        <v/>
      </c>
      <c r="O112">
        <f>IF(N112=1,IF(COUNTIFS(C$5:C112,C112,N$5:N112,1)=1,1,0),0)</f>
        <v/>
      </c>
      <c r="P112">
        <f>IF(C112="",0,IF(AND(B112="brand",E112="renewal_answer",N(F112)&gt;=Inputs!$C$125),1,0))</f>
        <v/>
      </c>
      <c r="Q112">
        <f>IF(AND(B112="office",E112="budget_probe",ISNUMBER(F112)),F112,"")</f>
        <v/>
      </c>
      <c r="R112">
        <f>IF(AND(B112="brand",E112="budget_probe",ISNUMBER(F112)),F112,"")</f>
        <v/>
      </c>
    </row>
    <row r="113">
      <c r="A113" s="91" t="n"/>
      <c r="B113" s="92" t="n"/>
      <c r="C113" s="92" t="n"/>
      <c r="D113" s="92" t="n"/>
      <c r="E113" s="92" t="n"/>
      <c r="F113" s="92" t="n"/>
      <c r="G113" s="92" t="n"/>
      <c r="H113" s="92" t="n"/>
      <c r="I113" s="92" t="n"/>
      <c r="K113">
        <f>IF(C113="","",IF(COUNTIFS(C$5:C113,C113,E$5:E113,E113)=1,1,0))</f>
        <v/>
      </c>
      <c r="L113">
        <f>IF(C113="",0,IF(AND(B113="brand",E113="budget_probe",N(F113)&gt;=Inputs!$C$114,H113="Y"),1,0))</f>
        <v/>
      </c>
      <c r="M113">
        <f>IF(L113=1,IF(COUNTIFS(C$5:C113,C113,L$5:L113,1)=1,1,0),0)</f>
        <v/>
      </c>
      <c r="N113">
        <f>IF(C113="",0,IF(AND(B113="office",E113="budget_probe",N(F113)&gt;=Inputs!$C$129),1,0))</f>
        <v/>
      </c>
      <c r="O113">
        <f>IF(N113=1,IF(COUNTIFS(C$5:C113,C113,N$5:N113,1)=1,1,0),0)</f>
        <v/>
      </c>
      <c r="P113">
        <f>IF(C113="",0,IF(AND(B113="brand",E113="renewal_answer",N(F113)&gt;=Inputs!$C$125),1,0))</f>
        <v/>
      </c>
      <c r="Q113">
        <f>IF(AND(B113="office",E113="budget_probe",ISNUMBER(F113)),F113,"")</f>
        <v/>
      </c>
      <c r="R113">
        <f>IF(AND(B113="brand",E113="budget_probe",ISNUMBER(F113)),F113,"")</f>
        <v/>
      </c>
    </row>
    <row r="114">
      <c r="A114" s="91" t="n"/>
      <c r="B114" s="92" t="n"/>
      <c r="C114" s="92" t="n"/>
      <c r="D114" s="92" t="n"/>
      <c r="E114" s="92" t="n"/>
      <c r="F114" s="92" t="n"/>
      <c r="G114" s="92" t="n"/>
      <c r="H114" s="92" t="n"/>
      <c r="I114" s="92" t="n"/>
      <c r="K114">
        <f>IF(C114="","",IF(COUNTIFS(C$5:C114,C114,E$5:E114,E114)=1,1,0))</f>
        <v/>
      </c>
      <c r="L114">
        <f>IF(C114="",0,IF(AND(B114="brand",E114="budget_probe",N(F114)&gt;=Inputs!$C$114,H114="Y"),1,0))</f>
        <v/>
      </c>
      <c r="M114">
        <f>IF(L114=1,IF(COUNTIFS(C$5:C114,C114,L$5:L114,1)=1,1,0),0)</f>
        <v/>
      </c>
      <c r="N114">
        <f>IF(C114="",0,IF(AND(B114="office",E114="budget_probe",N(F114)&gt;=Inputs!$C$129),1,0))</f>
        <v/>
      </c>
      <c r="O114">
        <f>IF(N114=1,IF(COUNTIFS(C$5:C114,C114,N$5:N114,1)=1,1,0),0)</f>
        <v/>
      </c>
      <c r="P114">
        <f>IF(C114="",0,IF(AND(B114="brand",E114="renewal_answer",N(F114)&gt;=Inputs!$C$125),1,0))</f>
        <v/>
      </c>
      <c r="Q114">
        <f>IF(AND(B114="office",E114="budget_probe",ISNUMBER(F114)),F114,"")</f>
        <v/>
      </c>
      <c r="R114">
        <f>IF(AND(B114="brand",E114="budget_probe",ISNUMBER(F114)),F114,"")</f>
        <v/>
      </c>
    </row>
    <row r="115">
      <c r="A115" s="91" t="n"/>
      <c r="B115" s="92" t="n"/>
      <c r="C115" s="92" t="n"/>
      <c r="D115" s="92" t="n"/>
      <c r="E115" s="92" t="n"/>
      <c r="F115" s="92" t="n"/>
      <c r="G115" s="92" t="n"/>
      <c r="H115" s="92" t="n"/>
      <c r="I115" s="92" t="n"/>
      <c r="K115">
        <f>IF(C115="","",IF(COUNTIFS(C$5:C115,C115,E$5:E115,E115)=1,1,0))</f>
        <v/>
      </c>
      <c r="L115">
        <f>IF(C115="",0,IF(AND(B115="brand",E115="budget_probe",N(F115)&gt;=Inputs!$C$114,H115="Y"),1,0))</f>
        <v/>
      </c>
      <c r="M115">
        <f>IF(L115=1,IF(COUNTIFS(C$5:C115,C115,L$5:L115,1)=1,1,0),0)</f>
        <v/>
      </c>
      <c r="N115">
        <f>IF(C115="",0,IF(AND(B115="office",E115="budget_probe",N(F115)&gt;=Inputs!$C$129),1,0))</f>
        <v/>
      </c>
      <c r="O115">
        <f>IF(N115=1,IF(COUNTIFS(C$5:C115,C115,N$5:N115,1)=1,1,0),0)</f>
        <v/>
      </c>
      <c r="P115">
        <f>IF(C115="",0,IF(AND(B115="brand",E115="renewal_answer",N(F115)&gt;=Inputs!$C$125),1,0))</f>
        <v/>
      </c>
      <c r="Q115">
        <f>IF(AND(B115="office",E115="budget_probe",ISNUMBER(F115)),F115,"")</f>
        <v/>
      </c>
      <c r="R115">
        <f>IF(AND(B115="brand",E115="budget_probe",ISNUMBER(F115)),F115,"")</f>
        <v/>
      </c>
    </row>
    <row r="116">
      <c r="A116" s="91" t="n"/>
      <c r="B116" s="92" t="n"/>
      <c r="C116" s="92" t="n"/>
      <c r="D116" s="92" t="n"/>
      <c r="E116" s="92" t="n"/>
      <c r="F116" s="92" t="n"/>
      <c r="G116" s="92" t="n"/>
      <c r="H116" s="92" t="n"/>
      <c r="I116" s="92" t="n"/>
      <c r="K116">
        <f>IF(C116="","",IF(COUNTIFS(C$5:C116,C116,E$5:E116,E116)=1,1,0))</f>
        <v/>
      </c>
      <c r="L116">
        <f>IF(C116="",0,IF(AND(B116="brand",E116="budget_probe",N(F116)&gt;=Inputs!$C$114,H116="Y"),1,0))</f>
        <v/>
      </c>
      <c r="M116">
        <f>IF(L116=1,IF(COUNTIFS(C$5:C116,C116,L$5:L116,1)=1,1,0),0)</f>
        <v/>
      </c>
      <c r="N116">
        <f>IF(C116="",0,IF(AND(B116="office",E116="budget_probe",N(F116)&gt;=Inputs!$C$129),1,0))</f>
        <v/>
      </c>
      <c r="O116">
        <f>IF(N116=1,IF(COUNTIFS(C$5:C116,C116,N$5:N116,1)=1,1,0),0)</f>
        <v/>
      </c>
      <c r="P116">
        <f>IF(C116="",0,IF(AND(B116="brand",E116="renewal_answer",N(F116)&gt;=Inputs!$C$125),1,0))</f>
        <v/>
      </c>
      <c r="Q116">
        <f>IF(AND(B116="office",E116="budget_probe",ISNUMBER(F116)),F116,"")</f>
        <v/>
      </c>
      <c r="R116">
        <f>IF(AND(B116="brand",E116="budget_probe",ISNUMBER(F116)),F116,"")</f>
        <v/>
      </c>
    </row>
    <row r="117">
      <c r="A117" s="91" t="n"/>
      <c r="B117" s="92" t="n"/>
      <c r="C117" s="92" t="n"/>
      <c r="D117" s="92" t="n"/>
      <c r="E117" s="92" t="n"/>
      <c r="F117" s="92" t="n"/>
      <c r="G117" s="92" t="n"/>
      <c r="H117" s="92" t="n"/>
      <c r="I117" s="92" t="n"/>
      <c r="K117">
        <f>IF(C117="","",IF(COUNTIFS(C$5:C117,C117,E$5:E117,E117)=1,1,0))</f>
        <v/>
      </c>
      <c r="L117">
        <f>IF(C117="",0,IF(AND(B117="brand",E117="budget_probe",N(F117)&gt;=Inputs!$C$114,H117="Y"),1,0))</f>
        <v/>
      </c>
      <c r="M117">
        <f>IF(L117=1,IF(COUNTIFS(C$5:C117,C117,L$5:L117,1)=1,1,0),0)</f>
        <v/>
      </c>
      <c r="N117">
        <f>IF(C117="",0,IF(AND(B117="office",E117="budget_probe",N(F117)&gt;=Inputs!$C$129),1,0))</f>
        <v/>
      </c>
      <c r="O117">
        <f>IF(N117=1,IF(COUNTIFS(C$5:C117,C117,N$5:N117,1)=1,1,0),0)</f>
        <v/>
      </c>
      <c r="P117">
        <f>IF(C117="",0,IF(AND(B117="brand",E117="renewal_answer",N(F117)&gt;=Inputs!$C$125),1,0))</f>
        <v/>
      </c>
      <c r="Q117">
        <f>IF(AND(B117="office",E117="budget_probe",ISNUMBER(F117)),F117,"")</f>
        <v/>
      </c>
      <c r="R117">
        <f>IF(AND(B117="brand",E117="budget_probe",ISNUMBER(F117)),F117,"")</f>
        <v/>
      </c>
    </row>
    <row r="118">
      <c r="A118" s="91" t="n"/>
      <c r="B118" s="92" t="n"/>
      <c r="C118" s="92" t="n"/>
      <c r="D118" s="92" t="n"/>
      <c r="E118" s="92" t="n"/>
      <c r="F118" s="92" t="n"/>
      <c r="G118" s="92" t="n"/>
      <c r="H118" s="92" t="n"/>
      <c r="I118" s="92" t="n"/>
      <c r="K118">
        <f>IF(C118="","",IF(COUNTIFS(C$5:C118,C118,E$5:E118,E118)=1,1,0))</f>
        <v/>
      </c>
      <c r="L118">
        <f>IF(C118="",0,IF(AND(B118="brand",E118="budget_probe",N(F118)&gt;=Inputs!$C$114,H118="Y"),1,0))</f>
        <v/>
      </c>
      <c r="M118">
        <f>IF(L118=1,IF(COUNTIFS(C$5:C118,C118,L$5:L118,1)=1,1,0),0)</f>
        <v/>
      </c>
      <c r="N118">
        <f>IF(C118="",0,IF(AND(B118="office",E118="budget_probe",N(F118)&gt;=Inputs!$C$129),1,0))</f>
        <v/>
      </c>
      <c r="O118">
        <f>IF(N118=1,IF(COUNTIFS(C$5:C118,C118,N$5:N118,1)=1,1,0),0)</f>
        <v/>
      </c>
      <c r="P118">
        <f>IF(C118="",0,IF(AND(B118="brand",E118="renewal_answer",N(F118)&gt;=Inputs!$C$125),1,0))</f>
        <v/>
      </c>
      <c r="Q118">
        <f>IF(AND(B118="office",E118="budget_probe",ISNUMBER(F118)),F118,"")</f>
        <v/>
      </c>
      <c r="R118">
        <f>IF(AND(B118="brand",E118="budget_probe",ISNUMBER(F118)),F118,"")</f>
        <v/>
      </c>
    </row>
    <row r="119">
      <c r="A119" s="91" t="n"/>
      <c r="B119" s="92" t="n"/>
      <c r="C119" s="92" t="n"/>
      <c r="D119" s="92" t="n"/>
      <c r="E119" s="92" t="n"/>
      <c r="F119" s="92" t="n"/>
      <c r="G119" s="92" t="n"/>
      <c r="H119" s="92" t="n"/>
      <c r="I119" s="92" t="n"/>
      <c r="K119">
        <f>IF(C119="","",IF(COUNTIFS(C$5:C119,C119,E$5:E119,E119)=1,1,0))</f>
        <v/>
      </c>
      <c r="L119">
        <f>IF(C119="",0,IF(AND(B119="brand",E119="budget_probe",N(F119)&gt;=Inputs!$C$114,H119="Y"),1,0))</f>
        <v/>
      </c>
      <c r="M119">
        <f>IF(L119=1,IF(COUNTIFS(C$5:C119,C119,L$5:L119,1)=1,1,0),0)</f>
        <v/>
      </c>
      <c r="N119">
        <f>IF(C119="",0,IF(AND(B119="office",E119="budget_probe",N(F119)&gt;=Inputs!$C$129),1,0))</f>
        <v/>
      </c>
      <c r="O119">
        <f>IF(N119=1,IF(COUNTIFS(C$5:C119,C119,N$5:N119,1)=1,1,0),0)</f>
        <v/>
      </c>
      <c r="P119">
        <f>IF(C119="",0,IF(AND(B119="brand",E119="renewal_answer",N(F119)&gt;=Inputs!$C$125),1,0))</f>
        <v/>
      </c>
      <c r="Q119">
        <f>IF(AND(B119="office",E119="budget_probe",ISNUMBER(F119)),F119,"")</f>
        <v/>
      </c>
      <c r="R119">
        <f>IF(AND(B119="brand",E119="budget_probe",ISNUMBER(F119)),F119,"")</f>
        <v/>
      </c>
    </row>
    <row r="120">
      <c r="A120" s="91" t="n"/>
      <c r="B120" s="92" t="n"/>
      <c r="C120" s="92" t="n"/>
      <c r="D120" s="92" t="n"/>
      <c r="E120" s="92" t="n"/>
      <c r="F120" s="92" t="n"/>
      <c r="G120" s="92" t="n"/>
      <c r="H120" s="92" t="n"/>
      <c r="I120" s="92" t="n"/>
      <c r="K120">
        <f>IF(C120="","",IF(COUNTIFS(C$5:C120,C120,E$5:E120,E120)=1,1,0))</f>
        <v/>
      </c>
      <c r="L120">
        <f>IF(C120="",0,IF(AND(B120="brand",E120="budget_probe",N(F120)&gt;=Inputs!$C$114,H120="Y"),1,0))</f>
        <v/>
      </c>
      <c r="M120">
        <f>IF(L120=1,IF(COUNTIFS(C$5:C120,C120,L$5:L120,1)=1,1,0),0)</f>
        <v/>
      </c>
      <c r="N120">
        <f>IF(C120="",0,IF(AND(B120="office",E120="budget_probe",N(F120)&gt;=Inputs!$C$129),1,0))</f>
        <v/>
      </c>
      <c r="O120">
        <f>IF(N120=1,IF(COUNTIFS(C$5:C120,C120,N$5:N120,1)=1,1,0),0)</f>
        <v/>
      </c>
      <c r="P120">
        <f>IF(C120="",0,IF(AND(B120="brand",E120="renewal_answer",N(F120)&gt;=Inputs!$C$125),1,0))</f>
        <v/>
      </c>
      <c r="Q120">
        <f>IF(AND(B120="office",E120="budget_probe",ISNUMBER(F120)),F120,"")</f>
        <v/>
      </c>
      <c r="R120">
        <f>IF(AND(B120="brand",E120="budget_probe",ISNUMBER(F120)),F120,"")</f>
        <v/>
      </c>
    </row>
    <row r="121">
      <c r="A121" s="91" t="n"/>
      <c r="B121" s="92" t="n"/>
      <c r="C121" s="92" t="n"/>
      <c r="D121" s="92" t="n"/>
      <c r="E121" s="92" t="n"/>
      <c r="F121" s="92" t="n"/>
      <c r="G121" s="92" t="n"/>
      <c r="H121" s="92" t="n"/>
      <c r="I121" s="92" t="n"/>
      <c r="K121">
        <f>IF(C121="","",IF(COUNTIFS(C$5:C121,C121,E$5:E121,E121)=1,1,0))</f>
        <v/>
      </c>
      <c r="L121">
        <f>IF(C121="",0,IF(AND(B121="brand",E121="budget_probe",N(F121)&gt;=Inputs!$C$114,H121="Y"),1,0))</f>
        <v/>
      </c>
      <c r="M121">
        <f>IF(L121=1,IF(COUNTIFS(C$5:C121,C121,L$5:L121,1)=1,1,0),0)</f>
        <v/>
      </c>
      <c r="N121">
        <f>IF(C121="",0,IF(AND(B121="office",E121="budget_probe",N(F121)&gt;=Inputs!$C$129),1,0))</f>
        <v/>
      </c>
      <c r="O121">
        <f>IF(N121=1,IF(COUNTIFS(C$5:C121,C121,N$5:N121,1)=1,1,0),0)</f>
        <v/>
      </c>
      <c r="P121">
        <f>IF(C121="",0,IF(AND(B121="brand",E121="renewal_answer",N(F121)&gt;=Inputs!$C$125),1,0))</f>
        <v/>
      </c>
      <c r="Q121">
        <f>IF(AND(B121="office",E121="budget_probe",ISNUMBER(F121)),F121,"")</f>
        <v/>
      </c>
      <c r="R121">
        <f>IF(AND(B121="brand",E121="budget_probe",ISNUMBER(F121)),F121,"")</f>
        <v/>
      </c>
    </row>
    <row r="122">
      <c r="A122" s="91" t="n"/>
      <c r="B122" s="92" t="n"/>
      <c r="C122" s="92" t="n"/>
      <c r="D122" s="92" t="n"/>
      <c r="E122" s="92" t="n"/>
      <c r="F122" s="92" t="n"/>
      <c r="G122" s="92" t="n"/>
      <c r="H122" s="92" t="n"/>
      <c r="I122" s="92" t="n"/>
      <c r="K122">
        <f>IF(C122="","",IF(COUNTIFS(C$5:C122,C122,E$5:E122,E122)=1,1,0))</f>
        <v/>
      </c>
      <c r="L122">
        <f>IF(C122="",0,IF(AND(B122="brand",E122="budget_probe",N(F122)&gt;=Inputs!$C$114,H122="Y"),1,0))</f>
        <v/>
      </c>
      <c r="M122">
        <f>IF(L122=1,IF(COUNTIFS(C$5:C122,C122,L$5:L122,1)=1,1,0),0)</f>
        <v/>
      </c>
      <c r="N122">
        <f>IF(C122="",0,IF(AND(B122="office",E122="budget_probe",N(F122)&gt;=Inputs!$C$129),1,0))</f>
        <v/>
      </c>
      <c r="O122">
        <f>IF(N122=1,IF(COUNTIFS(C$5:C122,C122,N$5:N122,1)=1,1,0),0)</f>
        <v/>
      </c>
      <c r="P122">
        <f>IF(C122="",0,IF(AND(B122="brand",E122="renewal_answer",N(F122)&gt;=Inputs!$C$125),1,0))</f>
        <v/>
      </c>
      <c r="Q122">
        <f>IF(AND(B122="office",E122="budget_probe",ISNUMBER(F122)),F122,"")</f>
        <v/>
      </c>
      <c r="R122">
        <f>IF(AND(B122="brand",E122="budget_probe",ISNUMBER(F122)),F122,"")</f>
        <v/>
      </c>
    </row>
    <row r="123">
      <c r="A123" s="91" t="n"/>
      <c r="B123" s="92" t="n"/>
      <c r="C123" s="92" t="n"/>
      <c r="D123" s="92" t="n"/>
      <c r="E123" s="92" t="n"/>
      <c r="F123" s="92" t="n"/>
      <c r="G123" s="92" t="n"/>
      <c r="H123" s="92" t="n"/>
      <c r="I123" s="92" t="n"/>
      <c r="K123">
        <f>IF(C123="","",IF(COUNTIFS(C$5:C123,C123,E$5:E123,E123)=1,1,0))</f>
        <v/>
      </c>
      <c r="L123">
        <f>IF(C123="",0,IF(AND(B123="brand",E123="budget_probe",N(F123)&gt;=Inputs!$C$114,H123="Y"),1,0))</f>
        <v/>
      </c>
      <c r="M123">
        <f>IF(L123=1,IF(COUNTIFS(C$5:C123,C123,L$5:L123,1)=1,1,0),0)</f>
        <v/>
      </c>
      <c r="N123">
        <f>IF(C123="",0,IF(AND(B123="office",E123="budget_probe",N(F123)&gt;=Inputs!$C$129),1,0))</f>
        <v/>
      </c>
      <c r="O123">
        <f>IF(N123=1,IF(COUNTIFS(C$5:C123,C123,N$5:N123,1)=1,1,0),0)</f>
        <v/>
      </c>
      <c r="P123">
        <f>IF(C123="",0,IF(AND(B123="brand",E123="renewal_answer",N(F123)&gt;=Inputs!$C$125),1,0))</f>
        <v/>
      </c>
      <c r="Q123">
        <f>IF(AND(B123="office",E123="budget_probe",ISNUMBER(F123)),F123,"")</f>
        <v/>
      </c>
      <c r="R123">
        <f>IF(AND(B123="brand",E123="budget_probe",ISNUMBER(F123)),F123,"")</f>
        <v/>
      </c>
    </row>
    <row r="124">
      <c r="A124" s="91" t="n"/>
      <c r="B124" s="92" t="n"/>
      <c r="C124" s="92" t="n"/>
      <c r="D124" s="92" t="n"/>
      <c r="E124" s="92" t="n"/>
      <c r="F124" s="92" t="n"/>
      <c r="G124" s="92" t="n"/>
      <c r="H124" s="92" t="n"/>
      <c r="I124" s="92" t="n"/>
      <c r="K124">
        <f>IF(C124="","",IF(COUNTIFS(C$5:C124,C124,E$5:E124,E124)=1,1,0))</f>
        <v/>
      </c>
      <c r="L124">
        <f>IF(C124="",0,IF(AND(B124="brand",E124="budget_probe",N(F124)&gt;=Inputs!$C$114,H124="Y"),1,0))</f>
        <v/>
      </c>
      <c r="M124">
        <f>IF(L124=1,IF(COUNTIFS(C$5:C124,C124,L$5:L124,1)=1,1,0),0)</f>
        <v/>
      </c>
      <c r="N124">
        <f>IF(C124="",0,IF(AND(B124="office",E124="budget_probe",N(F124)&gt;=Inputs!$C$129),1,0))</f>
        <v/>
      </c>
      <c r="O124">
        <f>IF(N124=1,IF(COUNTIFS(C$5:C124,C124,N$5:N124,1)=1,1,0),0)</f>
        <v/>
      </c>
      <c r="P124">
        <f>IF(C124="",0,IF(AND(B124="brand",E124="renewal_answer",N(F124)&gt;=Inputs!$C$125),1,0))</f>
        <v/>
      </c>
      <c r="Q124">
        <f>IF(AND(B124="office",E124="budget_probe",ISNUMBER(F124)),F124,"")</f>
        <v/>
      </c>
      <c r="R124">
        <f>IF(AND(B124="brand",E124="budget_probe",ISNUMBER(F124)),F124,"")</f>
        <v/>
      </c>
    </row>
    <row r="125">
      <c r="A125" s="91" t="n"/>
      <c r="B125" s="92" t="n"/>
      <c r="C125" s="92" t="n"/>
      <c r="D125" s="92" t="n"/>
      <c r="E125" s="92" t="n"/>
      <c r="F125" s="92" t="n"/>
      <c r="G125" s="92" t="n"/>
      <c r="H125" s="92" t="n"/>
      <c r="I125" s="92" t="n"/>
      <c r="K125">
        <f>IF(C125="","",IF(COUNTIFS(C$5:C125,C125,E$5:E125,E125)=1,1,0))</f>
        <v/>
      </c>
      <c r="L125">
        <f>IF(C125="",0,IF(AND(B125="brand",E125="budget_probe",N(F125)&gt;=Inputs!$C$114,H125="Y"),1,0))</f>
        <v/>
      </c>
      <c r="M125">
        <f>IF(L125=1,IF(COUNTIFS(C$5:C125,C125,L$5:L125,1)=1,1,0),0)</f>
        <v/>
      </c>
      <c r="N125">
        <f>IF(C125="",0,IF(AND(B125="office",E125="budget_probe",N(F125)&gt;=Inputs!$C$129),1,0))</f>
        <v/>
      </c>
      <c r="O125">
        <f>IF(N125=1,IF(COUNTIFS(C$5:C125,C125,N$5:N125,1)=1,1,0),0)</f>
        <v/>
      </c>
      <c r="P125">
        <f>IF(C125="",0,IF(AND(B125="brand",E125="renewal_answer",N(F125)&gt;=Inputs!$C$125),1,0))</f>
        <v/>
      </c>
      <c r="Q125">
        <f>IF(AND(B125="office",E125="budget_probe",ISNUMBER(F125)),F125,"")</f>
        <v/>
      </c>
      <c r="R125">
        <f>IF(AND(B125="brand",E125="budget_probe",ISNUMBER(F125)),F125,"")</f>
        <v/>
      </c>
    </row>
    <row r="126">
      <c r="A126" s="91" t="n"/>
      <c r="B126" s="92" t="n"/>
      <c r="C126" s="92" t="n"/>
      <c r="D126" s="92" t="n"/>
      <c r="E126" s="92" t="n"/>
      <c r="F126" s="92" t="n"/>
      <c r="G126" s="92" t="n"/>
      <c r="H126" s="92" t="n"/>
      <c r="I126" s="92" t="n"/>
      <c r="K126">
        <f>IF(C126="","",IF(COUNTIFS(C$5:C126,C126,E$5:E126,E126)=1,1,0))</f>
        <v/>
      </c>
      <c r="L126">
        <f>IF(C126="",0,IF(AND(B126="brand",E126="budget_probe",N(F126)&gt;=Inputs!$C$114,H126="Y"),1,0))</f>
        <v/>
      </c>
      <c r="M126">
        <f>IF(L126=1,IF(COUNTIFS(C$5:C126,C126,L$5:L126,1)=1,1,0),0)</f>
        <v/>
      </c>
      <c r="N126">
        <f>IF(C126="",0,IF(AND(B126="office",E126="budget_probe",N(F126)&gt;=Inputs!$C$129),1,0))</f>
        <v/>
      </c>
      <c r="O126">
        <f>IF(N126=1,IF(COUNTIFS(C$5:C126,C126,N$5:N126,1)=1,1,0),0)</f>
        <v/>
      </c>
      <c r="P126">
        <f>IF(C126="",0,IF(AND(B126="brand",E126="renewal_answer",N(F126)&gt;=Inputs!$C$125),1,0))</f>
        <v/>
      </c>
      <c r="Q126">
        <f>IF(AND(B126="office",E126="budget_probe",ISNUMBER(F126)),F126,"")</f>
        <v/>
      </c>
      <c r="R126">
        <f>IF(AND(B126="brand",E126="budget_probe",ISNUMBER(F126)),F126,"")</f>
        <v/>
      </c>
    </row>
    <row r="127">
      <c r="A127" s="91" t="n"/>
      <c r="B127" s="92" t="n"/>
      <c r="C127" s="92" t="n"/>
      <c r="D127" s="92" t="n"/>
      <c r="E127" s="92" t="n"/>
      <c r="F127" s="92" t="n"/>
      <c r="G127" s="92" t="n"/>
      <c r="H127" s="92" t="n"/>
      <c r="I127" s="92" t="n"/>
      <c r="K127">
        <f>IF(C127="","",IF(COUNTIFS(C$5:C127,C127,E$5:E127,E127)=1,1,0))</f>
        <v/>
      </c>
      <c r="L127">
        <f>IF(C127="",0,IF(AND(B127="brand",E127="budget_probe",N(F127)&gt;=Inputs!$C$114,H127="Y"),1,0))</f>
        <v/>
      </c>
      <c r="M127">
        <f>IF(L127=1,IF(COUNTIFS(C$5:C127,C127,L$5:L127,1)=1,1,0),0)</f>
        <v/>
      </c>
      <c r="N127">
        <f>IF(C127="",0,IF(AND(B127="office",E127="budget_probe",N(F127)&gt;=Inputs!$C$129),1,0))</f>
        <v/>
      </c>
      <c r="O127">
        <f>IF(N127=1,IF(COUNTIFS(C$5:C127,C127,N$5:N127,1)=1,1,0),0)</f>
        <v/>
      </c>
      <c r="P127">
        <f>IF(C127="",0,IF(AND(B127="brand",E127="renewal_answer",N(F127)&gt;=Inputs!$C$125),1,0))</f>
        <v/>
      </c>
      <c r="Q127">
        <f>IF(AND(B127="office",E127="budget_probe",ISNUMBER(F127)),F127,"")</f>
        <v/>
      </c>
      <c r="R127">
        <f>IF(AND(B127="brand",E127="budget_probe",ISNUMBER(F127)),F127,"")</f>
        <v/>
      </c>
    </row>
    <row r="128">
      <c r="A128" s="91" t="n"/>
      <c r="B128" s="92" t="n"/>
      <c r="C128" s="92" t="n"/>
      <c r="D128" s="92" t="n"/>
      <c r="E128" s="92" t="n"/>
      <c r="F128" s="92" t="n"/>
      <c r="G128" s="92" t="n"/>
      <c r="H128" s="92" t="n"/>
      <c r="I128" s="92" t="n"/>
      <c r="K128">
        <f>IF(C128="","",IF(COUNTIFS(C$5:C128,C128,E$5:E128,E128)=1,1,0))</f>
        <v/>
      </c>
      <c r="L128">
        <f>IF(C128="",0,IF(AND(B128="brand",E128="budget_probe",N(F128)&gt;=Inputs!$C$114,H128="Y"),1,0))</f>
        <v/>
      </c>
      <c r="M128">
        <f>IF(L128=1,IF(COUNTIFS(C$5:C128,C128,L$5:L128,1)=1,1,0),0)</f>
        <v/>
      </c>
      <c r="N128">
        <f>IF(C128="",0,IF(AND(B128="office",E128="budget_probe",N(F128)&gt;=Inputs!$C$129),1,0))</f>
        <v/>
      </c>
      <c r="O128">
        <f>IF(N128=1,IF(COUNTIFS(C$5:C128,C128,N$5:N128,1)=1,1,0),0)</f>
        <v/>
      </c>
      <c r="P128">
        <f>IF(C128="",0,IF(AND(B128="brand",E128="renewal_answer",N(F128)&gt;=Inputs!$C$125),1,0))</f>
        <v/>
      </c>
      <c r="Q128">
        <f>IF(AND(B128="office",E128="budget_probe",ISNUMBER(F128)),F128,"")</f>
        <v/>
      </c>
      <c r="R128">
        <f>IF(AND(B128="brand",E128="budget_probe",ISNUMBER(F128)),F128,"")</f>
        <v/>
      </c>
    </row>
    <row r="129">
      <c r="A129" s="91" t="n"/>
      <c r="B129" s="92" t="n"/>
      <c r="C129" s="92" t="n"/>
      <c r="D129" s="92" t="n"/>
      <c r="E129" s="92" t="n"/>
      <c r="F129" s="92" t="n"/>
      <c r="G129" s="92" t="n"/>
      <c r="H129" s="92" t="n"/>
      <c r="I129" s="92" t="n"/>
      <c r="K129">
        <f>IF(C129="","",IF(COUNTIFS(C$5:C129,C129,E$5:E129,E129)=1,1,0))</f>
        <v/>
      </c>
      <c r="L129">
        <f>IF(C129="",0,IF(AND(B129="brand",E129="budget_probe",N(F129)&gt;=Inputs!$C$114,H129="Y"),1,0))</f>
        <v/>
      </c>
      <c r="M129">
        <f>IF(L129=1,IF(COUNTIFS(C$5:C129,C129,L$5:L129,1)=1,1,0),0)</f>
        <v/>
      </c>
      <c r="N129">
        <f>IF(C129="",0,IF(AND(B129="office",E129="budget_probe",N(F129)&gt;=Inputs!$C$129),1,0))</f>
        <v/>
      </c>
      <c r="O129">
        <f>IF(N129=1,IF(COUNTIFS(C$5:C129,C129,N$5:N129,1)=1,1,0),0)</f>
        <v/>
      </c>
      <c r="P129">
        <f>IF(C129="",0,IF(AND(B129="brand",E129="renewal_answer",N(F129)&gt;=Inputs!$C$125),1,0))</f>
        <v/>
      </c>
      <c r="Q129">
        <f>IF(AND(B129="office",E129="budget_probe",ISNUMBER(F129)),F129,"")</f>
        <v/>
      </c>
      <c r="R129">
        <f>IF(AND(B129="brand",E129="budget_probe",ISNUMBER(F129)),F129,"")</f>
        <v/>
      </c>
    </row>
    <row r="130">
      <c r="A130" s="91" t="n"/>
      <c r="B130" s="92" t="n"/>
      <c r="C130" s="92" t="n"/>
      <c r="D130" s="92" t="n"/>
      <c r="E130" s="92" t="n"/>
      <c r="F130" s="92" t="n"/>
      <c r="G130" s="92" t="n"/>
      <c r="H130" s="92" t="n"/>
      <c r="I130" s="92" t="n"/>
      <c r="K130">
        <f>IF(C130="","",IF(COUNTIFS(C$5:C130,C130,E$5:E130,E130)=1,1,0))</f>
        <v/>
      </c>
      <c r="L130">
        <f>IF(C130="",0,IF(AND(B130="brand",E130="budget_probe",N(F130)&gt;=Inputs!$C$114,H130="Y"),1,0))</f>
        <v/>
      </c>
      <c r="M130">
        <f>IF(L130=1,IF(COUNTIFS(C$5:C130,C130,L$5:L130,1)=1,1,0),0)</f>
        <v/>
      </c>
      <c r="N130">
        <f>IF(C130="",0,IF(AND(B130="office",E130="budget_probe",N(F130)&gt;=Inputs!$C$129),1,0))</f>
        <v/>
      </c>
      <c r="O130">
        <f>IF(N130=1,IF(COUNTIFS(C$5:C130,C130,N$5:N130,1)=1,1,0),0)</f>
        <v/>
      </c>
      <c r="P130">
        <f>IF(C130="",0,IF(AND(B130="brand",E130="renewal_answer",N(F130)&gt;=Inputs!$C$125),1,0))</f>
        <v/>
      </c>
      <c r="Q130">
        <f>IF(AND(B130="office",E130="budget_probe",ISNUMBER(F130)),F130,"")</f>
        <v/>
      </c>
      <c r="R130">
        <f>IF(AND(B130="brand",E130="budget_probe",ISNUMBER(F130)),F130,"")</f>
        <v/>
      </c>
    </row>
    <row r="131">
      <c r="A131" s="91" t="n"/>
      <c r="B131" s="92" t="n"/>
      <c r="C131" s="92" t="n"/>
      <c r="D131" s="92" t="n"/>
      <c r="E131" s="92" t="n"/>
      <c r="F131" s="92" t="n"/>
      <c r="G131" s="92" t="n"/>
      <c r="H131" s="92" t="n"/>
      <c r="I131" s="92" t="n"/>
      <c r="K131">
        <f>IF(C131="","",IF(COUNTIFS(C$5:C131,C131,E$5:E131,E131)=1,1,0))</f>
        <v/>
      </c>
      <c r="L131">
        <f>IF(C131="",0,IF(AND(B131="brand",E131="budget_probe",N(F131)&gt;=Inputs!$C$114,H131="Y"),1,0))</f>
        <v/>
      </c>
      <c r="M131">
        <f>IF(L131=1,IF(COUNTIFS(C$5:C131,C131,L$5:L131,1)=1,1,0),0)</f>
        <v/>
      </c>
      <c r="N131">
        <f>IF(C131="",0,IF(AND(B131="office",E131="budget_probe",N(F131)&gt;=Inputs!$C$129),1,0))</f>
        <v/>
      </c>
      <c r="O131">
        <f>IF(N131=1,IF(COUNTIFS(C$5:C131,C131,N$5:N131,1)=1,1,0),0)</f>
        <v/>
      </c>
      <c r="P131">
        <f>IF(C131="",0,IF(AND(B131="brand",E131="renewal_answer",N(F131)&gt;=Inputs!$C$125),1,0))</f>
        <v/>
      </c>
      <c r="Q131">
        <f>IF(AND(B131="office",E131="budget_probe",ISNUMBER(F131)),F131,"")</f>
        <v/>
      </c>
      <c r="R131">
        <f>IF(AND(B131="brand",E131="budget_probe",ISNUMBER(F131)),F131,"")</f>
        <v/>
      </c>
    </row>
    <row r="132">
      <c r="A132" s="91" t="n"/>
      <c r="B132" s="92" t="n"/>
      <c r="C132" s="92" t="n"/>
      <c r="D132" s="92" t="n"/>
      <c r="E132" s="92" t="n"/>
      <c r="F132" s="92" t="n"/>
      <c r="G132" s="92" t="n"/>
      <c r="H132" s="92" t="n"/>
      <c r="I132" s="92" t="n"/>
      <c r="K132">
        <f>IF(C132="","",IF(COUNTIFS(C$5:C132,C132,E$5:E132,E132)=1,1,0))</f>
        <v/>
      </c>
      <c r="L132">
        <f>IF(C132="",0,IF(AND(B132="brand",E132="budget_probe",N(F132)&gt;=Inputs!$C$114,H132="Y"),1,0))</f>
        <v/>
      </c>
      <c r="M132">
        <f>IF(L132=1,IF(COUNTIFS(C$5:C132,C132,L$5:L132,1)=1,1,0),0)</f>
        <v/>
      </c>
      <c r="N132">
        <f>IF(C132="",0,IF(AND(B132="office",E132="budget_probe",N(F132)&gt;=Inputs!$C$129),1,0))</f>
        <v/>
      </c>
      <c r="O132">
        <f>IF(N132=1,IF(COUNTIFS(C$5:C132,C132,N$5:N132,1)=1,1,0),0)</f>
        <v/>
      </c>
      <c r="P132">
        <f>IF(C132="",0,IF(AND(B132="brand",E132="renewal_answer",N(F132)&gt;=Inputs!$C$125),1,0))</f>
        <v/>
      </c>
      <c r="Q132">
        <f>IF(AND(B132="office",E132="budget_probe",ISNUMBER(F132)),F132,"")</f>
        <v/>
      </c>
      <c r="R132">
        <f>IF(AND(B132="brand",E132="budget_probe",ISNUMBER(F132)),F132,"")</f>
        <v/>
      </c>
    </row>
    <row r="133">
      <c r="A133" s="91" t="n"/>
      <c r="B133" s="92" t="n"/>
      <c r="C133" s="92" t="n"/>
      <c r="D133" s="92" t="n"/>
      <c r="E133" s="92" t="n"/>
      <c r="F133" s="92" t="n"/>
      <c r="G133" s="92" t="n"/>
      <c r="H133" s="92" t="n"/>
      <c r="I133" s="92" t="n"/>
      <c r="K133">
        <f>IF(C133="","",IF(COUNTIFS(C$5:C133,C133,E$5:E133,E133)=1,1,0))</f>
        <v/>
      </c>
      <c r="L133">
        <f>IF(C133="",0,IF(AND(B133="brand",E133="budget_probe",N(F133)&gt;=Inputs!$C$114,H133="Y"),1,0))</f>
        <v/>
      </c>
      <c r="M133">
        <f>IF(L133=1,IF(COUNTIFS(C$5:C133,C133,L$5:L133,1)=1,1,0),0)</f>
        <v/>
      </c>
      <c r="N133">
        <f>IF(C133="",0,IF(AND(B133="office",E133="budget_probe",N(F133)&gt;=Inputs!$C$129),1,0))</f>
        <v/>
      </c>
      <c r="O133">
        <f>IF(N133=1,IF(COUNTIFS(C$5:C133,C133,N$5:N133,1)=1,1,0),0)</f>
        <v/>
      </c>
      <c r="P133">
        <f>IF(C133="",0,IF(AND(B133="brand",E133="renewal_answer",N(F133)&gt;=Inputs!$C$125),1,0))</f>
        <v/>
      </c>
      <c r="Q133">
        <f>IF(AND(B133="office",E133="budget_probe",ISNUMBER(F133)),F133,"")</f>
        <v/>
      </c>
      <c r="R133">
        <f>IF(AND(B133="brand",E133="budget_probe",ISNUMBER(F133)),F133,"")</f>
        <v/>
      </c>
    </row>
    <row r="134">
      <c r="A134" s="91" t="n"/>
      <c r="B134" s="92" t="n"/>
      <c r="C134" s="92" t="n"/>
      <c r="D134" s="92" t="n"/>
      <c r="E134" s="92" t="n"/>
      <c r="F134" s="92" t="n"/>
      <c r="G134" s="92" t="n"/>
      <c r="H134" s="92" t="n"/>
      <c r="I134" s="92" t="n"/>
      <c r="K134">
        <f>IF(C134="","",IF(COUNTIFS(C$5:C134,C134,E$5:E134,E134)=1,1,0))</f>
        <v/>
      </c>
      <c r="L134">
        <f>IF(C134="",0,IF(AND(B134="brand",E134="budget_probe",N(F134)&gt;=Inputs!$C$114,H134="Y"),1,0))</f>
        <v/>
      </c>
      <c r="M134">
        <f>IF(L134=1,IF(COUNTIFS(C$5:C134,C134,L$5:L134,1)=1,1,0),0)</f>
        <v/>
      </c>
      <c r="N134">
        <f>IF(C134="",0,IF(AND(B134="office",E134="budget_probe",N(F134)&gt;=Inputs!$C$129),1,0))</f>
        <v/>
      </c>
      <c r="O134">
        <f>IF(N134=1,IF(COUNTIFS(C$5:C134,C134,N$5:N134,1)=1,1,0),0)</f>
        <v/>
      </c>
      <c r="P134">
        <f>IF(C134="",0,IF(AND(B134="brand",E134="renewal_answer",N(F134)&gt;=Inputs!$C$125),1,0))</f>
        <v/>
      </c>
      <c r="Q134">
        <f>IF(AND(B134="office",E134="budget_probe",ISNUMBER(F134)),F134,"")</f>
        <v/>
      </c>
      <c r="R134">
        <f>IF(AND(B134="brand",E134="budget_probe",ISNUMBER(F134)),F134,"")</f>
        <v/>
      </c>
    </row>
    <row r="135">
      <c r="A135" s="91" t="n"/>
      <c r="B135" s="92" t="n"/>
      <c r="C135" s="92" t="n"/>
      <c r="D135" s="92" t="n"/>
      <c r="E135" s="92" t="n"/>
      <c r="F135" s="92" t="n"/>
      <c r="G135" s="92" t="n"/>
      <c r="H135" s="92" t="n"/>
      <c r="I135" s="92" t="n"/>
      <c r="K135">
        <f>IF(C135="","",IF(COUNTIFS(C$5:C135,C135,E$5:E135,E135)=1,1,0))</f>
        <v/>
      </c>
      <c r="L135">
        <f>IF(C135="",0,IF(AND(B135="brand",E135="budget_probe",N(F135)&gt;=Inputs!$C$114,H135="Y"),1,0))</f>
        <v/>
      </c>
      <c r="M135">
        <f>IF(L135=1,IF(COUNTIFS(C$5:C135,C135,L$5:L135,1)=1,1,0),0)</f>
        <v/>
      </c>
      <c r="N135">
        <f>IF(C135="",0,IF(AND(B135="office",E135="budget_probe",N(F135)&gt;=Inputs!$C$129),1,0))</f>
        <v/>
      </c>
      <c r="O135">
        <f>IF(N135=1,IF(COUNTIFS(C$5:C135,C135,N$5:N135,1)=1,1,0),0)</f>
        <v/>
      </c>
      <c r="P135">
        <f>IF(C135="",0,IF(AND(B135="brand",E135="renewal_answer",N(F135)&gt;=Inputs!$C$125),1,0))</f>
        <v/>
      </c>
      <c r="Q135">
        <f>IF(AND(B135="office",E135="budget_probe",ISNUMBER(F135)),F135,"")</f>
        <v/>
      </c>
      <c r="R135">
        <f>IF(AND(B135="brand",E135="budget_probe",ISNUMBER(F135)),F135,"")</f>
        <v/>
      </c>
    </row>
    <row r="136">
      <c r="A136" s="91" t="n"/>
      <c r="B136" s="92" t="n"/>
      <c r="C136" s="92" t="n"/>
      <c r="D136" s="92" t="n"/>
      <c r="E136" s="92" t="n"/>
      <c r="F136" s="92" t="n"/>
      <c r="G136" s="92" t="n"/>
      <c r="H136" s="92" t="n"/>
      <c r="I136" s="92" t="n"/>
      <c r="K136">
        <f>IF(C136="","",IF(COUNTIFS(C$5:C136,C136,E$5:E136,E136)=1,1,0))</f>
        <v/>
      </c>
      <c r="L136">
        <f>IF(C136="",0,IF(AND(B136="brand",E136="budget_probe",N(F136)&gt;=Inputs!$C$114,H136="Y"),1,0))</f>
        <v/>
      </c>
      <c r="M136">
        <f>IF(L136=1,IF(COUNTIFS(C$5:C136,C136,L$5:L136,1)=1,1,0),0)</f>
        <v/>
      </c>
      <c r="N136">
        <f>IF(C136="",0,IF(AND(B136="office",E136="budget_probe",N(F136)&gt;=Inputs!$C$129),1,0))</f>
        <v/>
      </c>
      <c r="O136">
        <f>IF(N136=1,IF(COUNTIFS(C$5:C136,C136,N$5:N136,1)=1,1,0),0)</f>
        <v/>
      </c>
      <c r="P136">
        <f>IF(C136="",0,IF(AND(B136="brand",E136="renewal_answer",N(F136)&gt;=Inputs!$C$125),1,0))</f>
        <v/>
      </c>
      <c r="Q136">
        <f>IF(AND(B136="office",E136="budget_probe",ISNUMBER(F136)),F136,"")</f>
        <v/>
      </c>
      <c r="R136">
        <f>IF(AND(B136="brand",E136="budget_probe",ISNUMBER(F136)),F136,"")</f>
        <v/>
      </c>
    </row>
    <row r="137">
      <c r="A137" s="91" t="n"/>
      <c r="B137" s="92" t="n"/>
      <c r="C137" s="92" t="n"/>
      <c r="D137" s="92" t="n"/>
      <c r="E137" s="92" t="n"/>
      <c r="F137" s="92" t="n"/>
      <c r="G137" s="92" t="n"/>
      <c r="H137" s="92" t="n"/>
      <c r="I137" s="92" t="n"/>
      <c r="K137">
        <f>IF(C137="","",IF(COUNTIFS(C$5:C137,C137,E$5:E137,E137)=1,1,0))</f>
        <v/>
      </c>
      <c r="L137">
        <f>IF(C137="",0,IF(AND(B137="brand",E137="budget_probe",N(F137)&gt;=Inputs!$C$114,H137="Y"),1,0))</f>
        <v/>
      </c>
      <c r="M137">
        <f>IF(L137=1,IF(COUNTIFS(C$5:C137,C137,L$5:L137,1)=1,1,0),0)</f>
        <v/>
      </c>
      <c r="N137">
        <f>IF(C137="",0,IF(AND(B137="office",E137="budget_probe",N(F137)&gt;=Inputs!$C$129),1,0))</f>
        <v/>
      </c>
      <c r="O137">
        <f>IF(N137=1,IF(COUNTIFS(C$5:C137,C137,N$5:N137,1)=1,1,0),0)</f>
        <v/>
      </c>
      <c r="P137">
        <f>IF(C137="",0,IF(AND(B137="brand",E137="renewal_answer",N(F137)&gt;=Inputs!$C$125),1,0))</f>
        <v/>
      </c>
      <c r="Q137">
        <f>IF(AND(B137="office",E137="budget_probe",ISNUMBER(F137)),F137,"")</f>
        <v/>
      </c>
      <c r="R137">
        <f>IF(AND(B137="brand",E137="budget_probe",ISNUMBER(F137)),F137,"")</f>
        <v/>
      </c>
    </row>
    <row r="138">
      <c r="A138" s="91" t="n"/>
      <c r="B138" s="92" t="n"/>
      <c r="C138" s="92" t="n"/>
      <c r="D138" s="92" t="n"/>
      <c r="E138" s="92" t="n"/>
      <c r="F138" s="92" t="n"/>
      <c r="G138" s="92" t="n"/>
      <c r="H138" s="92" t="n"/>
      <c r="I138" s="92" t="n"/>
      <c r="K138">
        <f>IF(C138="","",IF(COUNTIFS(C$5:C138,C138,E$5:E138,E138)=1,1,0))</f>
        <v/>
      </c>
      <c r="L138">
        <f>IF(C138="",0,IF(AND(B138="brand",E138="budget_probe",N(F138)&gt;=Inputs!$C$114,H138="Y"),1,0))</f>
        <v/>
      </c>
      <c r="M138">
        <f>IF(L138=1,IF(COUNTIFS(C$5:C138,C138,L$5:L138,1)=1,1,0),0)</f>
        <v/>
      </c>
      <c r="N138">
        <f>IF(C138="",0,IF(AND(B138="office",E138="budget_probe",N(F138)&gt;=Inputs!$C$129),1,0))</f>
        <v/>
      </c>
      <c r="O138">
        <f>IF(N138=1,IF(COUNTIFS(C$5:C138,C138,N$5:N138,1)=1,1,0),0)</f>
        <v/>
      </c>
      <c r="P138">
        <f>IF(C138="",0,IF(AND(B138="brand",E138="renewal_answer",N(F138)&gt;=Inputs!$C$125),1,0))</f>
        <v/>
      </c>
      <c r="Q138">
        <f>IF(AND(B138="office",E138="budget_probe",ISNUMBER(F138)),F138,"")</f>
        <v/>
      </c>
      <c r="R138">
        <f>IF(AND(B138="brand",E138="budget_probe",ISNUMBER(F138)),F138,"")</f>
        <v/>
      </c>
    </row>
    <row r="139">
      <c r="A139" s="91" t="n"/>
      <c r="B139" s="92" t="n"/>
      <c r="C139" s="92" t="n"/>
      <c r="D139" s="92" t="n"/>
      <c r="E139" s="92" t="n"/>
      <c r="F139" s="92" t="n"/>
      <c r="G139" s="92" t="n"/>
      <c r="H139" s="92" t="n"/>
      <c r="I139" s="92" t="n"/>
      <c r="K139">
        <f>IF(C139="","",IF(COUNTIFS(C$5:C139,C139,E$5:E139,E139)=1,1,0))</f>
        <v/>
      </c>
      <c r="L139">
        <f>IF(C139="",0,IF(AND(B139="brand",E139="budget_probe",N(F139)&gt;=Inputs!$C$114,H139="Y"),1,0))</f>
        <v/>
      </c>
      <c r="M139">
        <f>IF(L139=1,IF(COUNTIFS(C$5:C139,C139,L$5:L139,1)=1,1,0),0)</f>
        <v/>
      </c>
      <c r="N139">
        <f>IF(C139="",0,IF(AND(B139="office",E139="budget_probe",N(F139)&gt;=Inputs!$C$129),1,0))</f>
        <v/>
      </c>
      <c r="O139">
        <f>IF(N139=1,IF(COUNTIFS(C$5:C139,C139,N$5:N139,1)=1,1,0),0)</f>
        <v/>
      </c>
      <c r="P139">
        <f>IF(C139="",0,IF(AND(B139="brand",E139="renewal_answer",N(F139)&gt;=Inputs!$C$125),1,0))</f>
        <v/>
      </c>
      <c r="Q139">
        <f>IF(AND(B139="office",E139="budget_probe",ISNUMBER(F139)),F139,"")</f>
        <v/>
      </c>
      <c r="R139">
        <f>IF(AND(B139="brand",E139="budget_probe",ISNUMBER(F139)),F139,"")</f>
        <v/>
      </c>
    </row>
    <row r="140">
      <c r="A140" s="91" t="n"/>
      <c r="B140" s="92" t="n"/>
      <c r="C140" s="92" t="n"/>
      <c r="D140" s="92" t="n"/>
      <c r="E140" s="92" t="n"/>
      <c r="F140" s="92" t="n"/>
      <c r="G140" s="92" t="n"/>
      <c r="H140" s="92" t="n"/>
      <c r="I140" s="92" t="n"/>
      <c r="K140">
        <f>IF(C140="","",IF(COUNTIFS(C$5:C140,C140,E$5:E140,E140)=1,1,0))</f>
        <v/>
      </c>
      <c r="L140">
        <f>IF(C140="",0,IF(AND(B140="brand",E140="budget_probe",N(F140)&gt;=Inputs!$C$114,H140="Y"),1,0))</f>
        <v/>
      </c>
      <c r="M140">
        <f>IF(L140=1,IF(COUNTIFS(C$5:C140,C140,L$5:L140,1)=1,1,0),0)</f>
        <v/>
      </c>
      <c r="N140">
        <f>IF(C140="",0,IF(AND(B140="office",E140="budget_probe",N(F140)&gt;=Inputs!$C$129),1,0))</f>
        <v/>
      </c>
      <c r="O140">
        <f>IF(N140=1,IF(COUNTIFS(C$5:C140,C140,N$5:N140,1)=1,1,0),0)</f>
        <v/>
      </c>
      <c r="P140">
        <f>IF(C140="",0,IF(AND(B140="brand",E140="renewal_answer",N(F140)&gt;=Inputs!$C$125),1,0))</f>
        <v/>
      </c>
      <c r="Q140">
        <f>IF(AND(B140="office",E140="budget_probe",ISNUMBER(F140)),F140,"")</f>
        <v/>
      </c>
      <c r="R140">
        <f>IF(AND(B140="brand",E140="budget_probe",ISNUMBER(F140)),F140,"")</f>
        <v/>
      </c>
    </row>
    <row r="141">
      <c r="A141" s="91" t="n"/>
      <c r="B141" s="92" t="n"/>
      <c r="C141" s="92" t="n"/>
      <c r="D141" s="92" t="n"/>
      <c r="E141" s="92" t="n"/>
      <c r="F141" s="92" t="n"/>
      <c r="G141" s="92" t="n"/>
      <c r="H141" s="92" t="n"/>
      <c r="I141" s="92" t="n"/>
      <c r="K141">
        <f>IF(C141="","",IF(COUNTIFS(C$5:C141,C141,E$5:E141,E141)=1,1,0))</f>
        <v/>
      </c>
      <c r="L141">
        <f>IF(C141="",0,IF(AND(B141="brand",E141="budget_probe",N(F141)&gt;=Inputs!$C$114,H141="Y"),1,0))</f>
        <v/>
      </c>
      <c r="M141">
        <f>IF(L141=1,IF(COUNTIFS(C$5:C141,C141,L$5:L141,1)=1,1,0),0)</f>
        <v/>
      </c>
      <c r="N141">
        <f>IF(C141="",0,IF(AND(B141="office",E141="budget_probe",N(F141)&gt;=Inputs!$C$129),1,0))</f>
        <v/>
      </c>
      <c r="O141">
        <f>IF(N141=1,IF(COUNTIFS(C$5:C141,C141,N$5:N141,1)=1,1,0),0)</f>
        <v/>
      </c>
      <c r="P141">
        <f>IF(C141="",0,IF(AND(B141="brand",E141="renewal_answer",N(F141)&gt;=Inputs!$C$125),1,0))</f>
        <v/>
      </c>
      <c r="Q141">
        <f>IF(AND(B141="office",E141="budget_probe",ISNUMBER(F141)),F141,"")</f>
        <v/>
      </c>
      <c r="R141">
        <f>IF(AND(B141="brand",E141="budget_probe",ISNUMBER(F141)),F141,"")</f>
        <v/>
      </c>
    </row>
    <row r="142">
      <c r="A142" s="91" t="n"/>
      <c r="B142" s="92" t="n"/>
      <c r="C142" s="92" t="n"/>
      <c r="D142" s="92" t="n"/>
      <c r="E142" s="92" t="n"/>
      <c r="F142" s="92" t="n"/>
      <c r="G142" s="92" t="n"/>
      <c r="H142" s="92" t="n"/>
      <c r="I142" s="92" t="n"/>
      <c r="K142">
        <f>IF(C142="","",IF(COUNTIFS(C$5:C142,C142,E$5:E142,E142)=1,1,0))</f>
        <v/>
      </c>
      <c r="L142">
        <f>IF(C142="",0,IF(AND(B142="brand",E142="budget_probe",N(F142)&gt;=Inputs!$C$114,H142="Y"),1,0))</f>
        <v/>
      </c>
      <c r="M142">
        <f>IF(L142=1,IF(COUNTIFS(C$5:C142,C142,L$5:L142,1)=1,1,0),0)</f>
        <v/>
      </c>
      <c r="N142">
        <f>IF(C142="",0,IF(AND(B142="office",E142="budget_probe",N(F142)&gt;=Inputs!$C$129),1,0))</f>
        <v/>
      </c>
      <c r="O142">
        <f>IF(N142=1,IF(COUNTIFS(C$5:C142,C142,N$5:N142,1)=1,1,0),0)</f>
        <v/>
      </c>
      <c r="P142">
        <f>IF(C142="",0,IF(AND(B142="brand",E142="renewal_answer",N(F142)&gt;=Inputs!$C$125),1,0))</f>
        <v/>
      </c>
      <c r="Q142">
        <f>IF(AND(B142="office",E142="budget_probe",ISNUMBER(F142)),F142,"")</f>
        <v/>
      </c>
      <c r="R142">
        <f>IF(AND(B142="brand",E142="budget_probe",ISNUMBER(F142)),F142,"")</f>
        <v/>
      </c>
    </row>
    <row r="143">
      <c r="A143" s="91" t="n"/>
      <c r="B143" s="92" t="n"/>
      <c r="C143" s="92" t="n"/>
      <c r="D143" s="92" t="n"/>
      <c r="E143" s="92" t="n"/>
      <c r="F143" s="92" t="n"/>
      <c r="G143" s="92" t="n"/>
      <c r="H143" s="92" t="n"/>
      <c r="I143" s="92" t="n"/>
      <c r="K143">
        <f>IF(C143="","",IF(COUNTIFS(C$5:C143,C143,E$5:E143,E143)=1,1,0))</f>
        <v/>
      </c>
      <c r="L143">
        <f>IF(C143="",0,IF(AND(B143="brand",E143="budget_probe",N(F143)&gt;=Inputs!$C$114,H143="Y"),1,0))</f>
        <v/>
      </c>
      <c r="M143">
        <f>IF(L143=1,IF(COUNTIFS(C$5:C143,C143,L$5:L143,1)=1,1,0),0)</f>
        <v/>
      </c>
      <c r="N143">
        <f>IF(C143="",0,IF(AND(B143="office",E143="budget_probe",N(F143)&gt;=Inputs!$C$129),1,0))</f>
        <v/>
      </c>
      <c r="O143">
        <f>IF(N143=1,IF(COUNTIFS(C$5:C143,C143,N$5:N143,1)=1,1,0),0)</f>
        <v/>
      </c>
      <c r="P143">
        <f>IF(C143="",0,IF(AND(B143="brand",E143="renewal_answer",N(F143)&gt;=Inputs!$C$125),1,0))</f>
        <v/>
      </c>
      <c r="Q143">
        <f>IF(AND(B143="office",E143="budget_probe",ISNUMBER(F143)),F143,"")</f>
        <v/>
      </c>
      <c r="R143">
        <f>IF(AND(B143="brand",E143="budget_probe",ISNUMBER(F143)),F143,"")</f>
        <v/>
      </c>
    </row>
    <row r="144">
      <c r="A144" s="91" t="n"/>
      <c r="B144" s="92" t="n"/>
      <c r="C144" s="92" t="n"/>
      <c r="D144" s="92" t="n"/>
      <c r="E144" s="92" t="n"/>
      <c r="F144" s="92" t="n"/>
      <c r="G144" s="92" t="n"/>
      <c r="H144" s="92" t="n"/>
      <c r="I144" s="92" t="n"/>
      <c r="K144">
        <f>IF(C144="","",IF(COUNTIFS(C$5:C144,C144,E$5:E144,E144)=1,1,0))</f>
        <v/>
      </c>
      <c r="L144">
        <f>IF(C144="",0,IF(AND(B144="brand",E144="budget_probe",N(F144)&gt;=Inputs!$C$114,H144="Y"),1,0))</f>
        <v/>
      </c>
      <c r="M144">
        <f>IF(L144=1,IF(COUNTIFS(C$5:C144,C144,L$5:L144,1)=1,1,0),0)</f>
        <v/>
      </c>
      <c r="N144">
        <f>IF(C144="",0,IF(AND(B144="office",E144="budget_probe",N(F144)&gt;=Inputs!$C$129),1,0))</f>
        <v/>
      </c>
      <c r="O144">
        <f>IF(N144=1,IF(COUNTIFS(C$5:C144,C144,N$5:N144,1)=1,1,0),0)</f>
        <v/>
      </c>
      <c r="P144">
        <f>IF(C144="",0,IF(AND(B144="brand",E144="renewal_answer",N(F144)&gt;=Inputs!$C$125),1,0))</f>
        <v/>
      </c>
      <c r="Q144">
        <f>IF(AND(B144="office",E144="budget_probe",ISNUMBER(F144)),F144,"")</f>
        <v/>
      </c>
      <c r="R144">
        <f>IF(AND(B144="brand",E144="budget_probe",ISNUMBER(F144)),F144,"")</f>
        <v/>
      </c>
    </row>
    <row r="145">
      <c r="A145" s="91" t="n"/>
      <c r="B145" s="92" t="n"/>
      <c r="C145" s="92" t="n"/>
      <c r="D145" s="92" t="n"/>
      <c r="E145" s="92" t="n"/>
      <c r="F145" s="92" t="n"/>
      <c r="G145" s="92" t="n"/>
      <c r="H145" s="92" t="n"/>
      <c r="I145" s="92" t="n"/>
      <c r="K145">
        <f>IF(C145="","",IF(COUNTIFS(C$5:C145,C145,E$5:E145,E145)=1,1,0))</f>
        <v/>
      </c>
      <c r="L145">
        <f>IF(C145="",0,IF(AND(B145="brand",E145="budget_probe",N(F145)&gt;=Inputs!$C$114,H145="Y"),1,0))</f>
        <v/>
      </c>
      <c r="M145">
        <f>IF(L145=1,IF(COUNTIFS(C$5:C145,C145,L$5:L145,1)=1,1,0),0)</f>
        <v/>
      </c>
      <c r="N145">
        <f>IF(C145="",0,IF(AND(B145="office",E145="budget_probe",N(F145)&gt;=Inputs!$C$129),1,0))</f>
        <v/>
      </c>
      <c r="O145">
        <f>IF(N145=1,IF(COUNTIFS(C$5:C145,C145,N$5:N145,1)=1,1,0),0)</f>
        <v/>
      </c>
      <c r="P145">
        <f>IF(C145="",0,IF(AND(B145="brand",E145="renewal_answer",N(F145)&gt;=Inputs!$C$125),1,0))</f>
        <v/>
      </c>
      <c r="Q145">
        <f>IF(AND(B145="office",E145="budget_probe",ISNUMBER(F145)),F145,"")</f>
        <v/>
      </c>
      <c r="R145">
        <f>IF(AND(B145="brand",E145="budget_probe",ISNUMBER(F145)),F145,"")</f>
        <v/>
      </c>
    </row>
    <row r="146">
      <c r="A146" s="91" t="n"/>
      <c r="B146" s="92" t="n"/>
      <c r="C146" s="92" t="n"/>
      <c r="D146" s="92" t="n"/>
      <c r="E146" s="92" t="n"/>
      <c r="F146" s="92" t="n"/>
      <c r="G146" s="92" t="n"/>
      <c r="H146" s="92" t="n"/>
      <c r="I146" s="92" t="n"/>
      <c r="K146">
        <f>IF(C146="","",IF(COUNTIFS(C$5:C146,C146,E$5:E146,E146)=1,1,0))</f>
        <v/>
      </c>
      <c r="L146">
        <f>IF(C146="",0,IF(AND(B146="brand",E146="budget_probe",N(F146)&gt;=Inputs!$C$114,H146="Y"),1,0))</f>
        <v/>
      </c>
      <c r="M146">
        <f>IF(L146=1,IF(COUNTIFS(C$5:C146,C146,L$5:L146,1)=1,1,0),0)</f>
        <v/>
      </c>
      <c r="N146">
        <f>IF(C146="",0,IF(AND(B146="office",E146="budget_probe",N(F146)&gt;=Inputs!$C$129),1,0))</f>
        <v/>
      </c>
      <c r="O146">
        <f>IF(N146=1,IF(COUNTIFS(C$5:C146,C146,N$5:N146,1)=1,1,0),0)</f>
        <v/>
      </c>
      <c r="P146">
        <f>IF(C146="",0,IF(AND(B146="brand",E146="renewal_answer",N(F146)&gt;=Inputs!$C$125),1,0))</f>
        <v/>
      </c>
      <c r="Q146">
        <f>IF(AND(B146="office",E146="budget_probe",ISNUMBER(F146)),F146,"")</f>
        <v/>
      </c>
      <c r="R146">
        <f>IF(AND(B146="brand",E146="budget_probe",ISNUMBER(F146)),F146,"")</f>
        <v/>
      </c>
    </row>
    <row r="147">
      <c r="A147" s="91" t="n"/>
      <c r="B147" s="92" t="n"/>
      <c r="C147" s="92" t="n"/>
      <c r="D147" s="92" t="n"/>
      <c r="E147" s="92" t="n"/>
      <c r="F147" s="92" t="n"/>
      <c r="G147" s="92" t="n"/>
      <c r="H147" s="92" t="n"/>
      <c r="I147" s="92" t="n"/>
      <c r="K147">
        <f>IF(C147="","",IF(COUNTIFS(C$5:C147,C147,E$5:E147,E147)=1,1,0))</f>
        <v/>
      </c>
      <c r="L147">
        <f>IF(C147="",0,IF(AND(B147="brand",E147="budget_probe",N(F147)&gt;=Inputs!$C$114,H147="Y"),1,0))</f>
        <v/>
      </c>
      <c r="M147">
        <f>IF(L147=1,IF(COUNTIFS(C$5:C147,C147,L$5:L147,1)=1,1,0),0)</f>
        <v/>
      </c>
      <c r="N147">
        <f>IF(C147="",0,IF(AND(B147="office",E147="budget_probe",N(F147)&gt;=Inputs!$C$129),1,0))</f>
        <v/>
      </c>
      <c r="O147">
        <f>IF(N147=1,IF(COUNTIFS(C$5:C147,C147,N$5:N147,1)=1,1,0),0)</f>
        <v/>
      </c>
      <c r="P147">
        <f>IF(C147="",0,IF(AND(B147="brand",E147="renewal_answer",N(F147)&gt;=Inputs!$C$125),1,0))</f>
        <v/>
      </c>
      <c r="Q147">
        <f>IF(AND(B147="office",E147="budget_probe",ISNUMBER(F147)),F147,"")</f>
        <v/>
      </c>
      <c r="R147">
        <f>IF(AND(B147="brand",E147="budget_probe",ISNUMBER(F147)),F147,"")</f>
        <v/>
      </c>
    </row>
    <row r="148">
      <c r="A148" s="91" t="n"/>
      <c r="B148" s="92" t="n"/>
      <c r="C148" s="92" t="n"/>
      <c r="D148" s="92" t="n"/>
      <c r="E148" s="92" t="n"/>
      <c r="F148" s="92" t="n"/>
      <c r="G148" s="92" t="n"/>
      <c r="H148" s="92" t="n"/>
      <c r="I148" s="92" t="n"/>
      <c r="K148">
        <f>IF(C148="","",IF(COUNTIFS(C$5:C148,C148,E$5:E148,E148)=1,1,0))</f>
        <v/>
      </c>
      <c r="L148">
        <f>IF(C148="",0,IF(AND(B148="brand",E148="budget_probe",N(F148)&gt;=Inputs!$C$114,H148="Y"),1,0))</f>
        <v/>
      </c>
      <c r="M148">
        <f>IF(L148=1,IF(COUNTIFS(C$5:C148,C148,L$5:L148,1)=1,1,0),0)</f>
        <v/>
      </c>
      <c r="N148">
        <f>IF(C148="",0,IF(AND(B148="office",E148="budget_probe",N(F148)&gt;=Inputs!$C$129),1,0))</f>
        <v/>
      </c>
      <c r="O148">
        <f>IF(N148=1,IF(COUNTIFS(C$5:C148,C148,N$5:N148,1)=1,1,0),0)</f>
        <v/>
      </c>
      <c r="P148">
        <f>IF(C148="",0,IF(AND(B148="brand",E148="renewal_answer",N(F148)&gt;=Inputs!$C$125),1,0))</f>
        <v/>
      </c>
      <c r="Q148">
        <f>IF(AND(B148="office",E148="budget_probe",ISNUMBER(F148)),F148,"")</f>
        <v/>
      </c>
      <c r="R148">
        <f>IF(AND(B148="brand",E148="budget_probe",ISNUMBER(F148)),F148,"")</f>
        <v/>
      </c>
    </row>
    <row r="149">
      <c r="A149" s="91" t="n"/>
      <c r="B149" s="92" t="n"/>
      <c r="C149" s="92" t="n"/>
      <c r="D149" s="92" t="n"/>
      <c r="E149" s="92" t="n"/>
      <c r="F149" s="92" t="n"/>
      <c r="G149" s="92" t="n"/>
      <c r="H149" s="92" t="n"/>
      <c r="I149" s="92" t="n"/>
      <c r="K149">
        <f>IF(C149="","",IF(COUNTIFS(C$5:C149,C149,E$5:E149,E149)=1,1,0))</f>
        <v/>
      </c>
      <c r="L149">
        <f>IF(C149="",0,IF(AND(B149="brand",E149="budget_probe",N(F149)&gt;=Inputs!$C$114,H149="Y"),1,0))</f>
        <v/>
      </c>
      <c r="M149">
        <f>IF(L149=1,IF(COUNTIFS(C$5:C149,C149,L$5:L149,1)=1,1,0),0)</f>
        <v/>
      </c>
      <c r="N149">
        <f>IF(C149="",0,IF(AND(B149="office",E149="budget_probe",N(F149)&gt;=Inputs!$C$129),1,0))</f>
        <v/>
      </c>
      <c r="O149">
        <f>IF(N149=1,IF(COUNTIFS(C$5:C149,C149,N$5:N149,1)=1,1,0),0)</f>
        <v/>
      </c>
      <c r="P149">
        <f>IF(C149="",0,IF(AND(B149="brand",E149="renewal_answer",N(F149)&gt;=Inputs!$C$125),1,0))</f>
        <v/>
      </c>
      <c r="Q149">
        <f>IF(AND(B149="office",E149="budget_probe",ISNUMBER(F149)),F149,"")</f>
        <v/>
      </c>
      <c r="R149">
        <f>IF(AND(B149="brand",E149="budget_probe",ISNUMBER(F149)),F149,"")</f>
        <v/>
      </c>
    </row>
    <row r="150">
      <c r="A150" s="91" t="n"/>
      <c r="B150" s="92" t="n"/>
      <c r="C150" s="92" t="n"/>
      <c r="D150" s="92" t="n"/>
      <c r="E150" s="92" t="n"/>
      <c r="F150" s="92" t="n"/>
      <c r="G150" s="92" t="n"/>
      <c r="H150" s="92" t="n"/>
      <c r="I150" s="92" t="n"/>
      <c r="K150">
        <f>IF(C150="","",IF(COUNTIFS(C$5:C150,C150,E$5:E150,E150)=1,1,0))</f>
        <v/>
      </c>
      <c r="L150">
        <f>IF(C150="",0,IF(AND(B150="brand",E150="budget_probe",N(F150)&gt;=Inputs!$C$114,H150="Y"),1,0))</f>
        <v/>
      </c>
      <c r="M150">
        <f>IF(L150=1,IF(COUNTIFS(C$5:C150,C150,L$5:L150,1)=1,1,0),0)</f>
        <v/>
      </c>
      <c r="N150">
        <f>IF(C150="",0,IF(AND(B150="office",E150="budget_probe",N(F150)&gt;=Inputs!$C$129),1,0))</f>
        <v/>
      </c>
      <c r="O150">
        <f>IF(N150=1,IF(COUNTIFS(C$5:C150,C150,N$5:N150,1)=1,1,0),0)</f>
        <v/>
      </c>
      <c r="P150">
        <f>IF(C150="",0,IF(AND(B150="brand",E150="renewal_answer",N(F150)&gt;=Inputs!$C$125),1,0))</f>
        <v/>
      </c>
      <c r="Q150">
        <f>IF(AND(B150="office",E150="budget_probe",ISNUMBER(F150)),F150,"")</f>
        <v/>
      </c>
      <c r="R150">
        <f>IF(AND(B150="brand",E150="budget_probe",ISNUMBER(F150)),F150,"")</f>
        <v/>
      </c>
    </row>
    <row r="151">
      <c r="A151" s="91" t="n"/>
      <c r="B151" s="92" t="n"/>
      <c r="C151" s="92" t="n"/>
      <c r="D151" s="92" t="n"/>
      <c r="E151" s="92" t="n"/>
      <c r="F151" s="92" t="n"/>
      <c r="G151" s="92" t="n"/>
      <c r="H151" s="92" t="n"/>
      <c r="I151" s="92" t="n"/>
      <c r="K151">
        <f>IF(C151="","",IF(COUNTIFS(C$5:C151,C151,E$5:E151,E151)=1,1,0))</f>
        <v/>
      </c>
      <c r="L151">
        <f>IF(C151="",0,IF(AND(B151="brand",E151="budget_probe",N(F151)&gt;=Inputs!$C$114,H151="Y"),1,0))</f>
        <v/>
      </c>
      <c r="M151">
        <f>IF(L151=1,IF(COUNTIFS(C$5:C151,C151,L$5:L151,1)=1,1,0),0)</f>
        <v/>
      </c>
      <c r="N151">
        <f>IF(C151="",0,IF(AND(B151="office",E151="budget_probe",N(F151)&gt;=Inputs!$C$129),1,0))</f>
        <v/>
      </c>
      <c r="O151">
        <f>IF(N151=1,IF(COUNTIFS(C$5:C151,C151,N$5:N151,1)=1,1,0),0)</f>
        <v/>
      </c>
      <c r="P151">
        <f>IF(C151="",0,IF(AND(B151="brand",E151="renewal_answer",N(F151)&gt;=Inputs!$C$125),1,0))</f>
        <v/>
      </c>
      <c r="Q151">
        <f>IF(AND(B151="office",E151="budget_probe",ISNUMBER(F151)),F151,"")</f>
        <v/>
      </c>
      <c r="R151">
        <f>IF(AND(B151="brand",E151="budget_probe",ISNUMBER(F151)),F151,"")</f>
        <v/>
      </c>
    </row>
    <row r="152">
      <c r="A152" s="91" t="n"/>
      <c r="B152" s="92" t="n"/>
      <c r="C152" s="92" t="n"/>
      <c r="D152" s="92" t="n"/>
      <c r="E152" s="92" t="n"/>
      <c r="F152" s="92" t="n"/>
      <c r="G152" s="92" t="n"/>
      <c r="H152" s="92" t="n"/>
      <c r="I152" s="92" t="n"/>
      <c r="K152">
        <f>IF(C152="","",IF(COUNTIFS(C$5:C152,C152,E$5:E152,E152)=1,1,0))</f>
        <v/>
      </c>
      <c r="L152">
        <f>IF(C152="",0,IF(AND(B152="brand",E152="budget_probe",N(F152)&gt;=Inputs!$C$114,H152="Y"),1,0))</f>
        <v/>
      </c>
      <c r="M152">
        <f>IF(L152=1,IF(COUNTIFS(C$5:C152,C152,L$5:L152,1)=1,1,0),0)</f>
        <v/>
      </c>
      <c r="N152">
        <f>IF(C152="",0,IF(AND(B152="office",E152="budget_probe",N(F152)&gt;=Inputs!$C$129),1,0))</f>
        <v/>
      </c>
      <c r="O152">
        <f>IF(N152=1,IF(COUNTIFS(C$5:C152,C152,N$5:N152,1)=1,1,0),0)</f>
        <v/>
      </c>
      <c r="P152">
        <f>IF(C152="",0,IF(AND(B152="brand",E152="renewal_answer",N(F152)&gt;=Inputs!$C$125),1,0))</f>
        <v/>
      </c>
      <c r="Q152">
        <f>IF(AND(B152="office",E152="budget_probe",ISNUMBER(F152)),F152,"")</f>
        <v/>
      </c>
      <c r="R152">
        <f>IF(AND(B152="brand",E152="budget_probe",ISNUMBER(F152)),F152,"")</f>
        <v/>
      </c>
    </row>
    <row r="153">
      <c r="A153" s="91" t="n"/>
      <c r="B153" s="92" t="n"/>
      <c r="C153" s="92" t="n"/>
      <c r="D153" s="92" t="n"/>
      <c r="E153" s="92" t="n"/>
      <c r="F153" s="92" t="n"/>
      <c r="G153" s="92" t="n"/>
      <c r="H153" s="92" t="n"/>
      <c r="I153" s="92" t="n"/>
      <c r="K153">
        <f>IF(C153="","",IF(COUNTIFS(C$5:C153,C153,E$5:E153,E153)=1,1,0))</f>
        <v/>
      </c>
      <c r="L153">
        <f>IF(C153="",0,IF(AND(B153="brand",E153="budget_probe",N(F153)&gt;=Inputs!$C$114,H153="Y"),1,0))</f>
        <v/>
      </c>
      <c r="M153">
        <f>IF(L153=1,IF(COUNTIFS(C$5:C153,C153,L$5:L153,1)=1,1,0),0)</f>
        <v/>
      </c>
      <c r="N153">
        <f>IF(C153="",0,IF(AND(B153="office",E153="budget_probe",N(F153)&gt;=Inputs!$C$129),1,0))</f>
        <v/>
      </c>
      <c r="O153">
        <f>IF(N153=1,IF(COUNTIFS(C$5:C153,C153,N$5:N153,1)=1,1,0),0)</f>
        <v/>
      </c>
      <c r="P153">
        <f>IF(C153="",0,IF(AND(B153="brand",E153="renewal_answer",N(F153)&gt;=Inputs!$C$125),1,0))</f>
        <v/>
      </c>
      <c r="Q153">
        <f>IF(AND(B153="office",E153="budget_probe",ISNUMBER(F153)),F153,"")</f>
        <v/>
      </c>
      <c r="R153">
        <f>IF(AND(B153="brand",E153="budget_probe",ISNUMBER(F153)),F153,"")</f>
        <v/>
      </c>
    </row>
    <row r="154">
      <c r="A154" s="91" t="n"/>
      <c r="B154" s="92" t="n"/>
      <c r="C154" s="92" t="n"/>
      <c r="D154" s="92" t="n"/>
      <c r="E154" s="92" t="n"/>
      <c r="F154" s="92" t="n"/>
      <c r="G154" s="92" t="n"/>
      <c r="H154" s="92" t="n"/>
      <c r="I154" s="92" t="n"/>
      <c r="K154">
        <f>IF(C154="","",IF(COUNTIFS(C$5:C154,C154,E$5:E154,E154)=1,1,0))</f>
        <v/>
      </c>
      <c r="L154">
        <f>IF(C154="",0,IF(AND(B154="brand",E154="budget_probe",N(F154)&gt;=Inputs!$C$114,H154="Y"),1,0))</f>
        <v/>
      </c>
      <c r="M154">
        <f>IF(L154=1,IF(COUNTIFS(C$5:C154,C154,L$5:L154,1)=1,1,0),0)</f>
        <v/>
      </c>
      <c r="N154">
        <f>IF(C154="",0,IF(AND(B154="office",E154="budget_probe",N(F154)&gt;=Inputs!$C$129),1,0))</f>
        <v/>
      </c>
      <c r="O154">
        <f>IF(N154=1,IF(COUNTIFS(C$5:C154,C154,N$5:N154,1)=1,1,0),0)</f>
        <v/>
      </c>
      <c r="P154">
        <f>IF(C154="",0,IF(AND(B154="brand",E154="renewal_answer",N(F154)&gt;=Inputs!$C$125),1,0))</f>
        <v/>
      </c>
      <c r="Q154">
        <f>IF(AND(B154="office",E154="budget_probe",ISNUMBER(F154)),F154,"")</f>
        <v/>
      </c>
      <c r="R154">
        <f>IF(AND(B154="brand",E154="budget_probe",ISNUMBER(F154)),F154,"")</f>
        <v/>
      </c>
    </row>
    <row r="155">
      <c r="A155" s="91" t="n"/>
      <c r="B155" s="92" t="n"/>
      <c r="C155" s="92" t="n"/>
      <c r="D155" s="92" t="n"/>
      <c r="E155" s="92" t="n"/>
      <c r="F155" s="92" t="n"/>
      <c r="G155" s="92" t="n"/>
      <c r="H155" s="92" t="n"/>
      <c r="I155" s="92" t="n"/>
      <c r="K155">
        <f>IF(C155="","",IF(COUNTIFS(C$5:C155,C155,E$5:E155,E155)=1,1,0))</f>
        <v/>
      </c>
      <c r="L155">
        <f>IF(C155="",0,IF(AND(B155="brand",E155="budget_probe",N(F155)&gt;=Inputs!$C$114,H155="Y"),1,0))</f>
        <v/>
      </c>
      <c r="M155">
        <f>IF(L155=1,IF(COUNTIFS(C$5:C155,C155,L$5:L155,1)=1,1,0),0)</f>
        <v/>
      </c>
      <c r="N155">
        <f>IF(C155="",0,IF(AND(B155="office",E155="budget_probe",N(F155)&gt;=Inputs!$C$129),1,0))</f>
        <v/>
      </c>
      <c r="O155">
        <f>IF(N155=1,IF(COUNTIFS(C$5:C155,C155,N$5:N155,1)=1,1,0),0)</f>
        <v/>
      </c>
      <c r="P155">
        <f>IF(C155="",0,IF(AND(B155="brand",E155="renewal_answer",N(F155)&gt;=Inputs!$C$125),1,0))</f>
        <v/>
      </c>
      <c r="Q155">
        <f>IF(AND(B155="office",E155="budget_probe",ISNUMBER(F155)),F155,"")</f>
        <v/>
      </c>
      <c r="R155">
        <f>IF(AND(B155="brand",E155="budget_probe",ISNUMBER(F155)),F155,"")</f>
        <v/>
      </c>
    </row>
    <row r="156">
      <c r="A156" s="91" t="n"/>
      <c r="B156" s="92" t="n"/>
      <c r="C156" s="92" t="n"/>
      <c r="D156" s="92" t="n"/>
      <c r="E156" s="92" t="n"/>
      <c r="F156" s="92" t="n"/>
      <c r="G156" s="92" t="n"/>
      <c r="H156" s="92" t="n"/>
      <c r="I156" s="92" t="n"/>
      <c r="K156">
        <f>IF(C156="","",IF(COUNTIFS(C$5:C156,C156,E$5:E156,E156)=1,1,0))</f>
        <v/>
      </c>
      <c r="L156">
        <f>IF(C156="",0,IF(AND(B156="brand",E156="budget_probe",N(F156)&gt;=Inputs!$C$114,H156="Y"),1,0))</f>
        <v/>
      </c>
      <c r="M156">
        <f>IF(L156=1,IF(COUNTIFS(C$5:C156,C156,L$5:L156,1)=1,1,0),0)</f>
        <v/>
      </c>
      <c r="N156">
        <f>IF(C156="",0,IF(AND(B156="office",E156="budget_probe",N(F156)&gt;=Inputs!$C$129),1,0))</f>
        <v/>
      </c>
      <c r="O156">
        <f>IF(N156=1,IF(COUNTIFS(C$5:C156,C156,N$5:N156,1)=1,1,0),0)</f>
        <v/>
      </c>
      <c r="P156">
        <f>IF(C156="",0,IF(AND(B156="brand",E156="renewal_answer",N(F156)&gt;=Inputs!$C$125),1,0))</f>
        <v/>
      </c>
      <c r="Q156">
        <f>IF(AND(B156="office",E156="budget_probe",ISNUMBER(F156)),F156,"")</f>
        <v/>
      </c>
      <c r="R156">
        <f>IF(AND(B156="brand",E156="budget_probe",ISNUMBER(F156)),F156,"")</f>
        <v/>
      </c>
    </row>
    <row r="157">
      <c r="A157" s="91" t="n"/>
      <c r="B157" s="92" t="n"/>
      <c r="C157" s="92" t="n"/>
      <c r="D157" s="92" t="n"/>
      <c r="E157" s="92" t="n"/>
      <c r="F157" s="92" t="n"/>
      <c r="G157" s="92" t="n"/>
      <c r="H157" s="92" t="n"/>
      <c r="I157" s="92" t="n"/>
      <c r="K157">
        <f>IF(C157="","",IF(COUNTIFS(C$5:C157,C157,E$5:E157,E157)=1,1,0))</f>
        <v/>
      </c>
      <c r="L157">
        <f>IF(C157="",0,IF(AND(B157="brand",E157="budget_probe",N(F157)&gt;=Inputs!$C$114,H157="Y"),1,0))</f>
        <v/>
      </c>
      <c r="M157">
        <f>IF(L157=1,IF(COUNTIFS(C$5:C157,C157,L$5:L157,1)=1,1,0),0)</f>
        <v/>
      </c>
      <c r="N157">
        <f>IF(C157="",0,IF(AND(B157="office",E157="budget_probe",N(F157)&gt;=Inputs!$C$129),1,0))</f>
        <v/>
      </c>
      <c r="O157">
        <f>IF(N157=1,IF(COUNTIFS(C$5:C157,C157,N$5:N157,1)=1,1,0),0)</f>
        <v/>
      </c>
      <c r="P157">
        <f>IF(C157="",0,IF(AND(B157="brand",E157="renewal_answer",N(F157)&gt;=Inputs!$C$125),1,0))</f>
        <v/>
      </c>
      <c r="Q157">
        <f>IF(AND(B157="office",E157="budget_probe",ISNUMBER(F157)),F157,"")</f>
        <v/>
      </c>
      <c r="R157">
        <f>IF(AND(B157="brand",E157="budget_probe",ISNUMBER(F157)),F157,"")</f>
        <v/>
      </c>
    </row>
    <row r="158">
      <c r="A158" s="91" t="n"/>
      <c r="B158" s="92" t="n"/>
      <c r="C158" s="92" t="n"/>
      <c r="D158" s="92" t="n"/>
      <c r="E158" s="92" t="n"/>
      <c r="F158" s="92" t="n"/>
      <c r="G158" s="92" t="n"/>
      <c r="H158" s="92" t="n"/>
      <c r="I158" s="92" t="n"/>
      <c r="K158">
        <f>IF(C158="","",IF(COUNTIFS(C$5:C158,C158,E$5:E158,E158)=1,1,0))</f>
        <v/>
      </c>
      <c r="L158">
        <f>IF(C158="",0,IF(AND(B158="brand",E158="budget_probe",N(F158)&gt;=Inputs!$C$114,H158="Y"),1,0))</f>
        <v/>
      </c>
      <c r="M158">
        <f>IF(L158=1,IF(COUNTIFS(C$5:C158,C158,L$5:L158,1)=1,1,0),0)</f>
        <v/>
      </c>
      <c r="N158">
        <f>IF(C158="",0,IF(AND(B158="office",E158="budget_probe",N(F158)&gt;=Inputs!$C$129),1,0))</f>
        <v/>
      </c>
      <c r="O158">
        <f>IF(N158=1,IF(COUNTIFS(C$5:C158,C158,N$5:N158,1)=1,1,0),0)</f>
        <v/>
      </c>
      <c r="P158">
        <f>IF(C158="",0,IF(AND(B158="brand",E158="renewal_answer",N(F158)&gt;=Inputs!$C$125),1,0))</f>
        <v/>
      </c>
      <c r="Q158">
        <f>IF(AND(B158="office",E158="budget_probe",ISNUMBER(F158)),F158,"")</f>
        <v/>
      </c>
      <c r="R158">
        <f>IF(AND(B158="brand",E158="budget_probe",ISNUMBER(F158)),F158,"")</f>
        <v/>
      </c>
    </row>
    <row r="159">
      <c r="A159" s="91" t="n"/>
      <c r="B159" s="92" t="n"/>
      <c r="C159" s="92" t="n"/>
      <c r="D159" s="92" t="n"/>
      <c r="E159" s="92" t="n"/>
      <c r="F159" s="92" t="n"/>
      <c r="G159" s="92" t="n"/>
      <c r="H159" s="92" t="n"/>
      <c r="I159" s="92" t="n"/>
      <c r="K159">
        <f>IF(C159="","",IF(COUNTIFS(C$5:C159,C159,E$5:E159,E159)=1,1,0))</f>
        <v/>
      </c>
      <c r="L159">
        <f>IF(C159="",0,IF(AND(B159="brand",E159="budget_probe",N(F159)&gt;=Inputs!$C$114,H159="Y"),1,0))</f>
        <v/>
      </c>
      <c r="M159">
        <f>IF(L159=1,IF(COUNTIFS(C$5:C159,C159,L$5:L159,1)=1,1,0),0)</f>
        <v/>
      </c>
      <c r="N159">
        <f>IF(C159="",0,IF(AND(B159="office",E159="budget_probe",N(F159)&gt;=Inputs!$C$129),1,0))</f>
        <v/>
      </c>
      <c r="O159">
        <f>IF(N159=1,IF(COUNTIFS(C$5:C159,C159,N$5:N159,1)=1,1,0),0)</f>
        <v/>
      </c>
      <c r="P159">
        <f>IF(C159="",0,IF(AND(B159="brand",E159="renewal_answer",N(F159)&gt;=Inputs!$C$125),1,0))</f>
        <v/>
      </c>
      <c r="Q159">
        <f>IF(AND(B159="office",E159="budget_probe",ISNUMBER(F159)),F159,"")</f>
        <v/>
      </c>
      <c r="R159">
        <f>IF(AND(B159="brand",E159="budget_probe",ISNUMBER(F159)),F159,"")</f>
        <v/>
      </c>
    </row>
    <row r="160">
      <c r="A160" s="91" t="n"/>
      <c r="B160" s="92" t="n"/>
      <c r="C160" s="92" t="n"/>
      <c r="D160" s="92" t="n"/>
      <c r="E160" s="92" t="n"/>
      <c r="F160" s="92" t="n"/>
      <c r="G160" s="92" t="n"/>
      <c r="H160" s="92" t="n"/>
      <c r="I160" s="92" t="n"/>
      <c r="K160">
        <f>IF(C160="","",IF(COUNTIFS(C$5:C160,C160,E$5:E160,E160)=1,1,0))</f>
        <v/>
      </c>
      <c r="L160">
        <f>IF(C160="",0,IF(AND(B160="brand",E160="budget_probe",N(F160)&gt;=Inputs!$C$114,H160="Y"),1,0))</f>
        <v/>
      </c>
      <c r="M160">
        <f>IF(L160=1,IF(COUNTIFS(C$5:C160,C160,L$5:L160,1)=1,1,0),0)</f>
        <v/>
      </c>
      <c r="N160">
        <f>IF(C160="",0,IF(AND(B160="office",E160="budget_probe",N(F160)&gt;=Inputs!$C$129),1,0))</f>
        <v/>
      </c>
      <c r="O160">
        <f>IF(N160=1,IF(COUNTIFS(C$5:C160,C160,N$5:N160,1)=1,1,0),0)</f>
        <v/>
      </c>
      <c r="P160">
        <f>IF(C160="",0,IF(AND(B160="brand",E160="renewal_answer",N(F160)&gt;=Inputs!$C$125),1,0))</f>
        <v/>
      </c>
      <c r="Q160">
        <f>IF(AND(B160="office",E160="budget_probe",ISNUMBER(F160)),F160,"")</f>
        <v/>
      </c>
      <c r="R160">
        <f>IF(AND(B160="brand",E160="budget_probe",ISNUMBER(F160)),F160,"")</f>
        <v/>
      </c>
    </row>
    <row r="161">
      <c r="A161" s="91" t="n"/>
      <c r="B161" s="92" t="n"/>
      <c r="C161" s="92" t="n"/>
      <c r="D161" s="92" t="n"/>
      <c r="E161" s="92" t="n"/>
      <c r="F161" s="92" t="n"/>
      <c r="G161" s="92" t="n"/>
      <c r="H161" s="92" t="n"/>
      <c r="I161" s="92" t="n"/>
      <c r="K161">
        <f>IF(C161="","",IF(COUNTIFS(C$5:C161,C161,E$5:E161,E161)=1,1,0))</f>
        <v/>
      </c>
      <c r="L161">
        <f>IF(C161="",0,IF(AND(B161="brand",E161="budget_probe",N(F161)&gt;=Inputs!$C$114,H161="Y"),1,0))</f>
        <v/>
      </c>
      <c r="M161">
        <f>IF(L161=1,IF(COUNTIFS(C$5:C161,C161,L$5:L161,1)=1,1,0),0)</f>
        <v/>
      </c>
      <c r="N161">
        <f>IF(C161="",0,IF(AND(B161="office",E161="budget_probe",N(F161)&gt;=Inputs!$C$129),1,0))</f>
        <v/>
      </c>
      <c r="O161">
        <f>IF(N161=1,IF(COUNTIFS(C$5:C161,C161,N$5:N161,1)=1,1,0),0)</f>
        <v/>
      </c>
      <c r="P161">
        <f>IF(C161="",0,IF(AND(B161="brand",E161="renewal_answer",N(F161)&gt;=Inputs!$C$125),1,0))</f>
        <v/>
      </c>
      <c r="Q161">
        <f>IF(AND(B161="office",E161="budget_probe",ISNUMBER(F161)),F161,"")</f>
        <v/>
      </c>
      <c r="R161">
        <f>IF(AND(B161="brand",E161="budget_probe",ISNUMBER(F161)),F161,"")</f>
        <v/>
      </c>
    </row>
    <row r="162">
      <c r="A162" s="91" t="n"/>
      <c r="B162" s="92" t="n"/>
      <c r="C162" s="92" t="n"/>
      <c r="D162" s="92" t="n"/>
      <c r="E162" s="92" t="n"/>
      <c r="F162" s="92" t="n"/>
      <c r="G162" s="92" t="n"/>
      <c r="H162" s="92" t="n"/>
      <c r="I162" s="92" t="n"/>
      <c r="K162">
        <f>IF(C162="","",IF(COUNTIFS(C$5:C162,C162,E$5:E162,E162)=1,1,0))</f>
        <v/>
      </c>
      <c r="L162">
        <f>IF(C162="",0,IF(AND(B162="brand",E162="budget_probe",N(F162)&gt;=Inputs!$C$114,H162="Y"),1,0))</f>
        <v/>
      </c>
      <c r="M162">
        <f>IF(L162=1,IF(COUNTIFS(C$5:C162,C162,L$5:L162,1)=1,1,0),0)</f>
        <v/>
      </c>
      <c r="N162">
        <f>IF(C162="",0,IF(AND(B162="office",E162="budget_probe",N(F162)&gt;=Inputs!$C$129),1,0))</f>
        <v/>
      </c>
      <c r="O162">
        <f>IF(N162=1,IF(COUNTIFS(C$5:C162,C162,N$5:N162,1)=1,1,0),0)</f>
        <v/>
      </c>
      <c r="P162">
        <f>IF(C162="",0,IF(AND(B162="brand",E162="renewal_answer",N(F162)&gt;=Inputs!$C$125),1,0))</f>
        <v/>
      </c>
      <c r="Q162">
        <f>IF(AND(B162="office",E162="budget_probe",ISNUMBER(F162)),F162,"")</f>
        <v/>
      </c>
      <c r="R162">
        <f>IF(AND(B162="brand",E162="budget_probe",ISNUMBER(F162)),F162,"")</f>
        <v/>
      </c>
    </row>
    <row r="163">
      <c r="A163" s="91" t="n"/>
      <c r="B163" s="92" t="n"/>
      <c r="C163" s="92" t="n"/>
      <c r="D163" s="92" t="n"/>
      <c r="E163" s="92" t="n"/>
      <c r="F163" s="92" t="n"/>
      <c r="G163" s="92" t="n"/>
      <c r="H163" s="92" t="n"/>
      <c r="I163" s="92" t="n"/>
      <c r="K163">
        <f>IF(C163="","",IF(COUNTIFS(C$5:C163,C163,E$5:E163,E163)=1,1,0))</f>
        <v/>
      </c>
      <c r="L163">
        <f>IF(C163="",0,IF(AND(B163="brand",E163="budget_probe",N(F163)&gt;=Inputs!$C$114,H163="Y"),1,0))</f>
        <v/>
      </c>
      <c r="M163">
        <f>IF(L163=1,IF(COUNTIFS(C$5:C163,C163,L$5:L163,1)=1,1,0),0)</f>
        <v/>
      </c>
      <c r="N163">
        <f>IF(C163="",0,IF(AND(B163="office",E163="budget_probe",N(F163)&gt;=Inputs!$C$129),1,0))</f>
        <v/>
      </c>
      <c r="O163">
        <f>IF(N163=1,IF(COUNTIFS(C$5:C163,C163,N$5:N163,1)=1,1,0),0)</f>
        <v/>
      </c>
      <c r="P163">
        <f>IF(C163="",0,IF(AND(B163="brand",E163="renewal_answer",N(F163)&gt;=Inputs!$C$125),1,0))</f>
        <v/>
      </c>
      <c r="Q163">
        <f>IF(AND(B163="office",E163="budget_probe",ISNUMBER(F163)),F163,"")</f>
        <v/>
      </c>
      <c r="R163">
        <f>IF(AND(B163="brand",E163="budget_probe",ISNUMBER(F163)),F163,"")</f>
        <v/>
      </c>
    </row>
    <row r="164">
      <c r="A164" s="91" t="n"/>
      <c r="B164" s="92" t="n"/>
      <c r="C164" s="92" t="n"/>
      <c r="D164" s="92" t="n"/>
      <c r="E164" s="92" t="n"/>
      <c r="F164" s="92" t="n"/>
      <c r="G164" s="92" t="n"/>
      <c r="H164" s="92" t="n"/>
      <c r="I164" s="92" t="n"/>
      <c r="K164">
        <f>IF(C164="","",IF(COUNTIFS(C$5:C164,C164,E$5:E164,E164)=1,1,0))</f>
        <v/>
      </c>
      <c r="L164">
        <f>IF(C164="",0,IF(AND(B164="brand",E164="budget_probe",N(F164)&gt;=Inputs!$C$114,H164="Y"),1,0))</f>
        <v/>
      </c>
      <c r="M164">
        <f>IF(L164=1,IF(COUNTIFS(C$5:C164,C164,L$5:L164,1)=1,1,0),0)</f>
        <v/>
      </c>
      <c r="N164">
        <f>IF(C164="",0,IF(AND(B164="office",E164="budget_probe",N(F164)&gt;=Inputs!$C$129),1,0))</f>
        <v/>
      </c>
      <c r="O164">
        <f>IF(N164=1,IF(COUNTIFS(C$5:C164,C164,N$5:N164,1)=1,1,0),0)</f>
        <v/>
      </c>
      <c r="P164">
        <f>IF(C164="",0,IF(AND(B164="brand",E164="renewal_answer",N(F164)&gt;=Inputs!$C$125),1,0))</f>
        <v/>
      </c>
      <c r="Q164">
        <f>IF(AND(B164="office",E164="budget_probe",ISNUMBER(F164)),F164,"")</f>
        <v/>
      </c>
      <c r="R164">
        <f>IF(AND(B164="brand",E164="budget_probe",ISNUMBER(F164)),F164,"")</f>
        <v/>
      </c>
    </row>
    <row r="165">
      <c r="A165" s="91" t="n"/>
      <c r="B165" s="92" t="n"/>
      <c r="C165" s="92" t="n"/>
      <c r="D165" s="92" t="n"/>
      <c r="E165" s="92" t="n"/>
      <c r="F165" s="92" t="n"/>
      <c r="G165" s="92" t="n"/>
      <c r="H165" s="92" t="n"/>
      <c r="I165" s="92" t="n"/>
      <c r="K165">
        <f>IF(C165="","",IF(COUNTIFS(C$5:C165,C165,E$5:E165,E165)=1,1,0))</f>
        <v/>
      </c>
      <c r="L165">
        <f>IF(C165="",0,IF(AND(B165="brand",E165="budget_probe",N(F165)&gt;=Inputs!$C$114,H165="Y"),1,0))</f>
        <v/>
      </c>
      <c r="M165">
        <f>IF(L165=1,IF(COUNTIFS(C$5:C165,C165,L$5:L165,1)=1,1,0),0)</f>
        <v/>
      </c>
      <c r="N165">
        <f>IF(C165="",0,IF(AND(B165="office",E165="budget_probe",N(F165)&gt;=Inputs!$C$129),1,0))</f>
        <v/>
      </c>
      <c r="O165">
        <f>IF(N165=1,IF(COUNTIFS(C$5:C165,C165,N$5:N165,1)=1,1,0),0)</f>
        <v/>
      </c>
      <c r="P165">
        <f>IF(C165="",0,IF(AND(B165="brand",E165="renewal_answer",N(F165)&gt;=Inputs!$C$125),1,0))</f>
        <v/>
      </c>
      <c r="Q165">
        <f>IF(AND(B165="office",E165="budget_probe",ISNUMBER(F165)),F165,"")</f>
        <v/>
      </c>
      <c r="R165">
        <f>IF(AND(B165="brand",E165="budget_probe",ISNUMBER(F165)),F165,"")</f>
        <v/>
      </c>
    </row>
    <row r="166">
      <c r="A166" s="91" t="n"/>
      <c r="B166" s="92" t="n"/>
      <c r="C166" s="92" t="n"/>
      <c r="D166" s="92" t="n"/>
      <c r="E166" s="92" t="n"/>
      <c r="F166" s="92" t="n"/>
      <c r="G166" s="92" t="n"/>
      <c r="H166" s="92" t="n"/>
      <c r="I166" s="92" t="n"/>
      <c r="K166">
        <f>IF(C166="","",IF(COUNTIFS(C$5:C166,C166,E$5:E166,E166)=1,1,0))</f>
        <v/>
      </c>
      <c r="L166">
        <f>IF(C166="",0,IF(AND(B166="brand",E166="budget_probe",N(F166)&gt;=Inputs!$C$114,H166="Y"),1,0))</f>
        <v/>
      </c>
      <c r="M166">
        <f>IF(L166=1,IF(COUNTIFS(C$5:C166,C166,L$5:L166,1)=1,1,0),0)</f>
        <v/>
      </c>
      <c r="N166">
        <f>IF(C166="",0,IF(AND(B166="office",E166="budget_probe",N(F166)&gt;=Inputs!$C$129),1,0))</f>
        <v/>
      </c>
      <c r="O166">
        <f>IF(N166=1,IF(COUNTIFS(C$5:C166,C166,N$5:N166,1)=1,1,0),0)</f>
        <v/>
      </c>
      <c r="P166">
        <f>IF(C166="",0,IF(AND(B166="brand",E166="renewal_answer",N(F166)&gt;=Inputs!$C$125),1,0))</f>
        <v/>
      </c>
      <c r="Q166">
        <f>IF(AND(B166="office",E166="budget_probe",ISNUMBER(F166)),F166,"")</f>
        <v/>
      </c>
      <c r="R166">
        <f>IF(AND(B166="brand",E166="budget_probe",ISNUMBER(F166)),F166,"")</f>
        <v/>
      </c>
    </row>
    <row r="167">
      <c r="A167" s="91" t="n"/>
      <c r="B167" s="92" t="n"/>
      <c r="C167" s="92" t="n"/>
      <c r="D167" s="92" t="n"/>
      <c r="E167" s="92" t="n"/>
      <c r="F167" s="92" t="n"/>
      <c r="G167" s="92" t="n"/>
      <c r="H167" s="92" t="n"/>
      <c r="I167" s="92" t="n"/>
      <c r="K167">
        <f>IF(C167="","",IF(COUNTIFS(C$5:C167,C167,E$5:E167,E167)=1,1,0))</f>
        <v/>
      </c>
      <c r="L167">
        <f>IF(C167="",0,IF(AND(B167="brand",E167="budget_probe",N(F167)&gt;=Inputs!$C$114,H167="Y"),1,0))</f>
        <v/>
      </c>
      <c r="M167">
        <f>IF(L167=1,IF(COUNTIFS(C$5:C167,C167,L$5:L167,1)=1,1,0),0)</f>
        <v/>
      </c>
      <c r="N167">
        <f>IF(C167="",0,IF(AND(B167="office",E167="budget_probe",N(F167)&gt;=Inputs!$C$129),1,0))</f>
        <v/>
      </c>
      <c r="O167">
        <f>IF(N167=1,IF(COUNTIFS(C$5:C167,C167,N$5:N167,1)=1,1,0),0)</f>
        <v/>
      </c>
      <c r="P167">
        <f>IF(C167="",0,IF(AND(B167="brand",E167="renewal_answer",N(F167)&gt;=Inputs!$C$125),1,0))</f>
        <v/>
      </c>
      <c r="Q167">
        <f>IF(AND(B167="office",E167="budget_probe",ISNUMBER(F167)),F167,"")</f>
        <v/>
      </c>
      <c r="R167">
        <f>IF(AND(B167="brand",E167="budget_probe",ISNUMBER(F167)),F167,"")</f>
        <v/>
      </c>
    </row>
    <row r="168">
      <c r="A168" s="91" t="n"/>
      <c r="B168" s="92" t="n"/>
      <c r="C168" s="92" t="n"/>
      <c r="D168" s="92" t="n"/>
      <c r="E168" s="92" t="n"/>
      <c r="F168" s="92" t="n"/>
      <c r="G168" s="92" t="n"/>
      <c r="H168" s="92" t="n"/>
      <c r="I168" s="92" t="n"/>
      <c r="K168">
        <f>IF(C168="","",IF(COUNTIFS(C$5:C168,C168,E$5:E168,E168)=1,1,0))</f>
        <v/>
      </c>
      <c r="L168">
        <f>IF(C168="",0,IF(AND(B168="brand",E168="budget_probe",N(F168)&gt;=Inputs!$C$114,H168="Y"),1,0))</f>
        <v/>
      </c>
      <c r="M168">
        <f>IF(L168=1,IF(COUNTIFS(C$5:C168,C168,L$5:L168,1)=1,1,0),0)</f>
        <v/>
      </c>
      <c r="N168">
        <f>IF(C168="",0,IF(AND(B168="office",E168="budget_probe",N(F168)&gt;=Inputs!$C$129),1,0))</f>
        <v/>
      </c>
      <c r="O168">
        <f>IF(N168=1,IF(COUNTIFS(C$5:C168,C168,N$5:N168,1)=1,1,0),0)</f>
        <v/>
      </c>
      <c r="P168">
        <f>IF(C168="",0,IF(AND(B168="brand",E168="renewal_answer",N(F168)&gt;=Inputs!$C$125),1,0))</f>
        <v/>
      </c>
      <c r="Q168">
        <f>IF(AND(B168="office",E168="budget_probe",ISNUMBER(F168)),F168,"")</f>
        <v/>
      </c>
      <c r="R168">
        <f>IF(AND(B168="brand",E168="budget_probe",ISNUMBER(F168)),F168,"")</f>
        <v/>
      </c>
    </row>
    <row r="169">
      <c r="A169" s="91" t="n"/>
      <c r="B169" s="92" t="n"/>
      <c r="C169" s="92" t="n"/>
      <c r="D169" s="92" t="n"/>
      <c r="E169" s="92" t="n"/>
      <c r="F169" s="92" t="n"/>
      <c r="G169" s="92" t="n"/>
      <c r="H169" s="92" t="n"/>
      <c r="I169" s="92" t="n"/>
      <c r="K169">
        <f>IF(C169="","",IF(COUNTIFS(C$5:C169,C169,E$5:E169,E169)=1,1,0))</f>
        <v/>
      </c>
      <c r="L169">
        <f>IF(C169="",0,IF(AND(B169="brand",E169="budget_probe",N(F169)&gt;=Inputs!$C$114,H169="Y"),1,0))</f>
        <v/>
      </c>
      <c r="M169">
        <f>IF(L169=1,IF(COUNTIFS(C$5:C169,C169,L$5:L169,1)=1,1,0),0)</f>
        <v/>
      </c>
      <c r="N169">
        <f>IF(C169="",0,IF(AND(B169="office",E169="budget_probe",N(F169)&gt;=Inputs!$C$129),1,0))</f>
        <v/>
      </c>
      <c r="O169">
        <f>IF(N169=1,IF(COUNTIFS(C$5:C169,C169,N$5:N169,1)=1,1,0),0)</f>
        <v/>
      </c>
      <c r="P169">
        <f>IF(C169="",0,IF(AND(B169="brand",E169="renewal_answer",N(F169)&gt;=Inputs!$C$125),1,0))</f>
        <v/>
      </c>
      <c r="Q169">
        <f>IF(AND(B169="office",E169="budget_probe",ISNUMBER(F169)),F169,"")</f>
        <v/>
      </c>
      <c r="R169">
        <f>IF(AND(B169="brand",E169="budget_probe",ISNUMBER(F169)),F169,"")</f>
        <v/>
      </c>
    </row>
    <row r="170">
      <c r="A170" s="91" t="n"/>
      <c r="B170" s="92" t="n"/>
      <c r="C170" s="92" t="n"/>
      <c r="D170" s="92" t="n"/>
      <c r="E170" s="92" t="n"/>
      <c r="F170" s="92" t="n"/>
      <c r="G170" s="92" t="n"/>
      <c r="H170" s="92" t="n"/>
      <c r="I170" s="92" t="n"/>
      <c r="K170">
        <f>IF(C170="","",IF(COUNTIFS(C$5:C170,C170,E$5:E170,E170)=1,1,0))</f>
        <v/>
      </c>
      <c r="L170">
        <f>IF(C170="",0,IF(AND(B170="brand",E170="budget_probe",N(F170)&gt;=Inputs!$C$114,H170="Y"),1,0))</f>
        <v/>
      </c>
      <c r="M170">
        <f>IF(L170=1,IF(COUNTIFS(C$5:C170,C170,L$5:L170,1)=1,1,0),0)</f>
        <v/>
      </c>
      <c r="N170">
        <f>IF(C170="",0,IF(AND(B170="office",E170="budget_probe",N(F170)&gt;=Inputs!$C$129),1,0))</f>
        <v/>
      </c>
      <c r="O170">
        <f>IF(N170=1,IF(COUNTIFS(C$5:C170,C170,N$5:N170,1)=1,1,0),0)</f>
        <v/>
      </c>
      <c r="P170">
        <f>IF(C170="",0,IF(AND(B170="brand",E170="renewal_answer",N(F170)&gt;=Inputs!$C$125),1,0))</f>
        <v/>
      </c>
      <c r="Q170">
        <f>IF(AND(B170="office",E170="budget_probe",ISNUMBER(F170)),F170,"")</f>
        <v/>
      </c>
      <c r="R170">
        <f>IF(AND(B170="brand",E170="budget_probe",ISNUMBER(F170)),F170,"")</f>
        <v/>
      </c>
    </row>
    <row r="171">
      <c r="A171" s="91" t="n"/>
      <c r="B171" s="92" t="n"/>
      <c r="C171" s="92" t="n"/>
      <c r="D171" s="92" t="n"/>
      <c r="E171" s="92" t="n"/>
      <c r="F171" s="92" t="n"/>
      <c r="G171" s="92" t="n"/>
      <c r="H171" s="92" t="n"/>
      <c r="I171" s="92" t="n"/>
      <c r="K171">
        <f>IF(C171="","",IF(COUNTIFS(C$5:C171,C171,E$5:E171,E171)=1,1,0))</f>
        <v/>
      </c>
      <c r="L171">
        <f>IF(C171="",0,IF(AND(B171="brand",E171="budget_probe",N(F171)&gt;=Inputs!$C$114,H171="Y"),1,0))</f>
        <v/>
      </c>
      <c r="M171">
        <f>IF(L171=1,IF(COUNTIFS(C$5:C171,C171,L$5:L171,1)=1,1,0),0)</f>
        <v/>
      </c>
      <c r="N171">
        <f>IF(C171="",0,IF(AND(B171="office",E171="budget_probe",N(F171)&gt;=Inputs!$C$129),1,0))</f>
        <v/>
      </c>
      <c r="O171">
        <f>IF(N171=1,IF(COUNTIFS(C$5:C171,C171,N$5:N171,1)=1,1,0),0)</f>
        <v/>
      </c>
      <c r="P171">
        <f>IF(C171="",0,IF(AND(B171="brand",E171="renewal_answer",N(F171)&gt;=Inputs!$C$125),1,0))</f>
        <v/>
      </c>
      <c r="Q171">
        <f>IF(AND(B171="office",E171="budget_probe",ISNUMBER(F171)),F171,"")</f>
        <v/>
      </c>
      <c r="R171">
        <f>IF(AND(B171="brand",E171="budget_probe",ISNUMBER(F171)),F171,"")</f>
        <v/>
      </c>
    </row>
    <row r="172">
      <c r="A172" s="91" t="n"/>
      <c r="B172" s="92" t="n"/>
      <c r="C172" s="92" t="n"/>
      <c r="D172" s="92" t="n"/>
      <c r="E172" s="92" t="n"/>
      <c r="F172" s="92" t="n"/>
      <c r="G172" s="92" t="n"/>
      <c r="H172" s="92" t="n"/>
      <c r="I172" s="92" t="n"/>
      <c r="K172">
        <f>IF(C172="","",IF(COUNTIFS(C$5:C172,C172,E$5:E172,E172)=1,1,0))</f>
        <v/>
      </c>
      <c r="L172">
        <f>IF(C172="",0,IF(AND(B172="brand",E172="budget_probe",N(F172)&gt;=Inputs!$C$114,H172="Y"),1,0))</f>
        <v/>
      </c>
      <c r="M172">
        <f>IF(L172=1,IF(COUNTIFS(C$5:C172,C172,L$5:L172,1)=1,1,0),0)</f>
        <v/>
      </c>
      <c r="N172">
        <f>IF(C172="",0,IF(AND(B172="office",E172="budget_probe",N(F172)&gt;=Inputs!$C$129),1,0))</f>
        <v/>
      </c>
      <c r="O172">
        <f>IF(N172=1,IF(COUNTIFS(C$5:C172,C172,N$5:N172,1)=1,1,0),0)</f>
        <v/>
      </c>
      <c r="P172">
        <f>IF(C172="",0,IF(AND(B172="brand",E172="renewal_answer",N(F172)&gt;=Inputs!$C$125),1,0))</f>
        <v/>
      </c>
      <c r="Q172">
        <f>IF(AND(B172="office",E172="budget_probe",ISNUMBER(F172)),F172,"")</f>
        <v/>
      </c>
      <c r="R172">
        <f>IF(AND(B172="brand",E172="budget_probe",ISNUMBER(F172)),F172,"")</f>
        <v/>
      </c>
    </row>
    <row r="173">
      <c r="A173" s="91" t="n"/>
      <c r="B173" s="92" t="n"/>
      <c r="C173" s="92" t="n"/>
      <c r="D173" s="92" t="n"/>
      <c r="E173" s="92" t="n"/>
      <c r="F173" s="92" t="n"/>
      <c r="G173" s="92" t="n"/>
      <c r="H173" s="92" t="n"/>
      <c r="I173" s="92" t="n"/>
      <c r="K173">
        <f>IF(C173="","",IF(COUNTIFS(C$5:C173,C173,E$5:E173,E173)=1,1,0))</f>
        <v/>
      </c>
      <c r="L173">
        <f>IF(C173="",0,IF(AND(B173="brand",E173="budget_probe",N(F173)&gt;=Inputs!$C$114,H173="Y"),1,0))</f>
        <v/>
      </c>
      <c r="M173">
        <f>IF(L173=1,IF(COUNTIFS(C$5:C173,C173,L$5:L173,1)=1,1,0),0)</f>
        <v/>
      </c>
      <c r="N173">
        <f>IF(C173="",0,IF(AND(B173="office",E173="budget_probe",N(F173)&gt;=Inputs!$C$129),1,0))</f>
        <v/>
      </c>
      <c r="O173">
        <f>IF(N173=1,IF(COUNTIFS(C$5:C173,C173,N$5:N173,1)=1,1,0),0)</f>
        <v/>
      </c>
      <c r="P173">
        <f>IF(C173="",0,IF(AND(B173="brand",E173="renewal_answer",N(F173)&gt;=Inputs!$C$125),1,0))</f>
        <v/>
      </c>
      <c r="Q173">
        <f>IF(AND(B173="office",E173="budget_probe",ISNUMBER(F173)),F173,"")</f>
        <v/>
      </c>
      <c r="R173">
        <f>IF(AND(B173="brand",E173="budget_probe",ISNUMBER(F173)),F173,"")</f>
        <v/>
      </c>
    </row>
    <row r="174">
      <c r="A174" s="91" t="n"/>
      <c r="B174" s="92" t="n"/>
      <c r="C174" s="92" t="n"/>
      <c r="D174" s="92" t="n"/>
      <c r="E174" s="92" t="n"/>
      <c r="F174" s="92" t="n"/>
      <c r="G174" s="92" t="n"/>
      <c r="H174" s="92" t="n"/>
      <c r="I174" s="92" t="n"/>
      <c r="K174">
        <f>IF(C174="","",IF(COUNTIFS(C$5:C174,C174,E$5:E174,E174)=1,1,0))</f>
        <v/>
      </c>
      <c r="L174">
        <f>IF(C174="",0,IF(AND(B174="brand",E174="budget_probe",N(F174)&gt;=Inputs!$C$114,H174="Y"),1,0))</f>
        <v/>
      </c>
      <c r="M174">
        <f>IF(L174=1,IF(COUNTIFS(C$5:C174,C174,L$5:L174,1)=1,1,0),0)</f>
        <v/>
      </c>
      <c r="N174">
        <f>IF(C174="",0,IF(AND(B174="office",E174="budget_probe",N(F174)&gt;=Inputs!$C$129),1,0))</f>
        <v/>
      </c>
      <c r="O174">
        <f>IF(N174=1,IF(COUNTIFS(C$5:C174,C174,N$5:N174,1)=1,1,0),0)</f>
        <v/>
      </c>
      <c r="P174">
        <f>IF(C174="",0,IF(AND(B174="brand",E174="renewal_answer",N(F174)&gt;=Inputs!$C$125),1,0))</f>
        <v/>
      </c>
      <c r="Q174">
        <f>IF(AND(B174="office",E174="budget_probe",ISNUMBER(F174)),F174,"")</f>
        <v/>
      </c>
      <c r="R174">
        <f>IF(AND(B174="brand",E174="budget_probe",ISNUMBER(F174)),F174,"")</f>
        <v/>
      </c>
    </row>
    <row r="175">
      <c r="A175" s="91" t="n"/>
      <c r="B175" s="92" t="n"/>
      <c r="C175" s="92" t="n"/>
      <c r="D175" s="92" t="n"/>
      <c r="E175" s="92" t="n"/>
      <c r="F175" s="92" t="n"/>
      <c r="G175" s="92" t="n"/>
      <c r="H175" s="92" t="n"/>
      <c r="I175" s="92" t="n"/>
      <c r="K175">
        <f>IF(C175="","",IF(COUNTIFS(C$5:C175,C175,E$5:E175,E175)=1,1,0))</f>
        <v/>
      </c>
      <c r="L175">
        <f>IF(C175="",0,IF(AND(B175="brand",E175="budget_probe",N(F175)&gt;=Inputs!$C$114,H175="Y"),1,0))</f>
        <v/>
      </c>
      <c r="M175">
        <f>IF(L175=1,IF(COUNTIFS(C$5:C175,C175,L$5:L175,1)=1,1,0),0)</f>
        <v/>
      </c>
      <c r="N175">
        <f>IF(C175="",0,IF(AND(B175="office",E175="budget_probe",N(F175)&gt;=Inputs!$C$129),1,0))</f>
        <v/>
      </c>
      <c r="O175">
        <f>IF(N175=1,IF(COUNTIFS(C$5:C175,C175,N$5:N175,1)=1,1,0),0)</f>
        <v/>
      </c>
      <c r="P175">
        <f>IF(C175="",0,IF(AND(B175="brand",E175="renewal_answer",N(F175)&gt;=Inputs!$C$125),1,0))</f>
        <v/>
      </c>
      <c r="Q175">
        <f>IF(AND(B175="office",E175="budget_probe",ISNUMBER(F175)),F175,"")</f>
        <v/>
      </c>
      <c r="R175">
        <f>IF(AND(B175="brand",E175="budget_probe",ISNUMBER(F175)),F175,"")</f>
        <v/>
      </c>
    </row>
    <row r="176">
      <c r="A176" s="91" t="n"/>
      <c r="B176" s="92" t="n"/>
      <c r="C176" s="92" t="n"/>
      <c r="D176" s="92" t="n"/>
      <c r="E176" s="92" t="n"/>
      <c r="F176" s="92" t="n"/>
      <c r="G176" s="92" t="n"/>
      <c r="H176" s="92" t="n"/>
      <c r="I176" s="92" t="n"/>
      <c r="K176">
        <f>IF(C176="","",IF(COUNTIFS(C$5:C176,C176,E$5:E176,E176)=1,1,0))</f>
        <v/>
      </c>
      <c r="L176">
        <f>IF(C176="",0,IF(AND(B176="brand",E176="budget_probe",N(F176)&gt;=Inputs!$C$114,H176="Y"),1,0))</f>
        <v/>
      </c>
      <c r="M176">
        <f>IF(L176=1,IF(COUNTIFS(C$5:C176,C176,L$5:L176,1)=1,1,0),0)</f>
        <v/>
      </c>
      <c r="N176">
        <f>IF(C176="",0,IF(AND(B176="office",E176="budget_probe",N(F176)&gt;=Inputs!$C$129),1,0))</f>
        <v/>
      </c>
      <c r="O176">
        <f>IF(N176=1,IF(COUNTIFS(C$5:C176,C176,N$5:N176,1)=1,1,0),0)</f>
        <v/>
      </c>
      <c r="P176">
        <f>IF(C176="",0,IF(AND(B176="brand",E176="renewal_answer",N(F176)&gt;=Inputs!$C$125),1,0))</f>
        <v/>
      </c>
      <c r="Q176">
        <f>IF(AND(B176="office",E176="budget_probe",ISNUMBER(F176)),F176,"")</f>
        <v/>
      </c>
      <c r="R176">
        <f>IF(AND(B176="brand",E176="budget_probe",ISNUMBER(F176)),F176,"")</f>
        <v/>
      </c>
    </row>
    <row r="177">
      <c r="A177" s="91" t="n"/>
      <c r="B177" s="92" t="n"/>
      <c r="C177" s="92" t="n"/>
      <c r="D177" s="92" t="n"/>
      <c r="E177" s="92" t="n"/>
      <c r="F177" s="92" t="n"/>
      <c r="G177" s="92" t="n"/>
      <c r="H177" s="92" t="n"/>
      <c r="I177" s="92" t="n"/>
      <c r="K177">
        <f>IF(C177="","",IF(COUNTIFS(C$5:C177,C177,E$5:E177,E177)=1,1,0))</f>
        <v/>
      </c>
      <c r="L177">
        <f>IF(C177="",0,IF(AND(B177="brand",E177="budget_probe",N(F177)&gt;=Inputs!$C$114,H177="Y"),1,0))</f>
        <v/>
      </c>
      <c r="M177">
        <f>IF(L177=1,IF(COUNTIFS(C$5:C177,C177,L$5:L177,1)=1,1,0),0)</f>
        <v/>
      </c>
      <c r="N177">
        <f>IF(C177="",0,IF(AND(B177="office",E177="budget_probe",N(F177)&gt;=Inputs!$C$129),1,0))</f>
        <v/>
      </c>
      <c r="O177">
        <f>IF(N177=1,IF(COUNTIFS(C$5:C177,C177,N$5:N177,1)=1,1,0),0)</f>
        <v/>
      </c>
      <c r="P177">
        <f>IF(C177="",0,IF(AND(B177="brand",E177="renewal_answer",N(F177)&gt;=Inputs!$C$125),1,0))</f>
        <v/>
      </c>
      <c r="Q177">
        <f>IF(AND(B177="office",E177="budget_probe",ISNUMBER(F177)),F177,"")</f>
        <v/>
      </c>
      <c r="R177">
        <f>IF(AND(B177="brand",E177="budget_probe",ISNUMBER(F177)),F177,"")</f>
        <v/>
      </c>
    </row>
    <row r="178">
      <c r="A178" s="91" t="n"/>
      <c r="B178" s="92" t="n"/>
      <c r="C178" s="92" t="n"/>
      <c r="D178" s="92" t="n"/>
      <c r="E178" s="92" t="n"/>
      <c r="F178" s="92" t="n"/>
      <c r="G178" s="92" t="n"/>
      <c r="H178" s="92" t="n"/>
      <c r="I178" s="92" t="n"/>
      <c r="K178">
        <f>IF(C178="","",IF(COUNTIFS(C$5:C178,C178,E$5:E178,E178)=1,1,0))</f>
        <v/>
      </c>
      <c r="L178">
        <f>IF(C178="",0,IF(AND(B178="brand",E178="budget_probe",N(F178)&gt;=Inputs!$C$114,H178="Y"),1,0))</f>
        <v/>
      </c>
      <c r="M178">
        <f>IF(L178=1,IF(COUNTIFS(C$5:C178,C178,L$5:L178,1)=1,1,0),0)</f>
        <v/>
      </c>
      <c r="N178">
        <f>IF(C178="",0,IF(AND(B178="office",E178="budget_probe",N(F178)&gt;=Inputs!$C$129),1,0))</f>
        <v/>
      </c>
      <c r="O178">
        <f>IF(N178=1,IF(COUNTIFS(C$5:C178,C178,N$5:N178,1)=1,1,0),0)</f>
        <v/>
      </c>
      <c r="P178">
        <f>IF(C178="",0,IF(AND(B178="brand",E178="renewal_answer",N(F178)&gt;=Inputs!$C$125),1,0))</f>
        <v/>
      </c>
      <c r="Q178">
        <f>IF(AND(B178="office",E178="budget_probe",ISNUMBER(F178)),F178,"")</f>
        <v/>
      </c>
      <c r="R178">
        <f>IF(AND(B178="brand",E178="budget_probe",ISNUMBER(F178)),F178,"")</f>
        <v/>
      </c>
    </row>
    <row r="179">
      <c r="A179" s="91" t="n"/>
      <c r="B179" s="92" t="n"/>
      <c r="C179" s="92" t="n"/>
      <c r="D179" s="92" t="n"/>
      <c r="E179" s="92" t="n"/>
      <c r="F179" s="92" t="n"/>
      <c r="G179" s="92" t="n"/>
      <c r="H179" s="92" t="n"/>
      <c r="I179" s="92" t="n"/>
      <c r="K179">
        <f>IF(C179="","",IF(COUNTIFS(C$5:C179,C179,E$5:E179,E179)=1,1,0))</f>
        <v/>
      </c>
      <c r="L179">
        <f>IF(C179="",0,IF(AND(B179="brand",E179="budget_probe",N(F179)&gt;=Inputs!$C$114,H179="Y"),1,0))</f>
        <v/>
      </c>
      <c r="M179">
        <f>IF(L179=1,IF(COUNTIFS(C$5:C179,C179,L$5:L179,1)=1,1,0),0)</f>
        <v/>
      </c>
      <c r="N179">
        <f>IF(C179="",0,IF(AND(B179="office",E179="budget_probe",N(F179)&gt;=Inputs!$C$129),1,0))</f>
        <v/>
      </c>
      <c r="O179">
        <f>IF(N179=1,IF(COUNTIFS(C$5:C179,C179,N$5:N179,1)=1,1,0),0)</f>
        <v/>
      </c>
      <c r="P179">
        <f>IF(C179="",0,IF(AND(B179="brand",E179="renewal_answer",N(F179)&gt;=Inputs!$C$125),1,0))</f>
        <v/>
      </c>
      <c r="Q179">
        <f>IF(AND(B179="office",E179="budget_probe",ISNUMBER(F179)),F179,"")</f>
        <v/>
      </c>
      <c r="R179">
        <f>IF(AND(B179="brand",E179="budget_probe",ISNUMBER(F179)),F179,"")</f>
        <v/>
      </c>
    </row>
    <row r="180">
      <c r="A180" s="91" t="n"/>
      <c r="B180" s="92" t="n"/>
      <c r="C180" s="92" t="n"/>
      <c r="D180" s="92" t="n"/>
      <c r="E180" s="92" t="n"/>
      <c r="F180" s="92" t="n"/>
      <c r="G180" s="92" t="n"/>
      <c r="H180" s="92" t="n"/>
      <c r="I180" s="92" t="n"/>
      <c r="K180">
        <f>IF(C180="","",IF(COUNTIFS(C$5:C180,C180,E$5:E180,E180)=1,1,0))</f>
        <v/>
      </c>
      <c r="L180">
        <f>IF(C180="",0,IF(AND(B180="brand",E180="budget_probe",N(F180)&gt;=Inputs!$C$114,H180="Y"),1,0))</f>
        <v/>
      </c>
      <c r="M180">
        <f>IF(L180=1,IF(COUNTIFS(C$5:C180,C180,L$5:L180,1)=1,1,0),0)</f>
        <v/>
      </c>
      <c r="N180">
        <f>IF(C180="",0,IF(AND(B180="office",E180="budget_probe",N(F180)&gt;=Inputs!$C$129),1,0))</f>
        <v/>
      </c>
      <c r="O180">
        <f>IF(N180=1,IF(COUNTIFS(C$5:C180,C180,N$5:N180,1)=1,1,0),0)</f>
        <v/>
      </c>
      <c r="P180">
        <f>IF(C180="",0,IF(AND(B180="brand",E180="renewal_answer",N(F180)&gt;=Inputs!$C$125),1,0))</f>
        <v/>
      </c>
      <c r="Q180">
        <f>IF(AND(B180="office",E180="budget_probe",ISNUMBER(F180)),F180,"")</f>
        <v/>
      </c>
      <c r="R180">
        <f>IF(AND(B180="brand",E180="budget_probe",ISNUMBER(F180)),F180,"")</f>
        <v/>
      </c>
    </row>
    <row r="181">
      <c r="A181" s="91" t="n"/>
      <c r="B181" s="92" t="n"/>
      <c r="C181" s="92" t="n"/>
      <c r="D181" s="92" t="n"/>
      <c r="E181" s="92" t="n"/>
      <c r="F181" s="92" t="n"/>
      <c r="G181" s="92" t="n"/>
      <c r="H181" s="92" t="n"/>
      <c r="I181" s="92" t="n"/>
      <c r="K181">
        <f>IF(C181="","",IF(COUNTIFS(C$5:C181,C181,E$5:E181,E181)=1,1,0))</f>
        <v/>
      </c>
      <c r="L181">
        <f>IF(C181="",0,IF(AND(B181="brand",E181="budget_probe",N(F181)&gt;=Inputs!$C$114,H181="Y"),1,0))</f>
        <v/>
      </c>
      <c r="M181">
        <f>IF(L181=1,IF(COUNTIFS(C$5:C181,C181,L$5:L181,1)=1,1,0),0)</f>
        <v/>
      </c>
      <c r="N181">
        <f>IF(C181="",0,IF(AND(B181="office",E181="budget_probe",N(F181)&gt;=Inputs!$C$129),1,0))</f>
        <v/>
      </c>
      <c r="O181">
        <f>IF(N181=1,IF(COUNTIFS(C$5:C181,C181,N$5:N181,1)=1,1,0),0)</f>
        <v/>
      </c>
      <c r="P181">
        <f>IF(C181="",0,IF(AND(B181="brand",E181="renewal_answer",N(F181)&gt;=Inputs!$C$125),1,0))</f>
        <v/>
      </c>
      <c r="Q181">
        <f>IF(AND(B181="office",E181="budget_probe",ISNUMBER(F181)),F181,"")</f>
        <v/>
      </c>
      <c r="R181">
        <f>IF(AND(B181="brand",E181="budget_probe",ISNUMBER(F181)),F181,"")</f>
        <v/>
      </c>
    </row>
    <row r="182">
      <c r="A182" s="91" t="n"/>
      <c r="B182" s="92" t="n"/>
      <c r="C182" s="92" t="n"/>
      <c r="D182" s="92" t="n"/>
      <c r="E182" s="92" t="n"/>
      <c r="F182" s="92" t="n"/>
      <c r="G182" s="92" t="n"/>
      <c r="H182" s="92" t="n"/>
      <c r="I182" s="92" t="n"/>
      <c r="K182">
        <f>IF(C182="","",IF(COUNTIFS(C$5:C182,C182,E$5:E182,E182)=1,1,0))</f>
        <v/>
      </c>
      <c r="L182">
        <f>IF(C182="",0,IF(AND(B182="brand",E182="budget_probe",N(F182)&gt;=Inputs!$C$114,H182="Y"),1,0))</f>
        <v/>
      </c>
      <c r="M182">
        <f>IF(L182=1,IF(COUNTIFS(C$5:C182,C182,L$5:L182,1)=1,1,0),0)</f>
        <v/>
      </c>
      <c r="N182">
        <f>IF(C182="",0,IF(AND(B182="office",E182="budget_probe",N(F182)&gt;=Inputs!$C$129),1,0))</f>
        <v/>
      </c>
      <c r="O182">
        <f>IF(N182=1,IF(COUNTIFS(C$5:C182,C182,N$5:N182,1)=1,1,0),0)</f>
        <v/>
      </c>
      <c r="P182">
        <f>IF(C182="",0,IF(AND(B182="brand",E182="renewal_answer",N(F182)&gt;=Inputs!$C$125),1,0))</f>
        <v/>
      </c>
      <c r="Q182">
        <f>IF(AND(B182="office",E182="budget_probe",ISNUMBER(F182)),F182,"")</f>
        <v/>
      </c>
      <c r="R182">
        <f>IF(AND(B182="brand",E182="budget_probe",ISNUMBER(F182)),F182,"")</f>
        <v/>
      </c>
    </row>
    <row r="183">
      <c r="A183" s="91" t="n"/>
      <c r="B183" s="92" t="n"/>
      <c r="C183" s="92" t="n"/>
      <c r="D183" s="92" t="n"/>
      <c r="E183" s="92" t="n"/>
      <c r="F183" s="92" t="n"/>
      <c r="G183" s="92" t="n"/>
      <c r="H183" s="92" t="n"/>
      <c r="I183" s="92" t="n"/>
      <c r="K183">
        <f>IF(C183="","",IF(COUNTIFS(C$5:C183,C183,E$5:E183,E183)=1,1,0))</f>
        <v/>
      </c>
      <c r="L183">
        <f>IF(C183="",0,IF(AND(B183="brand",E183="budget_probe",N(F183)&gt;=Inputs!$C$114,H183="Y"),1,0))</f>
        <v/>
      </c>
      <c r="M183">
        <f>IF(L183=1,IF(COUNTIFS(C$5:C183,C183,L$5:L183,1)=1,1,0),0)</f>
        <v/>
      </c>
      <c r="N183">
        <f>IF(C183="",0,IF(AND(B183="office",E183="budget_probe",N(F183)&gt;=Inputs!$C$129),1,0))</f>
        <v/>
      </c>
      <c r="O183">
        <f>IF(N183=1,IF(COUNTIFS(C$5:C183,C183,N$5:N183,1)=1,1,0),0)</f>
        <v/>
      </c>
      <c r="P183">
        <f>IF(C183="",0,IF(AND(B183="brand",E183="renewal_answer",N(F183)&gt;=Inputs!$C$125),1,0))</f>
        <v/>
      </c>
      <c r="Q183">
        <f>IF(AND(B183="office",E183="budget_probe",ISNUMBER(F183)),F183,"")</f>
        <v/>
      </c>
      <c r="R183">
        <f>IF(AND(B183="brand",E183="budget_probe",ISNUMBER(F183)),F183,"")</f>
        <v/>
      </c>
    </row>
    <row r="184">
      <c r="A184" s="91" t="n"/>
      <c r="B184" s="92" t="n"/>
      <c r="C184" s="92" t="n"/>
      <c r="D184" s="92" t="n"/>
      <c r="E184" s="92" t="n"/>
      <c r="F184" s="92" t="n"/>
      <c r="G184" s="92" t="n"/>
      <c r="H184" s="92" t="n"/>
      <c r="I184" s="92" t="n"/>
      <c r="K184">
        <f>IF(C184="","",IF(COUNTIFS(C$5:C184,C184,E$5:E184,E184)=1,1,0))</f>
        <v/>
      </c>
      <c r="L184">
        <f>IF(C184="",0,IF(AND(B184="brand",E184="budget_probe",N(F184)&gt;=Inputs!$C$114,H184="Y"),1,0))</f>
        <v/>
      </c>
      <c r="M184">
        <f>IF(L184=1,IF(COUNTIFS(C$5:C184,C184,L$5:L184,1)=1,1,0),0)</f>
        <v/>
      </c>
      <c r="N184">
        <f>IF(C184="",0,IF(AND(B184="office",E184="budget_probe",N(F184)&gt;=Inputs!$C$129),1,0))</f>
        <v/>
      </c>
      <c r="O184">
        <f>IF(N184=1,IF(COUNTIFS(C$5:C184,C184,N$5:N184,1)=1,1,0),0)</f>
        <v/>
      </c>
      <c r="P184">
        <f>IF(C184="",0,IF(AND(B184="brand",E184="renewal_answer",N(F184)&gt;=Inputs!$C$125),1,0))</f>
        <v/>
      </c>
      <c r="Q184">
        <f>IF(AND(B184="office",E184="budget_probe",ISNUMBER(F184)),F184,"")</f>
        <v/>
      </c>
      <c r="R184">
        <f>IF(AND(B184="brand",E184="budget_probe",ISNUMBER(F184)),F184,"")</f>
        <v/>
      </c>
    </row>
    <row r="185">
      <c r="A185" s="91" t="n"/>
      <c r="B185" s="92" t="n"/>
      <c r="C185" s="92" t="n"/>
      <c r="D185" s="92" t="n"/>
      <c r="E185" s="92" t="n"/>
      <c r="F185" s="92" t="n"/>
      <c r="G185" s="92" t="n"/>
      <c r="H185" s="92" t="n"/>
      <c r="I185" s="92" t="n"/>
      <c r="K185">
        <f>IF(C185="","",IF(COUNTIFS(C$5:C185,C185,E$5:E185,E185)=1,1,0))</f>
        <v/>
      </c>
      <c r="L185">
        <f>IF(C185="",0,IF(AND(B185="brand",E185="budget_probe",N(F185)&gt;=Inputs!$C$114,H185="Y"),1,0))</f>
        <v/>
      </c>
      <c r="M185">
        <f>IF(L185=1,IF(COUNTIFS(C$5:C185,C185,L$5:L185,1)=1,1,0),0)</f>
        <v/>
      </c>
      <c r="N185">
        <f>IF(C185="",0,IF(AND(B185="office",E185="budget_probe",N(F185)&gt;=Inputs!$C$129),1,0))</f>
        <v/>
      </c>
      <c r="O185">
        <f>IF(N185=1,IF(COUNTIFS(C$5:C185,C185,N$5:N185,1)=1,1,0),0)</f>
        <v/>
      </c>
      <c r="P185">
        <f>IF(C185="",0,IF(AND(B185="brand",E185="renewal_answer",N(F185)&gt;=Inputs!$C$125),1,0))</f>
        <v/>
      </c>
      <c r="Q185">
        <f>IF(AND(B185="office",E185="budget_probe",ISNUMBER(F185)),F185,"")</f>
        <v/>
      </c>
      <c r="R185">
        <f>IF(AND(B185="brand",E185="budget_probe",ISNUMBER(F185)),F185,"")</f>
        <v/>
      </c>
    </row>
    <row r="186">
      <c r="A186" s="91" t="n"/>
      <c r="B186" s="92" t="n"/>
      <c r="C186" s="92" t="n"/>
      <c r="D186" s="92" t="n"/>
      <c r="E186" s="92" t="n"/>
      <c r="F186" s="92" t="n"/>
      <c r="G186" s="92" t="n"/>
      <c r="H186" s="92" t="n"/>
      <c r="I186" s="92" t="n"/>
      <c r="K186">
        <f>IF(C186="","",IF(COUNTIFS(C$5:C186,C186,E$5:E186,E186)=1,1,0))</f>
        <v/>
      </c>
      <c r="L186">
        <f>IF(C186="",0,IF(AND(B186="brand",E186="budget_probe",N(F186)&gt;=Inputs!$C$114,H186="Y"),1,0))</f>
        <v/>
      </c>
      <c r="M186">
        <f>IF(L186=1,IF(COUNTIFS(C$5:C186,C186,L$5:L186,1)=1,1,0),0)</f>
        <v/>
      </c>
      <c r="N186">
        <f>IF(C186="",0,IF(AND(B186="office",E186="budget_probe",N(F186)&gt;=Inputs!$C$129),1,0))</f>
        <v/>
      </c>
      <c r="O186">
        <f>IF(N186=1,IF(COUNTIFS(C$5:C186,C186,N$5:N186,1)=1,1,0),0)</f>
        <v/>
      </c>
      <c r="P186">
        <f>IF(C186="",0,IF(AND(B186="brand",E186="renewal_answer",N(F186)&gt;=Inputs!$C$125),1,0))</f>
        <v/>
      </c>
      <c r="Q186">
        <f>IF(AND(B186="office",E186="budget_probe",ISNUMBER(F186)),F186,"")</f>
        <v/>
      </c>
      <c r="R186">
        <f>IF(AND(B186="brand",E186="budget_probe",ISNUMBER(F186)),F186,"")</f>
        <v/>
      </c>
    </row>
    <row r="187">
      <c r="A187" s="91" t="n"/>
      <c r="B187" s="92" t="n"/>
      <c r="C187" s="92" t="n"/>
      <c r="D187" s="92" t="n"/>
      <c r="E187" s="92" t="n"/>
      <c r="F187" s="92" t="n"/>
      <c r="G187" s="92" t="n"/>
      <c r="H187" s="92" t="n"/>
      <c r="I187" s="92" t="n"/>
      <c r="K187">
        <f>IF(C187="","",IF(COUNTIFS(C$5:C187,C187,E$5:E187,E187)=1,1,0))</f>
        <v/>
      </c>
      <c r="L187">
        <f>IF(C187="",0,IF(AND(B187="brand",E187="budget_probe",N(F187)&gt;=Inputs!$C$114,H187="Y"),1,0))</f>
        <v/>
      </c>
      <c r="M187">
        <f>IF(L187=1,IF(COUNTIFS(C$5:C187,C187,L$5:L187,1)=1,1,0),0)</f>
        <v/>
      </c>
      <c r="N187">
        <f>IF(C187="",0,IF(AND(B187="office",E187="budget_probe",N(F187)&gt;=Inputs!$C$129),1,0))</f>
        <v/>
      </c>
      <c r="O187">
        <f>IF(N187=1,IF(COUNTIFS(C$5:C187,C187,N$5:N187,1)=1,1,0),0)</f>
        <v/>
      </c>
      <c r="P187">
        <f>IF(C187="",0,IF(AND(B187="brand",E187="renewal_answer",N(F187)&gt;=Inputs!$C$125),1,0))</f>
        <v/>
      </c>
      <c r="Q187">
        <f>IF(AND(B187="office",E187="budget_probe",ISNUMBER(F187)),F187,"")</f>
        <v/>
      </c>
      <c r="R187">
        <f>IF(AND(B187="brand",E187="budget_probe",ISNUMBER(F187)),F187,"")</f>
        <v/>
      </c>
    </row>
    <row r="188">
      <c r="A188" s="91" t="n"/>
      <c r="B188" s="92" t="n"/>
      <c r="C188" s="92" t="n"/>
      <c r="D188" s="92" t="n"/>
      <c r="E188" s="92" t="n"/>
      <c r="F188" s="92" t="n"/>
      <c r="G188" s="92" t="n"/>
      <c r="H188" s="92" t="n"/>
      <c r="I188" s="92" t="n"/>
      <c r="K188">
        <f>IF(C188="","",IF(COUNTIFS(C$5:C188,C188,E$5:E188,E188)=1,1,0))</f>
        <v/>
      </c>
      <c r="L188">
        <f>IF(C188="",0,IF(AND(B188="brand",E188="budget_probe",N(F188)&gt;=Inputs!$C$114,H188="Y"),1,0))</f>
        <v/>
      </c>
      <c r="M188">
        <f>IF(L188=1,IF(COUNTIFS(C$5:C188,C188,L$5:L188,1)=1,1,0),0)</f>
        <v/>
      </c>
      <c r="N188">
        <f>IF(C188="",0,IF(AND(B188="office",E188="budget_probe",N(F188)&gt;=Inputs!$C$129),1,0))</f>
        <v/>
      </c>
      <c r="O188">
        <f>IF(N188=1,IF(COUNTIFS(C$5:C188,C188,N$5:N188,1)=1,1,0),0)</f>
        <v/>
      </c>
      <c r="P188">
        <f>IF(C188="",0,IF(AND(B188="brand",E188="renewal_answer",N(F188)&gt;=Inputs!$C$125),1,0))</f>
        <v/>
      </c>
      <c r="Q188">
        <f>IF(AND(B188="office",E188="budget_probe",ISNUMBER(F188)),F188,"")</f>
        <v/>
      </c>
      <c r="R188">
        <f>IF(AND(B188="brand",E188="budget_probe",ISNUMBER(F188)),F188,"")</f>
        <v/>
      </c>
    </row>
    <row r="189">
      <c r="A189" s="91" t="n"/>
      <c r="B189" s="92" t="n"/>
      <c r="C189" s="92" t="n"/>
      <c r="D189" s="92" t="n"/>
      <c r="E189" s="92" t="n"/>
      <c r="F189" s="92" t="n"/>
      <c r="G189" s="92" t="n"/>
      <c r="H189" s="92" t="n"/>
      <c r="I189" s="92" t="n"/>
      <c r="K189">
        <f>IF(C189="","",IF(COUNTIFS(C$5:C189,C189,E$5:E189,E189)=1,1,0))</f>
        <v/>
      </c>
      <c r="L189">
        <f>IF(C189="",0,IF(AND(B189="brand",E189="budget_probe",N(F189)&gt;=Inputs!$C$114,H189="Y"),1,0))</f>
        <v/>
      </c>
      <c r="M189">
        <f>IF(L189=1,IF(COUNTIFS(C$5:C189,C189,L$5:L189,1)=1,1,0),0)</f>
        <v/>
      </c>
      <c r="N189">
        <f>IF(C189="",0,IF(AND(B189="office",E189="budget_probe",N(F189)&gt;=Inputs!$C$129),1,0))</f>
        <v/>
      </c>
      <c r="O189">
        <f>IF(N189=1,IF(COUNTIFS(C$5:C189,C189,N$5:N189,1)=1,1,0),0)</f>
        <v/>
      </c>
      <c r="P189">
        <f>IF(C189="",0,IF(AND(B189="brand",E189="renewal_answer",N(F189)&gt;=Inputs!$C$125),1,0))</f>
        <v/>
      </c>
      <c r="Q189">
        <f>IF(AND(B189="office",E189="budget_probe",ISNUMBER(F189)),F189,"")</f>
        <v/>
      </c>
      <c r="R189">
        <f>IF(AND(B189="brand",E189="budget_probe",ISNUMBER(F189)),F189,"")</f>
        <v/>
      </c>
    </row>
    <row r="190">
      <c r="A190" s="91" t="n"/>
      <c r="B190" s="92" t="n"/>
      <c r="C190" s="92" t="n"/>
      <c r="D190" s="92" t="n"/>
      <c r="E190" s="92" t="n"/>
      <c r="F190" s="92" t="n"/>
      <c r="G190" s="92" t="n"/>
      <c r="H190" s="92" t="n"/>
      <c r="I190" s="92" t="n"/>
      <c r="K190">
        <f>IF(C190="","",IF(COUNTIFS(C$5:C190,C190,E$5:E190,E190)=1,1,0))</f>
        <v/>
      </c>
      <c r="L190">
        <f>IF(C190="",0,IF(AND(B190="brand",E190="budget_probe",N(F190)&gt;=Inputs!$C$114,H190="Y"),1,0))</f>
        <v/>
      </c>
      <c r="M190">
        <f>IF(L190=1,IF(COUNTIFS(C$5:C190,C190,L$5:L190,1)=1,1,0),0)</f>
        <v/>
      </c>
      <c r="N190">
        <f>IF(C190="",0,IF(AND(B190="office",E190="budget_probe",N(F190)&gt;=Inputs!$C$129),1,0))</f>
        <v/>
      </c>
      <c r="O190">
        <f>IF(N190=1,IF(COUNTIFS(C$5:C190,C190,N$5:N190,1)=1,1,0),0)</f>
        <v/>
      </c>
      <c r="P190">
        <f>IF(C190="",0,IF(AND(B190="brand",E190="renewal_answer",N(F190)&gt;=Inputs!$C$125),1,0))</f>
        <v/>
      </c>
      <c r="Q190">
        <f>IF(AND(B190="office",E190="budget_probe",ISNUMBER(F190)),F190,"")</f>
        <v/>
      </c>
      <c r="R190">
        <f>IF(AND(B190="brand",E190="budget_probe",ISNUMBER(F190)),F190,"")</f>
        <v/>
      </c>
    </row>
    <row r="191">
      <c r="A191" s="91" t="n"/>
      <c r="B191" s="92" t="n"/>
      <c r="C191" s="92" t="n"/>
      <c r="D191" s="92" t="n"/>
      <c r="E191" s="92" t="n"/>
      <c r="F191" s="92" t="n"/>
      <c r="G191" s="92" t="n"/>
      <c r="H191" s="92" t="n"/>
      <c r="I191" s="92" t="n"/>
      <c r="K191">
        <f>IF(C191="","",IF(COUNTIFS(C$5:C191,C191,E$5:E191,E191)=1,1,0))</f>
        <v/>
      </c>
      <c r="L191">
        <f>IF(C191="",0,IF(AND(B191="brand",E191="budget_probe",N(F191)&gt;=Inputs!$C$114,H191="Y"),1,0))</f>
        <v/>
      </c>
      <c r="M191">
        <f>IF(L191=1,IF(COUNTIFS(C$5:C191,C191,L$5:L191,1)=1,1,0),0)</f>
        <v/>
      </c>
      <c r="N191">
        <f>IF(C191="",0,IF(AND(B191="office",E191="budget_probe",N(F191)&gt;=Inputs!$C$129),1,0))</f>
        <v/>
      </c>
      <c r="O191">
        <f>IF(N191=1,IF(COUNTIFS(C$5:C191,C191,N$5:N191,1)=1,1,0),0)</f>
        <v/>
      </c>
      <c r="P191">
        <f>IF(C191="",0,IF(AND(B191="brand",E191="renewal_answer",N(F191)&gt;=Inputs!$C$125),1,0))</f>
        <v/>
      </c>
      <c r="Q191">
        <f>IF(AND(B191="office",E191="budget_probe",ISNUMBER(F191)),F191,"")</f>
        <v/>
      </c>
      <c r="R191">
        <f>IF(AND(B191="brand",E191="budget_probe",ISNUMBER(F191)),F191,"")</f>
        <v/>
      </c>
    </row>
    <row r="192">
      <c r="A192" s="91" t="n"/>
      <c r="B192" s="92" t="n"/>
      <c r="C192" s="92" t="n"/>
      <c r="D192" s="92" t="n"/>
      <c r="E192" s="92" t="n"/>
      <c r="F192" s="92" t="n"/>
      <c r="G192" s="92" t="n"/>
      <c r="H192" s="92" t="n"/>
      <c r="I192" s="92" t="n"/>
      <c r="K192">
        <f>IF(C192="","",IF(COUNTIFS(C$5:C192,C192,E$5:E192,E192)=1,1,0))</f>
        <v/>
      </c>
      <c r="L192">
        <f>IF(C192="",0,IF(AND(B192="brand",E192="budget_probe",N(F192)&gt;=Inputs!$C$114,H192="Y"),1,0))</f>
        <v/>
      </c>
      <c r="M192">
        <f>IF(L192=1,IF(COUNTIFS(C$5:C192,C192,L$5:L192,1)=1,1,0),0)</f>
        <v/>
      </c>
      <c r="N192">
        <f>IF(C192="",0,IF(AND(B192="office",E192="budget_probe",N(F192)&gt;=Inputs!$C$129),1,0))</f>
        <v/>
      </c>
      <c r="O192">
        <f>IF(N192=1,IF(COUNTIFS(C$5:C192,C192,N$5:N192,1)=1,1,0),0)</f>
        <v/>
      </c>
      <c r="P192">
        <f>IF(C192="",0,IF(AND(B192="brand",E192="renewal_answer",N(F192)&gt;=Inputs!$C$125),1,0))</f>
        <v/>
      </c>
      <c r="Q192">
        <f>IF(AND(B192="office",E192="budget_probe",ISNUMBER(F192)),F192,"")</f>
        <v/>
      </c>
      <c r="R192">
        <f>IF(AND(B192="brand",E192="budget_probe",ISNUMBER(F192)),F192,"")</f>
        <v/>
      </c>
    </row>
    <row r="193">
      <c r="A193" s="91" t="n"/>
      <c r="B193" s="92" t="n"/>
      <c r="C193" s="92" t="n"/>
      <c r="D193" s="92" t="n"/>
      <c r="E193" s="92" t="n"/>
      <c r="F193" s="92" t="n"/>
      <c r="G193" s="92" t="n"/>
      <c r="H193" s="92" t="n"/>
      <c r="I193" s="92" t="n"/>
      <c r="K193">
        <f>IF(C193="","",IF(COUNTIFS(C$5:C193,C193,E$5:E193,E193)=1,1,0))</f>
        <v/>
      </c>
      <c r="L193">
        <f>IF(C193="",0,IF(AND(B193="brand",E193="budget_probe",N(F193)&gt;=Inputs!$C$114,H193="Y"),1,0))</f>
        <v/>
      </c>
      <c r="M193">
        <f>IF(L193=1,IF(COUNTIFS(C$5:C193,C193,L$5:L193,1)=1,1,0),0)</f>
        <v/>
      </c>
      <c r="N193">
        <f>IF(C193="",0,IF(AND(B193="office",E193="budget_probe",N(F193)&gt;=Inputs!$C$129),1,0))</f>
        <v/>
      </c>
      <c r="O193">
        <f>IF(N193=1,IF(COUNTIFS(C$5:C193,C193,N$5:N193,1)=1,1,0),0)</f>
        <v/>
      </c>
      <c r="P193">
        <f>IF(C193="",0,IF(AND(B193="brand",E193="renewal_answer",N(F193)&gt;=Inputs!$C$125),1,0))</f>
        <v/>
      </c>
      <c r="Q193">
        <f>IF(AND(B193="office",E193="budget_probe",ISNUMBER(F193)),F193,"")</f>
        <v/>
      </c>
      <c r="R193">
        <f>IF(AND(B193="brand",E193="budget_probe",ISNUMBER(F193)),F193,"")</f>
        <v/>
      </c>
    </row>
    <row r="194">
      <c r="A194" s="91" t="n"/>
      <c r="B194" s="92" t="n"/>
      <c r="C194" s="92" t="n"/>
      <c r="D194" s="92" t="n"/>
      <c r="E194" s="92" t="n"/>
      <c r="F194" s="92" t="n"/>
      <c r="G194" s="92" t="n"/>
      <c r="H194" s="92" t="n"/>
      <c r="I194" s="92" t="n"/>
      <c r="K194">
        <f>IF(C194="","",IF(COUNTIFS(C$5:C194,C194,E$5:E194,E194)=1,1,0))</f>
        <v/>
      </c>
      <c r="L194">
        <f>IF(C194="",0,IF(AND(B194="brand",E194="budget_probe",N(F194)&gt;=Inputs!$C$114,H194="Y"),1,0))</f>
        <v/>
      </c>
      <c r="M194">
        <f>IF(L194=1,IF(COUNTIFS(C$5:C194,C194,L$5:L194,1)=1,1,0),0)</f>
        <v/>
      </c>
      <c r="N194">
        <f>IF(C194="",0,IF(AND(B194="office",E194="budget_probe",N(F194)&gt;=Inputs!$C$129),1,0))</f>
        <v/>
      </c>
      <c r="O194">
        <f>IF(N194=1,IF(COUNTIFS(C$5:C194,C194,N$5:N194,1)=1,1,0),0)</f>
        <v/>
      </c>
      <c r="P194">
        <f>IF(C194="",0,IF(AND(B194="brand",E194="renewal_answer",N(F194)&gt;=Inputs!$C$125),1,0))</f>
        <v/>
      </c>
      <c r="Q194">
        <f>IF(AND(B194="office",E194="budget_probe",ISNUMBER(F194)),F194,"")</f>
        <v/>
      </c>
      <c r="R194">
        <f>IF(AND(B194="brand",E194="budget_probe",ISNUMBER(F194)),F194,"")</f>
        <v/>
      </c>
    </row>
    <row r="195">
      <c r="A195" s="91" t="n"/>
      <c r="B195" s="92" t="n"/>
      <c r="C195" s="92" t="n"/>
      <c r="D195" s="92" t="n"/>
      <c r="E195" s="92" t="n"/>
      <c r="F195" s="92" t="n"/>
      <c r="G195" s="92" t="n"/>
      <c r="H195" s="92" t="n"/>
      <c r="I195" s="92" t="n"/>
      <c r="K195">
        <f>IF(C195="","",IF(COUNTIFS(C$5:C195,C195,E$5:E195,E195)=1,1,0))</f>
        <v/>
      </c>
      <c r="L195">
        <f>IF(C195="",0,IF(AND(B195="brand",E195="budget_probe",N(F195)&gt;=Inputs!$C$114,H195="Y"),1,0))</f>
        <v/>
      </c>
      <c r="M195">
        <f>IF(L195=1,IF(COUNTIFS(C$5:C195,C195,L$5:L195,1)=1,1,0),0)</f>
        <v/>
      </c>
      <c r="N195">
        <f>IF(C195="",0,IF(AND(B195="office",E195="budget_probe",N(F195)&gt;=Inputs!$C$129),1,0))</f>
        <v/>
      </c>
      <c r="O195">
        <f>IF(N195=1,IF(COUNTIFS(C$5:C195,C195,N$5:N195,1)=1,1,0),0)</f>
        <v/>
      </c>
      <c r="P195">
        <f>IF(C195="",0,IF(AND(B195="brand",E195="renewal_answer",N(F195)&gt;=Inputs!$C$125),1,0))</f>
        <v/>
      </c>
      <c r="Q195">
        <f>IF(AND(B195="office",E195="budget_probe",ISNUMBER(F195)),F195,"")</f>
        <v/>
      </c>
      <c r="R195">
        <f>IF(AND(B195="brand",E195="budget_probe",ISNUMBER(F195)),F195,"")</f>
        <v/>
      </c>
    </row>
    <row r="196">
      <c r="A196" s="91" t="n"/>
      <c r="B196" s="92" t="n"/>
      <c r="C196" s="92" t="n"/>
      <c r="D196" s="92" t="n"/>
      <c r="E196" s="92" t="n"/>
      <c r="F196" s="92" t="n"/>
      <c r="G196" s="92" t="n"/>
      <c r="H196" s="92" t="n"/>
      <c r="I196" s="92" t="n"/>
      <c r="K196">
        <f>IF(C196="","",IF(COUNTIFS(C$5:C196,C196,E$5:E196,E196)=1,1,0))</f>
        <v/>
      </c>
      <c r="L196">
        <f>IF(C196="",0,IF(AND(B196="brand",E196="budget_probe",N(F196)&gt;=Inputs!$C$114,H196="Y"),1,0))</f>
        <v/>
      </c>
      <c r="M196">
        <f>IF(L196=1,IF(COUNTIFS(C$5:C196,C196,L$5:L196,1)=1,1,0),0)</f>
        <v/>
      </c>
      <c r="N196">
        <f>IF(C196="",0,IF(AND(B196="office",E196="budget_probe",N(F196)&gt;=Inputs!$C$129),1,0))</f>
        <v/>
      </c>
      <c r="O196">
        <f>IF(N196=1,IF(COUNTIFS(C$5:C196,C196,N$5:N196,1)=1,1,0),0)</f>
        <v/>
      </c>
      <c r="P196">
        <f>IF(C196="",0,IF(AND(B196="brand",E196="renewal_answer",N(F196)&gt;=Inputs!$C$125),1,0))</f>
        <v/>
      </c>
      <c r="Q196">
        <f>IF(AND(B196="office",E196="budget_probe",ISNUMBER(F196)),F196,"")</f>
        <v/>
      </c>
      <c r="R196">
        <f>IF(AND(B196="brand",E196="budget_probe",ISNUMBER(F196)),F196,"")</f>
        <v/>
      </c>
    </row>
    <row r="197">
      <c r="A197" s="91" t="n"/>
      <c r="B197" s="92" t="n"/>
      <c r="C197" s="92" t="n"/>
      <c r="D197" s="92" t="n"/>
      <c r="E197" s="92" t="n"/>
      <c r="F197" s="92" t="n"/>
      <c r="G197" s="92" t="n"/>
      <c r="H197" s="92" t="n"/>
      <c r="I197" s="92" t="n"/>
      <c r="K197">
        <f>IF(C197="","",IF(COUNTIFS(C$5:C197,C197,E$5:E197,E197)=1,1,0))</f>
        <v/>
      </c>
      <c r="L197">
        <f>IF(C197="",0,IF(AND(B197="brand",E197="budget_probe",N(F197)&gt;=Inputs!$C$114,H197="Y"),1,0))</f>
        <v/>
      </c>
      <c r="M197">
        <f>IF(L197=1,IF(COUNTIFS(C$5:C197,C197,L$5:L197,1)=1,1,0),0)</f>
        <v/>
      </c>
      <c r="N197">
        <f>IF(C197="",0,IF(AND(B197="office",E197="budget_probe",N(F197)&gt;=Inputs!$C$129),1,0))</f>
        <v/>
      </c>
      <c r="O197">
        <f>IF(N197=1,IF(COUNTIFS(C$5:C197,C197,N$5:N197,1)=1,1,0),0)</f>
        <v/>
      </c>
      <c r="P197">
        <f>IF(C197="",0,IF(AND(B197="brand",E197="renewal_answer",N(F197)&gt;=Inputs!$C$125),1,0))</f>
        <v/>
      </c>
      <c r="Q197">
        <f>IF(AND(B197="office",E197="budget_probe",ISNUMBER(F197)),F197,"")</f>
        <v/>
      </c>
      <c r="R197">
        <f>IF(AND(B197="brand",E197="budget_probe",ISNUMBER(F197)),F197,"")</f>
        <v/>
      </c>
    </row>
    <row r="198">
      <c r="A198" s="91" t="n"/>
      <c r="B198" s="92" t="n"/>
      <c r="C198" s="92" t="n"/>
      <c r="D198" s="92" t="n"/>
      <c r="E198" s="92" t="n"/>
      <c r="F198" s="92" t="n"/>
      <c r="G198" s="92" t="n"/>
      <c r="H198" s="92" t="n"/>
      <c r="I198" s="92" t="n"/>
      <c r="K198">
        <f>IF(C198="","",IF(COUNTIFS(C$5:C198,C198,E$5:E198,E198)=1,1,0))</f>
        <v/>
      </c>
      <c r="L198">
        <f>IF(C198="",0,IF(AND(B198="brand",E198="budget_probe",N(F198)&gt;=Inputs!$C$114,H198="Y"),1,0))</f>
        <v/>
      </c>
      <c r="M198">
        <f>IF(L198=1,IF(COUNTIFS(C$5:C198,C198,L$5:L198,1)=1,1,0),0)</f>
        <v/>
      </c>
      <c r="N198">
        <f>IF(C198="",0,IF(AND(B198="office",E198="budget_probe",N(F198)&gt;=Inputs!$C$129),1,0))</f>
        <v/>
      </c>
      <c r="O198">
        <f>IF(N198=1,IF(COUNTIFS(C$5:C198,C198,N$5:N198,1)=1,1,0),0)</f>
        <v/>
      </c>
      <c r="P198">
        <f>IF(C198="",0,IF(AND(B198="brand",E198="renewal_answer",N(F198)&gt;=Inputs!$C$125),1,0))</f>
        <v/>
      </c>
      <c r="Q198">
        <f>IF(AND(B198="office",E198="budget_probe",ISNUMBER(F198)),F198,"")</f>
        <v/>
      </c>
      <c r="R198">
        <f>IF(AND(B198="brand",E198="budget_probe",ISNUMBER(F198)),F198,"")</f>
        <v/>
      </c>
    </row>
    <row r="199">
      <c r="A199" s="91" t="n"/>
      <c r="B199" s="92" t="n"/>
      <c r="C199" s="92" t="n"/>
      <c r="D199" s="92" t="n"/>
      <c r="E199" s="92" t="n"/>
      <c r="F199" s="92" t="n"/>
      <c r="G199" s="92" t="n"/>
      <c r="H199" s="92" t="n"/>
      <c r="I199" s="92" t="n"/>
      <c r="K199">
        <f>IF(C199="","",IF(COUNTIFS(C$5:C199,C199,E$5:E199,E199)=1,1,0))</f>
        <v/>
      </c>
      <c r="L199">
        <f>IF(C199="",0,IF(AND(B199="brand",E199="budget_probe",N(F199)&gt;=Inputs!$C$114,H199="Y"),1,0))</f>
        <v/>
      </c>
      <c r="M199">
        <f>IF(L199=1,IF(COUNTIFS(C$5:C199,C199,L$5:L199,1)=1,1,0),0)</f>
        <v/>
      </c>
      <c r="N199">
        <f>IF(C199="",0,IF(AND(B199="office",E199="budget_probe",N(F199)&gt;=Inputs!$C$129),1,0))</f>
        <v/>
      </c>
      <c r="O199">
        <f>IF(N199=1,IF(COUNTIFS(C$5:C199,C199,N$5:N199,1)=1,1,0),0)</f>
        <v/>
      </c>
      <c r="P199">
        <f>IF(C199="",0,IF(AND(B199="brand",E199="renewal_answer",N(F199)&gt;=Inputs!$C$125),1,0))</f>
        <v/>
      </c>
      <c r="Q199">
        <f>IF(AND(B199="office",E199="budget_probe",ISNUMBER(F199)),F199,"")</f>
        <v/>
      </c>
      <c r="R199">
        <f>IF(AND(B199="brand",E199="budget_probe",ISNUMBER(F199)),F199,"")</f>
        <v/>
      </c>
    </row>
    <row r="200">
      <c r="A200" s="91" t="n"/>
      <c r="B200" s="92" t="n"/>
      <c r="C200" s="92" t="n"/>
      <c r="D200" s="92" t="n"/>
      <c r="E200" s="92" t="n"/>
      <c r="F200" s="92" t="n"/>
      <c r="G200" s="92" t="n"/>
      <c r="H200" s="92" t="n"/>
      <c r="I200" s="92" t="n"/>
      <c r="K200">
        <f>IF(C200="","",IF(COUNTIFS(C$5:C200,C200,E$5:E200,E200)=1,1,0))</f>
        <v/>
      </c>
      <c r="L200">
        <f>IF(C200="",0,IF(AND(B200="brand",E200="budget_probe",N(F200)&gt;=Inputs!$C$114,H200="Y"),1,0))</f>
        <v/>
      </c>
      <c r="M200">
        <f>IF(L200=1,IF(COUNTIFS(C$5:C200,C200,L$5:L200,1)=1,1,0),0)</f>
        <v/>
      </c>
      <c r="N200">
        <f>IF(C200="",0,IF(AND(B200="office",E200="budget_probe",N(F200)&gt;=Inputs!$C$129),1,0))</f>
        <v/>
      </c>
      <c r="O200">
        <f>IF(N200=1,IF(COUNTIFS(C$5:C200,C200,N$5:N200,1)=1,1,0),0)</f>
        <v/>
      </c>
      <c r="P200">
        <f>IF(C200="",0,IF(AND(B200="brand",E200="renewal_answer",N(F200)&gt;=Inputs!$C$125),1,0))</f>
        <v/>
      </c>
      <c r="Q200">
        <f>IF(AND(B200="office",E200="budget_probe",ISNUMBER(F200)),F200,"")</f>
        <v/>
      </c>
      <c r="R200">
        <f>IF(AND(B200="brand",E200="budget_probe",ISNUMBER(F200)),F200,"")</f>
        <v/>
      </c>
    </row>
    <row r="201">
      <c r="A201" s="91" t="n"/>
      <c r="B201" s="92" t="n"/>
      <c r="C201" s="92" t="n"/>
      <c r="D201" s="92" t="n"/>
      <c r="E201" s="92" t="n"/>
      <c r="F201" s="92" t="n"/>
      <c r="G201" s="92" t="n"/>
      <c r="H201" s="92" t="n"/>
      <c r="I201" s="92" t="n"/>
      <c r="K201">
        <f>IF(C201="","",IF(COUNTIFS(C$5:C201,C201,E$5:E201,E201)=1,1,0))</f>
        <v/>
      </c>
      <c r="L201">
        <f>IF(C201="",0,IF(AND(B201="brand",E201="budget_probe",N(F201)&gt;=Inputs!$C$114,H201="Y"),1,0))</f>
        <v/>
      </c>
      <c r="M201">
        <f>IF(L201=1,IF(COUNTIFS(C$5:C201,C201,L$5:L201,1)=1,1,0),0)</f>
        <v/>
      </c>
      <c r="N201">
        <f>IF(C201="",0,IF(AND(B201="office",E201="budget_probe",N(F201)&gt;=Inputs!$C$129),1,0))</f>
        <v/>
      </c>
      <c r="O201">
        <f>IF(N201=1,IF(COUNTIFS(C$5:C201,C201,N$5:N201,1)=1,1,0),0)</f>
        <v/>
      </c>
      <c r="P201">
        <f>IF(C201="",0,IF(AND(B201="brand",E201="renewal_answer",N(F201)&gt;=Inputs!$C$125),1,0))</f>
        <v/>
      </c>
      <c r="Q201">
        <f>IF(AND(B201="office",E201="budget_probe",ISNUMBER(F201)),F201,"")</f>
        <v/>
      </c>
      <c r="R201">
        <f>IF(AND(B201="brand",E201="budget_probe",ISNUMBER(F201)),F201,"")</f>
        <v/>
      </c>
    </row>
    <row r="202">
      <c r="A202" s="91" t="n"/>
      <c r="B202" s="92" t="n"/>
      <c r="C202" s="92" t="n"/>
      <c r="D202" s="92" t="n"/>
      <c r="E202" s="92" t="n"/>
      <c r="F202" s="92" t="n"/>
      <c r="G202" s="92" t="n"/>
      <c r="H202" s="92" t="n"/>
      <c r="I202" s="92" t="n"/>
      <c r="K202">
        <f>IF(C202="","",IF(COUNTIFS(C$5:C202,C202,E$5:E202,E202)=1,1,0))</f>
        <v/>
      </c>
      <c r="L202">
        <f>IF(C202="",0,IF(AND(B202="brand",E202="budget_probe",N(F202)&gt;=Inputs!$C$114,H202="Y"),1,0))</f>
        <v/>
      </c>
      <c r="M202">
        <f>IF(L202=1,IF(COUNTIFS(C$5:C202,C202,L$5:L202,1)=1,1,0),0)</f>
        <v/>
      </c>
      <c r="N202">
        <f>IF(C202="",0,IF(AND(B202="office",E202="budget_probe",N(F202)&gt;=Inputs!$C$129),1,0))</f>
        <v/>
      </c>
      <c r="O202">
        <f>IF(N202=1,IF(COUNTIFS(C$5:C202,C202,N$5:N202,1)=1,1,0),0)</f>
        <v/>
      </c>
      <c r="P202">
        <f>IF(C202="",0,IF(AND(B202="brand",E202="renewal_answer",N(F202)&gt;=Inputs!$C$125),1,0))</f>
        <v/>
      </c>
      <c r="Q202">
        <f>IF(AND(B202="office",E202="budget_probe",ISNUMBER(F202)),F202,"")</f>
        <v/>
      </c>
      <c r="R202">
        <f>IF(AND(B202="brand",E202="budget_probe",ISNUMBER(F202)),F202,"")</f>
        <v/>
      </c>
    </row>
    <row r="203">
      <c r="A203" s="91" t="n"/>
      <c r="B203" s="92" t="n"/>
      <c r="C203" s="92" t="n"/>
      <c r="D203" s="92" t="n"/>
      <c r="E203" s="92" t="n"/>
      <c r="F203" s="92" t="n"/>
      <c r="G203" s="92" t="n"/>
      <c r="H203" s="92" t="n"/>
      <c r="I203" s="92" t="n"/>
      <c r="K203">
        <f>IF(C203="","",IF(COUNTIFS(C$5:C203,C203,E$5:E203,E203)=1,1,0))</f>
        <v/>
      </c>
      <c r="L203">
        <f>IF(C203="",0,IF(AND(B203="brand",E203="budget_probe",N(F203)&gt;=Inputs!$C$114,H203="Y"),1,0))</f>
        <v/>
      </c>
      <c r="M203">
        <f>IF(L203=1,IF(COUNTIFS(C$5:C203,C203,L$5:L203,1)=1,1,0),0)</f>
        <v/>
      </c>
      <c r="N203">
        <f>IF(C203="",0,IF(AND(B203="office",E203="budget_probe",N(F203)&gt;=Inputs!$C$129),1,0))</f>
        <v/>
      </c>
      <c r="O203">
        <f>IF(N203=1,IF(COUNTIFS(C$5:C203,C203,N$5:N203,1)=1,1,0),0)</f>
        <v/>
      </c>
      <c r="P203">
        <f>IF(C203="",0,IF(AND(B203="brand",E203="renewal_answer",N(F203)&gt;=Inputs!$C$125),1,0))</f>
        <v/>
      </c>
      <c r="Q203">
        <f>IF(AND(B203="office",E203="budget_probe",ISNUMBER(F203)),F203,"")</f>
        <v/>
      </c>
      <c r="R203">
        <f>IF(AND(B203="brand",E203="budget_probe",ISNUMBER(F203)),F203,"")</f>
        <v/>
      </c>
    </row>
    <row r="204">
      <c r="A204" s="91" t="n"/>
      <c r="B204" s="92" t="n"/>
      <c r="C204" s="92" t="n"/>
      <c r="D204" s="92" t="n"/>
      <c r="E204" s="92" t="n"/>
      <c r="F204" s="92" t="n"/>
      <c r="G204" s="92" t="n"/>
      <c r="H204" s="92" t="n"/>
      <c r="I204" s="92" t="n"/>
      <c r="K204">
        <f>IF(C204="","",IF(COUNTIFS(C$5:C204,C204,E$5:E204,E204)=1,1,0))</f>
        <v/>
      </c>
      <c r="L204">
        <f>IF(C204="",0,IF(AND(B204="brand",E204="budget_probe",N(F204)&gt;=Inputs!$C$114,H204="Y"),1,0))</f>
        <v/>
      </c>
      <c r="M204">
        <f>IF(L204=1,IF(COUNTIFS(C$5:C204,C204,L$5:L204,1)=1,1,0),0)</f>
        <v/>
      </c>
      <c r="N204">
        <f>IF(C204="",0,IF(AND(B204="office",E204="budget_probe",N(F204)&gt;=Inputs!$C$129),1,0))</f>
        <v/>
      </c>
      <c r="O204">
        <f>IF(N204=1,IF(COUNTIFS(C$5:C204,C204,N$5:N204,1)=1,1,0),0)</f>
        <v/>
      </c>
      <c r="P204">
        <f>IF(C204="",0,IF(AND(B204="brand",E204="renewal_answer",N(F204)&gt;=Inputs!$C$125),1,0))</f>
        <v/>
      </c>
      <c r="Q204">
        <f>IF(AND(B204="office",E204="budget_probe",ISNUMBER(F204)),F204,"")</f>
        <v/>
      </c>
      <c r="R204">
        <f>IF(AND(B204="brand",E204="budget_probe",ISNUMBER(F204)),F204,"")</f>
        <v/>
      </c>
    </row>
    <row r="205">
      <c r="A205" s="91" t="n"/>
      <c r="B205" s="92" t="n"/>
      <c r="C205" s="92" t="n"/>
      <c r="D205" s="92" t="n"/>
      <c r="E205" s="92" t="n"/>
      <c r="F205" s="92" t="n"/>
      <c r="G205" s="92" t="n"/>
      <c r="H205" s="92" t="n"/>
      <c r="I205" s="92" t="n"/>
      <c r="K205">
        <f>IF(C205="","",IF(COUNTIFS(C$5:C205,C205,E$5:E205,E205)=1,1,0))</f>
        <v/>
      </c>
      <c r="L205">
        <f>IF(C205="",0,IF(AND(B205="brand",E205="budget_probe",N(F205)&gt;=Inputs!$C$114,H205="Y"),1,0))</f>
        <v/>
      </c>
      <c r="M205">
        <f>IF(L205=1,IF(COUNTIFS(C$5:C205,C205,L$5:L205,1)=1,1,0),0)</f>
        <v/>
      </c>
      <c r="N205">
        <f>IF(C205="",0,IF(AND(B205="office",E205="budget_probe",N(F205)&gt;=Inputs!$C$129),1,0))</f>
        <v/>
      </c>
      <c r="O205">
        <f>IF(N205=1,IF(COUNTIFS(C$5:C205,C205,N$5:N205,1)=1,1,0),0)</f>
        <v/>
      </c>
      <c r="P205">
        <f>IF(C205="",0,IF(AND(B205="brand",E205="renewal_answer",N(F205)&gt;=Inputs!$C$125),1,0))</f>
        <v/>
      </c>
      <c r="Q205">
        <f>IF(AND(B205="office",E205="budget_probe",ISNUMBER(F205)),F205,"")</f>
        <v/>
      </c>
      <c r="R205">
        <f>IF(AND(B205="brand",E205="budget_probe",ISNUMBER(F205)),F205,"")</f>
        <v/>
      </c>
    </row>
    <row r="206">
      <c r="A206" s="91" t="n"/>
      <c r="B206" s="92" t="n"/>
      <c r="C206" s="92" t="n"/>
      <c r="D206" s="92" t="n"/>
      <c r="E206" s="92" t="n"/>
      <c r="F206" s="92" t="n"/>
      <c r="G206" s="92" t="n"/>
      <c r="H206" s="92" t="n"/>
      <c r="I206" s="92" t="n"/>
      <c r="K206">
        <f>IF(C206="","",IF(COUNTIFS(C$5:C206,C206,E$5:E206,E206)=1,1,0))</f>
        <v/>
      </c>
      <c r="L206">
        <f>IF(C206="",0,IF(AND(B206="brand",E206="budget_probe",N(F206)&gt;=Inputs!$C$114,H206="Y"),1,0))</f>
        <v/>
      </c>
      <c r="M206">
        <f>IF(L206=1,IF(COUNTIFS(C$5:C206,C206,L$5:L206,1)=1,1,0),0)</f>
        <v/>
      </c>
      <c r="N206">
        <f>IF(C206="",0,IF(AND(B206="office",E206="budget_probe",N(F206)&gt;=Inputs!$C$129),1,0))</f>
        <v/>
      </c>
      <c r="O206">
        <f>IF(N206=1,IF(COUNTIFS(C$5:C206,C206,N$5:N206,1)=1,1,0),0)</f>
        <v/>
      </c>
      <c r="P206">
        <f>IF(C206="",0,IF(AND(B206="brand",E206="renewal_answer",N(F206)&gt;=Inputs!$C$125),1,0))</f>
        <v/>
      </c>
      <c r="Q206">
        <f>IF(AND(B206="office",E206="budget_probe",ISNUMBER(F206)),F206,"")</f>
        <v/>
      </c>
      <c r="R206">
        <f>IF(AND(B206="brand",E206="budget_probe",ISNUMBER(F206)),F206,"")</f>
        <v/>
      </c>
    </row>
    <row r="207">
      <c r="A207" s="91" t="n"/>
      <c r="B207" s="92" t="n"/>
      <c r="C207" s="92" t="n"/>
      <c r="D207" s="92" t="n"/>
      <c r="E207" s="92" t="n"/>
      <c r="F207" s="92" t="n"/>
      <c r="G207" s="92" t="n"/>
      <c r="H207" s="92" t="n"/>
      <c r="I207" s="92" t="n"/>
      <c r="K207">
        <f>IF(C207="","",IF(COUNTIFS(C$5:C207,C207,E$5:E207,E207)=1,1,0))</f>
        <v/>
      </c>
      <c r="L207">
        <f>IF(C207="",0,IF(AND(B207="brand",E207="budget_probe",N(F207)&gt;=Inputs!$C$114,H207="Y"),1,0))</f>
        <v/>
      </c>
      <c r="M207">
        <f>IF(L207=1,IF(COUNTIFS(C$5:C207,C207,L$5:L207,1)=1,1,0),0)</f>
        <v/>
      </c>
      <c r="N207">
        <f>IF(C207="",0,IF(AND(B207="office",E207="budget_probe",N(F207)&gt;=Inputs!$C$129),1,0))</f>
        <v/>
      </c>
      <c r="O207">
        <f>IF(N207=1,IF(COUNTIFS(C$5:C207,C207,N$5:N207,1)=1,1,0),0)</f>
        <v/>
      </c>
      <c r="P207">
        <f>IF(C207="",0,IF(AND(B207="brand",E207="renewal_answer",N(F207)&gt;=Inputs!$C$125),1,0))</f>
        <v/>
      </c>
      <c r="Q207">
        <f>IF(AND(B207="office",E207="budget_probe",ISNUMBER(F207)),F207,"")</f>
        <v/>
      </c>
      <c r="R207">
        <f>IF(AND(B207="brand",E207="budget_probe",ISNUMBER(F207)),F207,"")</f>
        <v/>
      </c>
    </row>
    <row r="208">
      <c r="A208" s="91" t="n"/>
      <c r="B208" s="92" t="n"/>
      <c r="C208" s="92" t="n"/>
      <c r="D208" s="92" t="n"/>
      <c r="E208" s="92" t="n"/>
      <c r="F208" s="92" t="n"/>
      <c r="G208" s="92" t="n"/>
      <c r="H208" s="92" t="n"/>
      <c r="I208" s="92" t="n"/>
      <c r="K208">
        <f>IF(C208="","",IF(COUNTIFS(C$5:C208,C208,E$5:E208,E208)=1,1,0))</f>
        <v/>
      </c>
      <c r="L208">
        <f>IF(C208="",0,IF(AND(B208="brand",E208="budget_probe",N(F208)&gt;=Inputs!$C$114,H208="Y"),1,0))</f>
        <v/>
      </c>
      <c r="M208">
        <f>IF(L208=1,IF(COUNTIFS(C$5:C208,C208,L$5:L208,1)=1,1,0),0)</f>
        <v/>
      </c>
      <c r="N208">
        <f>IF(C208="",0,IF(AND(B208="office",E208="budget_probe",N(F208)&gt;=Inputs!$C$129),1,0))</f>
        <v/>
      </c>
      <c r="O208">
        <f>IF(N208=1,IF(COUNTIFS(C$5:C208,C208,N$5:N208,1)=1,1,0),0)</f>
        <v/>
      </c>
      <c r="P208">
        <f>IF(C208="",0,IF(AND(B208="brand",E208="renewal_answer",N(F208)&gt;=Inputs!$C$125),1,0))</f>
        <v/>
      </c>
      <c r="Q208">
        <f>IF(AND(B208="office",E208="budget_probe",ISNUMBER(F208)),F208,"")</f>
        <v/>
      </c>
      <c r="R208">
        <f>IF(AND(B208="brand",E208="budget_probe",ISNUMBER(F208)),F208,"")</f>
        <v/>
      </c>
    </row>
    <row r="209">
      <c r="A209" s="91" t="n"/>
      <c r="B209" s="92" t="n"/>
      <c r="C209" s="92" t="n"/>
      <c r="D209" s="92" t="n"/>
      <c r="E209" s="92" t="n"/>
      <c r="F209" s="92" t="n"/>
      <c r="G209" s="92" t="n"/>
      <c r="H209" s="92" t="n"/>
      <c r="I209" s="92" t="n"/>
      <c r="K209">
        <f>IF(C209="","",IF(COUNTIFS(C$5:C209,C209,E$5:E209,E209)=1,1,0))</f>
        <v/>
      </c>
      <c r="L209">
        <f>IF(C209="",0,IF(AND(B209="brand",E209="budget_probe",N(F209)&gt;=Inputs!$C$114,H209="Y"),1,0))</f>
        <v/>
      </c>
      <c r="M209">
        <f>IF(L209=1,IF(COUNTIFS(C$5:C209,C209,L$5:L209,1)=1,1,0),0)</f>
        <v/>
      </c>
      <c r="N209">
        <f>IF(C209="",0,IF(AND(B209="office",E209="budget_probe",N(F209)&gt;=Inputs!$C$129),1,0))</f>
        <v/>
      </c>
      <c r="O209">
        <f>IF(N209=1,IF(COUNTIFS(C$5:C209,C209,N$5:N209,1)=1,1,0),0)</f>
        <v/>
      </c>
      <c r="P209">
        <f>IF(C209="",0,IF(AND(B209="brand",E209="renewal_answer",N(F209)&gt;=Inputs!$C$125),1,0))</f>
        <v/>
      </c>
      <c r="Q209">
        <f>IF(AND(B209="office",E209="budget_probe",ISNUMBER(F209)),F209,"")</f>
        <v/>
      </c>
      <c r="R209">
        <f>IF(AND(B209="brand",E209="budget_probe",ISNUMBER(F209)),F209,"")</f>
        <v/>
      </c>
    </row>
    <row r="210">
      <c r="A210" s="91" t="n"/>
      <c r="B210" s="92" t="n"/>
      <c r="C210" s="92" t="n"/>
      <c r="D210" s="92" t="n"/>
      <c r="E210" s="92" t="n"/>
      <c r="F210" s="92" t="n"/>
      <c r="G210" s="92" t="n"/>
      <c r="H210" s="92" t="n"/>
      <c r="I210" s="92" t="n"/>
      <c r="K210">
        <f>IF(C210="","",IF(COUNTIFS(C$5:C210,C210,E$5:E210,E210)=1,1,0))</f>
        <v/>
      </c>
      <c r="L210">
        <f>IF(C210="",0,IF(AND(B210="brand",E210="budget_probe",N(F210)&gt;=Inputs!$C$114,H210="Y"),1,0))</f>
        <v/>
      </c>
      <c r="M210">
        <f>IF(L210=1,IF(COUNTIFS(C$5:C210,C210,L$5:L210,1)=1,1,0),0)</f>
        <v/>
      </c>
      <c r="N210">
        <f>IF(C210="",0,IF(AND(B210="office",E210="budget_probe",N(F210)&gt;=Inputs!$C$129),1,0))</f>
        <v/>
      </c>
      <c r="O210">
        <f>IF(N210=1,IF(COUNTIFS(C$5:C210,C210,N$5:N210,1)=1,1,0),0)</f>
        <v/>
      </c>
      <c r="P210">
        <f>IF(C210="",0,IF(AND(B210="brand",E210="renewal_answer",N(F210)&gt;=Inputs!$C$125),1,0))</f>
        <v/>
      </c>
      <c r="Q210">
        <f>IF(AND(B210="office",E210="budget_probe",ISNUMBER(F210)),F210,"")</f>
        <v/>
      </c>
      <c r="R210">
        <f>IF(AND(B210="brand",E210="budget_probe",ISNUMBER(F210)),F210,"")</f>
        <v/>
      </c>
    </row>
    <row r="211">
      <c r="A211" s="91" t="n"/>
      <c r="B211" s="92" t="n"/>
      <c r="C211" s="92" t="n"/>
      <c r="D211" s="92" t="n"/>
      <c r="E211" s="92" t="n"/>
      <c r="F211" s="92" t="n"/>
      <c r="G211" s="92" t="n"/>
      <c r="H211" s="92" t="n"/>
      <c r="I211" s="92" t="n"/>
      <c r="K211">
        <f>IF(C211="","",IF(COUNTIFS(C$5:C211,C211,E$5:E211,E211)=1,1,0))</f>
        <v/>
      </c>
      <c r="L211">
        <f>IF(C211="",0,IF(AND(B211="brand",E211="budget_probe",N(F211)&gt;=Inputs!$C$114,H211="Y"),1,0))</f>
        <v/>
      </c>
      <c r="M211">
        <f>IF(L211=1,IF(COUNTIFS(C$5:C211,C211,L$5:L211,1)=1,1,0),0)</f>
        <v/>
      </c>
      <c r="N211">
        <f>IF(C211="",0,IF(AND(B211="office",E211="budget_probe",N(F211)&gt;=Inputs!$C$129),1,0))</f>
        <v/>
      </c>
      <c r="O211">
        <f>IF(N211=1,IF(COUNTIFS(C$5:C211,C211,N$5:N211,1)=1,1,0),0)</f>
        <v/>
      </c>
      <c r="P211">
        <f>IF(C211="",0,IF(AND(B211="brand",E211="renewal_answer",N(F211)&gt;=Inputs!$C$125),1,0))</f>
        <v/>
      </c>
      <c r="Q211">
        <f>IF(AND(B211="office",E211="budget_probe",ISNUMBER(F211)),F211,"")</f>
        <v/>
      </c>
      <c r="R211">
        <f>IF(AND(B211="brand",E211="budget_probe",ISNUMBER(F211)),F211,"")</f>
        <v/>
      </c>
    </row>
    <row r="212">
      <c r="A212" s="91" t="n"/>
      <c r="B212" s="92" t="n"/>
      <c r="C212" s="92" t="n"/>
      <c r="D212" s="92" t="n"/>
      <c r="E212" s="92" t="n"/>
      <c r="F212" s="92" t="n"/>
      <c r="G212" s="92" t="n"/>
      <c r="H212" s="92" t="n"/>
      <c r="I212" s="92" t="n"/>
      <c r="K212">
        <f>IF(C212="","",IF(COUNTIFS(C$5:C212,C212,E$5:E212,E212)=1,1,0))</f>
        <v/>
      </c>
      <c r="L212">
        <f>IF(C212="",0,IF(AND(B212="brand",E212="budget_probe",N(F212)&gt;=Inputs!$C$114,H212="Y"),1,0))</f>
        <v/>
      </c>
      <c r="M212">
        <f>IF(L212=1,IF(COUNTIFS(C$5:C212,C212,L$5:L212,1)=1,1,0),0)</f>
        <v/>
      </c>
      <c r="N212">
        <f>IF(C212="",0,IF(AND(B212="office",E212="budget_probe",N(F212)&gt;=Inputs!$C$129),1,0))</f>
        <v/>
      </c>
      <c r="O212">
        <f>IF(N212=1,IF(COUNTIFS(C$5:C212,C212,N$5:N212,1)=1,1,0),0)</f>
        <v/>
      </c>
      <c r="P212">
        <f>IF(C212="",0,IF(AND(B212="brand",E212="renewal_answer",N(F212)&gt;=Inputs!$C$125),1,0))</f>
        <v/>
      </c>
      <c r="Q212">
        <f>IF(AND(B212="office",E212="budget_probe",ISNUMBER(F212)),F212,"")</f>
        <v/>
      </c>
      <c r="R212">
        <f>IF(AND(B212="brand",E212="budget_probe",ISNUMBER(F212)),F212,"")</f>
        <v/>
      </c>
    </row>
    <row r="213">
      <c r="A213" s="91" t="n"/>
      <c r="B213" s="92" t="n"/>
      <c r="C213" s="92" t="n"/>
      <c r="D213" s="92" t="n"/>
      <c r="E213" s="92" t="n"/>
      <c r="F213" s="92" t="n"/>
      <c r="G213" s="92" t="n"/>
      <c r="H213" s="92" t="n"/>
      <c r="I213" s="92" t="n"/>
      <c r="K213">
        <f>IF(C213="","",IF(COUNTIFS(C$5:C213,C213,E$5:E213,E213)=1,1,0))</f>
        <v/>
      </c>
      <c r="L213">
        <f>IF(C213="",0,IF(AND(B213="brand",E213="budget_probe",N(F213)&gt;=Inputs!$C$114,H213="Y"),1,0))</f>
        <v/>
      </c>
      <c r="M213">
        <f>IF(L213=1,IF(COUNTIFS(C$5:C213,C213,L$5:L213,1)=1,1,0),0)</f>
        <v/>
      </c>
      <c r="N213">
        <f>IF(C213="",0,IF(AND(B213="office",E213="budget_probe",N(F213)&gt;=Inputs!$C$129),1,0))</f>
        <v/>
      </c>
      <c r="O213">
        <f>IF(N213=1,IF(COUNTIFS(C$5:C213,C213,N$5:N213,1)=1,1,0),0)</f>
        <v/>
      </c>
      <c r="P213">
        <f>IF(C213="",0,IF(AND(B213="brand",E213="renewal_answer",N(F213)&gt;=Inputs!$C$125),1,0))</f>
        <v/>
      </c>
      <c r="Q213">
        <f>IF(AND(B213="office",E213="budget_probe",ISNUMBER(F213)),F213,"")</f>
        <v/>
      </c>
      <c r="R213">
        <f>IF(AND(B213="brand",E213="budget_probe",ISNUMBER(F213)),F213,"")</f>
        <v/>
      </c>
    </row>
    <row r="214">
      <c r="A214" s="91" t="n"/>
      <c r="B214" s="92" t="n"/>
      <c r="C214" s="92" t="n"/>
      <c r="D214" s="92" t="n"/>
      <c r="E214" s="92" t="n"/>
      <c r="F214" s="92" t="n"/>
      <c r="G214" s="92" t="n"/>
      <c r="H214" s="92" t="n"/>
      <c r="I214" s="92" t="n"/>
      <c r="K214">
        <f>IF(C214="","",IF(COUNTIFS(C$5:C214,C214,E$5:E214,E214)=1,1,0))</f>
        <v/>
      </c>
      <c r="L214">
        <f>IF(C214="",0,IF(AND(B214="brand",E214="budget_probe",N(F214)&gt;=Inputs!$C$114,H214="Y"),1,0))</f>
        <v/>
      </c>
      <c r="M214">
        <f>IF(L214=1,IF(COUNTIFS(C$5:C214,C214,L$5:L214,1)=1,1,0),0)</f>
        <v/>
      </c>
      <c r="N214">
        <f>IF(C214="",0,IF(AND(B214="office",E214="budget_probe",N(F214)&gt;=Inputs!$C$129),1,0))</f>
        <v/>
      </c>
      <c r="O214">
        <f>IF(N214=1,IF(COUNTIFS(C$5:C214,C214,N$5:N214,1)=1,1,0),0)</f>
        <v/>
      </c>
      <c r="P214">
        <f>IF(C214="",0,IF(AND(B214="brand",E214="renewal_answer",N(F214)&gt;=Inputs!$C$125),1,0))</f>
        <v/>
      </c>
      <c r="Q214">
        <f>IF(AND(B214="office",E214="budget_probe",ISNUMBER(F214)),F214,"")</f>
        <v/>
      </c>
      <c r="R214">
        <f>IF(AND(B214="brand",E214="budget_probe",ISNUMBER(F214)),F214,"")</f>
        <v/>
      </c>
    </row>
    <row r="215">
      <c r="A215" s="91" t="n"/>
      <c r="B215" s="92" t="n"/>
      <c r="C215" s="92" t="n"/>
      <c r="D215" s="92" t="n"/>
      <c r="E215" s="92" t="n"/>
      <c r="F215" s="92" t="n"/>
      <c r="G215" s="92" t="n"/>
      <c r="H215" s="92" t="n"/>
      <c r="I215" s="92" t="n"/>
      <c r="K215">
        <f>IF(C215="","",IF(COUNTIFS(C$5:C215,C215,E$5:E215,E215)=1,1,0))</f>
        <v/>
      </c>
      <c r="L215">
        <f>IF(C215="",0,IF(AND(B215="brand",E215="budget_probe",N(F215)&gt;=Inputs!$C$114,H215="Y"),1,0))</f>
        <v/>
      </c>
      <c r="M215">
        <f>IF(L215=1,IF(COUNTIFS(C$5:C215,C215,L$5:L215,1)=1,1,0),0)</f>
        <v/>
      </c>
      <c r="N215">
        <f>IF(C215="",0,IF(AND(B215="office",E215="budget_probe",N(F215)&gt;=Inputs!$C$129),1,0))</f>
        <v/>
      </c>
      <c r="O215">
        <f>IF(N215=1,IF(COUNTIFS(C$5:C215,C215,N$5:N215,1)=1,1,0),0)</f>
        <v/>
      </c>
      <c r="P215">
        <f>IF(C215="",0,IF(AND(B215="brand",E215="renewal_answer",N(F215)&gt;=Inputs!$C$125),1,0))</f>
        <v/>
      </c>
      <c r="Q215">
        <f>IF(AND(B215="office",E215="budget_probe",ISNUMBER(F215)),F215,"")</f>
        <v/>
      </c>
      <c r="R215">
        <f>IF(AND(B215="brand",E215="budget_probe",ISNUMBER(F215)),F215,"")</f>
        <v/>
      </c>
    </row>
    <row r="216">
      <c r="A216" s="91" t="n"/>
      <c r="B216" s="92" t="n"/>
      <c r="C216" s="92" t="n"/>
      <c r="D216" s="92" t="n"/>
      <c r="E216" s="92" t="n"/>
      <c r="F216" s="92" t="n"/>
      <c r="G216" s="92" t="n"/>
      <c r="H216" s="92" t="n"/>
      <c r="I216" s="92" t="n"/>
      <c r="K216">
        <f>IF(C216="","",IF(COUNTIFS(C$5:C216,C216,E$5:E216,E216)=1,1,0))</f>
        <v/>
      </c>
      <c r="L216">
        <f>IF(C216="",0,IF(AND(B216="brand",E216="budget_probe",N(F216)&gt;=Inputs!$C$114,H216="Y"),1,0))</f>
        <v/>
      </c>
      <c r="M216">
        <f>IF(L216=1,IF(COUNTIFS(C$5:C216,C216,L$5:L216,1)=1,1,0),0)</f>
        <v/>
      </c>
      <c r="N216">
        <f>IF(C216="",0,IF(AND(B216="office",E216="budget_probe",N(F216)&gt;=Inputs!$C$129),1,0))</f>
        <v/>
      </c>
      <c r="O216">
        <f>IF(N216=1,IF(COUNTIFS(C$5:C216,C216,N$5:N216,1)=1,1,0),0)</f>
        <v/>
      </c>
      <c r="P216">
        <f>IF(C216="",0,IF(AND(B216="brand",E216="renewal_answer",N(F216)&gt;=Inputs!$C$125),1,0))</f>
        <v/>
      </c>
      <c r="Q216">
        <f>IF(AND(B216="office",E216="budget_probe",ISNUMBER(F216)),F216,"")</f>
        <v/>
      </c>
      <c r="R216">
        <f>IF(AND(B216="brand",E216="budget_probe",ISNUMBER(F216)),F216,"")</f>
        <v/>
      </c>
    </row>
    <row r="217">
      <c r="A217" s="91" t="n"/>
      <c r="B217" s="92" t="n"/>
      <c r="C217" s="92" t="n"/>
      <c r="D217" s="92" t="n"/>
      <c r="E217" s="92" t="n"/>
      <c r="F217" s="92" t="n"/>
      <c r="G217" s="92" t="n"/>
      <c r="H217" s="92" t="n"/>
      <c r="I217" s="92" t="n"/>
      <c r="K217">
        <f>IF(C217="","",IF(COUNTIFS(C$5:C217,C217,E$5:E217,E217)=1,1,0))</f>
        <v/>
      </c>
      <c r="L217">
        <f>IF(C217="",0,IF(AND(B217="brand",E217="budget_probe",N(F217)&gt;=Inputs!$C$114,H217="Y"),1,0))</f>
        <v/>
      </c>
      <c r="M217">
        <f>IF(L217=1,IF(COUNTIFS(C$5:C217,C217,L$5:L217,1)=1,1,0),0)</f>
        <v/>
      </c>
      <c r="N217">
        <f>IF(C217="",0,IF(AND(B217="office",E217="budget_probe",N(F217)&gt;=Inputs!$C$129),1,0))</f>
        <v/>
      </c>
      <c r="O217">
        <f>IF(N217=1,IF(COUNTIFS(C$5:C217,C217,N$5:N217,1)=1,1,0),0)</f>
        <v/>
      </c>
      <c r="P217">
        <f>IF(C217="",0,IF(AND(B217="brand",E217="renewal_answer",N(F217)&gt;=Inputs!$C$125),1,0))</f>
        <v/>
      </c>
      <c r="Q217">
        <f>IF(AND(B217="office",E217="budget_probe",ISNUMBER(F217)),F217,"")</f>
        <v/>
      </c>
      <c r="R217">
        <f>IF(AND(B217="brand",E217="budget_probe",ISNUMBER(F217)),F217,"")</f>
        <v/>
      </c>
    </row>
    <row r="218">
      <c r="A218" s="91" t="n"/>
      <c r="B218" s="92" t="n"/>
      <c r="C218" s="92" t="n"/>
      <c r="D218" s="92" t="n"/>
      <c r="E218" s="92" t="n"/>
      <c r="F218" s="92" t="n"/>
      <c r="G218" s="92" t="n"/>
      <c r="H218" s="92" t="n"/>
      <c r="I218" s="92" t="n"/>
      <c r="K218">
        <f>IF(C218="","",IF(COUNTIFS(C$5:C218,C218,E$5:E218,E218)=1,1,0))</f>
        <v/>
      </c>
      <c r="L218">
        <f>IF(C218="",0,IF(AND(B218="brand",E218="budget_probe",N(F218)&gt;=Inputs!$C$114,H218="Y"),1,0))</f>
        <v/>
      </c>
      <c r="M218">
        <f>IF(L218=1,IF(COUNTIFS(C$5:C218,C218,L$5:L218,1)=1,1,0),0)</f>
        <v/>
      </c>
      <c r="N218">
        <f>IF(C218="",0,IF(AND(B218="office",E218="budget_probe",N(F218)&gt;=Inputs!$C$129),1,0))</f>
        <v/>
      </c>
      <c r="O218">
        <f>IF(N218=1,IF(COUNTIFS(C$5:C218,C218,N$5:N218,1)=1,1,0),0)</f>
        <v/>
      </c>
      <c r="P218">
        <f>IF(C218="",0,IF(AND(B218="brand",E218="renewal_answer",N(F218)&gt;=Inputs!$C$125),1,0))</f>
        <v/>
      </c>
      <c r="Q218">
        <f>IF(AND(B218="office",E218="budget_probe",ISNUMBER(F218)),F218,"")</f>
        <v/>
      </c>
      <c r="R218">
        <f>IF(AND(B218="brand",E218="budget_probe",ISNUMBER(F218)),F218,"")</f>
        <v/>
      </c>
    </row>
    <row r="219">
      <c r="A219" s="91" t="n"/>
      <c r="B219" s="92" t="n"/>
      <c r="C219" s="92" t="n"/>
      <c r="D219" s="92" t="n"/>
      <c r="E219" s="92" t="n"/>
      <c r="F219" s="92" t="n"/>
      <c r="G219" s="92" t="n"/>
      <c r="H219" s="92" t="n"/>
      <c r="I219" s="92" t="n"/>
      <c r="K219">
        <f>IF(C219="","",IF(COUNTIFS(C$5:C219,C219,E$5:E219,E219)=1,1,0))</f>
        <v/>
      </c>
      <c r="L219">
        <f>IF(C219="",0,IF(AND(B219="brand",E219="budget_probe",N(F219)&gt;=Inputs!$C$114,H219="Y"),1,0))</f>
        <v/>
      </c>
      <c r="M219">
        <f>IF(L219=1,IF(COUNTIFS(C$5:C219,C219,L$5:L219,1)=1,1,0),0)</f>
        <v/>
      </c>
      <c r="N219">
        <f>IF(C219="",0,IF(AND(B219="office",E219="budget_probe",N(F219)&gt;=Inputs!$C$129),1,0))</f>
        <v/>
      </c>
      <c r="O219">
        <f>IF(N219=1,IF(COUNTIFS(C$5:C219,C219,N$5:N219,1)=1,1,0),0)</f>
        <v/>
      </c>
      <c r="P219">
        <f>IF(C219="",0,IF(AND(B219="brand",E219="renewal_answer",N(F219)&gt;=Inputs!$C$125),1,0))</f>
        <v/>
      </c>
      <c r="Q219">
        <f>IF(AND(B219="office",E219="budget_probe",ISNUMBER(F219)),F219,"")</f>
        <v/>
      </c>
      <c r="R219">
        <f>IF(AND(B219="brand",E219="budget_probe",ISNUMBER(F219)),F219,"")</f>
        <v/>
      </c>
    </row>
    <row r="220">
      <c r="A220" s="91" t="n"/>
      <c r="B220" s="92" t="n"/>
      <c r="C220" s="92" t="n"/>
      <c r="D220" s="92" t="n"/>
      <c r="E220" s="92" t="n"/>
      <c r="F220" s="92" t="n"/>
      <c r="G220" s="92" t="n"/>
      <c r="H220" s="92" t="n"/>
      <c r="I220" s="92" t="n"/>
      <c r="K220">
        <f>IF(C220="","",IF(COUNTIFS(C$5:C220,C220,E$5:E220,E220)=1,1,0))</f>
        <v/>
      </c>
      <c r="L220">
        <f>IF(C220="",0,IF(AND(B220="brand",E220="budget_probe",N(F220)&gt;=Inputs!$C$114,H220="Y"),1,0))</f>
        <v/>
      </c>
      <c r="M220">
        <f>IF(L220=1,IF(COUNTIFS(C$5:C220,C220,L$5:L220,1)=1,1,0),0)</f>
        <v/>
      </c>
      <c r="N220">
        <f>IF(C220="",0,IF(AND(B220="office",E220="budget_probe",N(F220)&gt;=Inputs!$C$129),1,0))</f>
        <v/>
      </c>
      <c r="O220">
        <f>IF(N220=1,IF(COUNTIFS(C$5:C220,C220,N$5:N220,1)=1,1,0),0)</f>
        <v/>
      </c>
      <c r="P220">
        <f>IF(C220="",0,IF(AND(B220="brand",E220="renewal_answer",N(F220)&gt;=Inputs!$C$125),1,0))</f>
        <v/>
      </c>
      <c r="Q220">
        <f>IF(AND(B220="office",E220="budget_probe",ISNUMBER(F220)),F220,"")</f>
        <v/>
      </c>
      <c r="R220">
        <f>IF(AND(B220="brand",E220="budget_probe",ISNUMBER(F220)),F220,"")</f>
        <v/>
      </c>
    </row>
    <row r="221">
      <c r="A221" s="91" t="n"/>
      <c r="B221" s="92" t="n"/>
      <c r="C221" s="92" t="n"/>
      <c r="D221" s="92" t="n"/>
      <c r="E221" s="92" t="n"/>
      <c r="F221" s="92" t="n"/>
      <c r="G221" s="92" t="n"/>
      <c r="H221" s="92" t="n"/>
      <c r="I221" s="92" t="n"/>
      <c r="K221">
        <f>IF(C221="","",IF(COUNTIFS(C$5:C221,C221,E$5:E221,E221)=1,1,0))</f>
        <v/>
      </c>
      <c r="L221">
        <f>IF(C221="",0,IF(AND(B221="brand",E221="budget_probe",N(F221)&gt;=Inputs!$C$114,H221="Y"),1,0))</f>
        <v/>
      </c>
      <c r="M221">
        <f>IF(L221=1,IF(COUNTIFS(C$5:C221,C221,L$5:L221,1)=1,1,0),0)</f>
        <v/>
      </c>
      <c r="N221">
        <f>IF(C221="",0,IF(AND(B221="office",E221="budget_probe",N(F221)&gt;=Inputs!$C$129),1,0))</f>
        <v/>
      </c>
      <c r="O221">
        <f>IF(N221=1,IF(COUNTIFS(C$5:C221,C221,N$5:N221,1)=1,1,0),0)</f>
        <v/>
      </c>
      <c r="P221">
        <f>IF(C221="",0,IF(AND(B221="brand",E221="renewal_answer",N(F221)&gt;=Inputs!$C$125),1,0))</f>
        <v/>
      </c>
      <c r="Q221">
        <f>IF(AND(B221="office",E221="budget_probe",ISNUMBER(F221)),F221,"")</f>
        <v/>
      </c>
      <c r="R221">
        <f>IF(AND(B221="brand",E221="budget_probe",ISNUMBER(F221)),F221,"")</f>
        <v/>
      </c>
    </row>
    <row r="222">
      <c r="A222" s="91" t="n"/>
      <c r="B222" s="92" t="n"/>
      <c r="C222" s="92" t="n"/>
      <c r="D222" s="92" t="n"/>
      <c r="E222" s="92" t="n"/>
      <c r="F222" s="92" t="n"/>
      <c r="G222" s="92" t="n"/>
      <c r="H222" s="92" t="n"/>
      <c r="I222" s="92" t="n"/>
      <c r="K222">
        <f>IF(C222="","",IF(COUNTIFS(C$5:C222,C222,E$5:E222,E222)=1,1,0))</f>
        <v/>
      </c>
      <c r="L222">
        <f>IF(C222="",0,IF(AND(B222="brand",E222="budget_probe",N(F222)&gt;=Inputs!$C$114,H222="Y"),1,0))</f>
        <v/>
      </c>
      <c r="M222">
        <f>IF(L222=1,IF(COUNTIFS(C$5:C222,C222,L$5:L222,1)=1,1,0),0)</f>
        <v/>
      </c>
      <c r="N222">
        <f>IF(C222="",0,IF(AND(B222="office",E222="budget_probe",N(F222)&gt;=Inputs!$C$129),1,0))</f>
        <v/>
      </c>
      <c r="O222">
        <f>IF(N222=1,IF(COUNTIFS(C$5:C222,C222,N$5:N222,1)=1,1,0),0)</f>
        <v/>
      </c>
      <c r="P222">
        <f>IF(C222="",0,IF(AND(B222="brand",E222="renewal_answer",N(F222)&gt;=Inputs!$C$125),1,0))</f>
        <v/>
      </c>
      <c r="Q222">
        <f>IF(AND(B222="office",E222="budget_probe",ISNUMBER(F222)),F222,"")</f>
        <v/>
      </c>
      <c r="R222">
        <f>IF(AND(B222="brand",E222="budget_probe",ISNUMBER(F222)),F222,"")</f>
        <v/>
      </c>
    </row>
    <row r="223">
      <c r="A223" s="91" t="n"/>
      <c r="B223" s="92" t="n"/>
      <c r="C223" s="92" t="n"/>
      <c r="D223" s="92" t="n"/>
      <c r="E223" s="92" t="n"/>
      <c r="F223" s="92" t="n"/>
      <c r="G223" s="92" t="n"/>
      <c r="H223" s="92" t="n"/>
      <c r="I223" s="92" t="n"/>
      <c r="K223">
        <f>IF(C223="","",IF(COUNTIFS(C$5:C223,C223,E$5:E223,E223)=1,1,0))</f>
        <v/>
      </c>
      <c r="L223">
        <f>IF(C223="",0,IF(AND(B223="brand",E223="budget_probe",N(F223)&gt;=Inputs!$C$114,H223="Y"),1,0))</f>
        <v/>
      </c>
      <c r="M223">
        <f>IF(L223=1,IF(COUNTIFS(C$5:C223,C223,L$5:L223,1)=1,1,0),0)</f>
        <v/>
      </c>
      <c r="N223">
        <f>IF(C223="",0,IF(AND(B223="office",E223="budget_probe",N(F223)&gt;=Inputs!$C$129),1,0))</f>
        <v/>
      </c>
      <c r="O223">
        <f>IF(N223=1,IF(COUNTIFS(C$5:C223,C223,N$5:N223,1)=1,1,0),0)</f>
        <v/>
      </c>
      <c r="P223">
        <f>IF(C223="",0,IF(AND(B223="brand",E223="renewal_answer",N(F223)&gt;=Inputs!$C$125),1,0))</f>
        <v/>
      </c>
      <c r="Q223">
        <f>IF(AND(B223="office",E223="budget_probe",ISNUMBER(F223)),F223,"")</f>
        <v/>
      </c>
      <c r="R223">
        <f>IF(AND(B223="brand",E223="budget_probe",ISNUMBER(F223)),F223,"")</f>
        <v/>
      </c>
    </row>
    <row r="224">
      <c r="A224" s="91" t="n"/>
      <c r="B224" s="92" t="n"/>
      <c r="C224" s="92" t="n"/>
      <c r="D224" s="92" t="n"/>
      <c r="E224" s="92" t="n"/>
      <c r="F224" s="92" t="n"/>
      <c r="G224" s="92" t="n"/>
      <c r="H224" s="92" t="n"/>
      <c r="I224" s="92" t="n"/>
      <c r="K224">
        <f>IF(C224="","",IF(COUNTIFS(C$5:C224,C224,E$5:E224,E224)=1,1,0))</f>
        <v/>
      </c>
      <c r="L224">
        <f>IF(C224="",0,IF(AND(B224="brand",E224="budget_probe",N(F224)&gt;=Inputs!$C$114,H224="Y"),1,0))</f>
        <v/>
      </c>
      <c r="M224">
        <f>IF(L224=1,IF(COUNTIFS(C$5:C224,C224,L$5:L224,1)=1,1,0),0)</f>
        <v/>
      </c>
      <c r="N224">
        <f>IF(C224="",0,IF(AND(B224="office",E224="budget_probe",N(F224)&gt;=Inputs!$C$129),1,0))</f>
        <v/>
      </c>
      <c r="O224">
        <f>IF(N224=1,IF(COUNTIFS(C$5:C224,C224,N$5:N224,1)=1,1,0),0)</f>
        <v/>
      </c>
      <c r="P224">
        <f>IF(C224="",0,IF(AND(B224="brand",E224="renewal_answer",N(F224)&gt;=Inputs!$C$125),1,0))</f>
        <v/>
      </c>
      <c r="Q224">
        <f>IF(AND(B224="office",E224="budget_probe",ISNUMBER(F224)),F224,"")</f>
        <v/>
      </c>
      <c r="R224">
        <f>IF(AND(B224="brand",E224="budget_probe",ISNUMBER(F224)),F224,"")</f>
        <v/>
      </c>
    </row>
    <row r="225">
      <c r="A225" s="91" t="n"/>
      <c r="B225" s="92" t="n"/>
      <c r="C225" s="92" t="n"/>
      <c r="D225" s="92" t="n"/>
      <c r="E225" s="92" t="n"/>
      <c r="F225" s="92" t="n"/>
      <c r="G225" s="92" t="n"/>
      <c r="H225" s="92" t="n"/>
      <c r="I225" s="92" t="n"/>
      <c r="K225">
        <f>IF(C225="","",IF(COUNTIFS(C$5:C225,C225,E$5:E225,E225)=1,1,0))</f>
        <v/>
      </c>
      <c r="L225">
        <f>IF(C225="",0,IF(AND(B225="brand",E225="budget_probe",N(F225)&gt;=Inputs!$C$114,H225="Y"),1,0))</f>
        <v/>
      </c>
      <c r="M225">
        <f>IF(L225=1,IF(COUNTIFS(C$5:C225,C225,L$5:L225,1)=1,1,0),0)</f>
        <v/>
      </c>
      <c r="N225">
        <f>IF(C225="",0,IF(AND(B225="office",E225="budget_probe",N(F225)&gt;=Inputs!$C$129),1,0))</f>
        <v/>
      </c>
      <c r="O225">
        <f>IF(N225=1,IF(COUNTIFS(C$5:C225,C225,N$5:N225,1)=1,1,0),0)</f>
        <v/>
      </c>
      <c r="P225">
        <f>IF(C225="",0,IF(AND(B225="brand",E225="renewal_answer",N(F225)&gt;=Inputs!$C$125),1,0))</f>
        <v/>
      </c>
      <c r="Q225">
        <f>IF(AND(B225="office",E225="budget_probe",ISNUMBER(F225)),F225,"")</f>
        <v/>
      </c>
      <c r="R225">
        <f>IF(AND(B225="brand",E225="budget_probe",ISNUMBER(F225)),F225,"")</f>
        <v/>
      </c>
    </row>
    <row r="226">
      <c r="A226" s="91" t="n"/>
      <c r="B226" s="92" t="n"/>
      <c r="C226" s="92" t="n"/>
      <c r="D226" s="92" t="n"/>
      <c r="E226" s="92" t="n"/>
      <c r="F226" s="92" t="n"/>
      <c r="G226" s="92" t="n"/>
      <c r="H226" s="92" t="n"/>
      <c r="I226" s="92" t="n"/>
      <c r="K226">
        <f>IF(C226="","",IF(COUNTIFS(C$5:C226,C226,E$5:E226,E226)=1,1,0))</f>
        <v/>
      </c>
      <c r="L226">
        <f>IF(C226="",0,IF(AND(B226="brand",E226="budget_probe",N(F226)&gt;=Inputs!$C$114,H226="Y"),1,0))</f>
        <v/>
      </c>
      <c r="M226">
        <f>IF(L226=1,IF(COUNTIFS(C$5:C226,C226,L$5:L226,1)=1,1,0),0)</f>
        <v/>
      </c>
      <c r="N226">
        <f>IF(C226="",0,IF(AND(B226="office",E226="budget_probe",N(F226)&gt;=Inputs!$C$129),1,0))</f>
        <v/>
      </c>
      <c r="O226">
        <f>IF(N226=1,IF(COUNTIFS(C$5:C226,C226,N$5:N226,1)=1,1,0),0)</f>
        <v/>
      </c>
      <c r="P226">
        <f>IF(C226="",0,IF(AND(B226="brand",E226="renewal_answer",N(F226)&gt;=Inputs!$C$125),1,0))</f>
        <v/>
      </c>
      <c r="Q226">
        <f>IF(AND(B226="office",E226="budget_probe",ISNUMBER(F226)),F226,"")</f>
        <v/>
      </c>
      <c r="R226">
        <f>IF(AND(B226="brand",E226="budget_probe",ISNUMBER(F226)),F226,"")</f>
        <v/>
      </c>
    </row>
    <row r="227">
      <c r="A227" s="91" t="n"/>
      <c r="B227" s="92" t="n"/>
      <c r="C227" s="92" t="n"/>
      <c r="D227" s="92" t="n"/>
      <c r="E227" s="92" t="n"/>
      <c r="F227" s="92" t="n"/>
      <c r="G227" s="92" t="n"/>
      <c r="H227" s="92" t="n"/>
      <c r="I227" s="92" t="n"/>
      <c r="K227">
        <f>IF(C227="","",IF(COUNTIFS(C$5:C227,C227,E$5:E227,E227)=1,1,0))</f>
        <v/>
      </c>
      <c r="L227">
        <f>IF(C227="",0,IF(AND(B227="brand",E227="budget_probe",N(F227)&gt;=Inputs!$C$114,H227="Y"),1,0))</f>
        <v/>
      </c>
      <c r="M227">
        <f>IF(L227=1,IF(COUNTIFS(C$5:C227,C227,L$5:L227,1)=1,1,0),0)</f>
        <v/>
      </c>
      <c r="N227">
        <f>IF(C227="",0,IF(AND(B227="office",E227="budget_probe",N(F227)&gt;=Inputs!$C$129),1,0))</f>
        <v/>
      </c>
      <c r="O227">
        <f>IF(N227=1,IF(COUNTIFS(C$5:C227,C227,N$5:N227,1)=1,1,0),0)</f>
        <v/>
      </c>
      <c r="P227">
        <f>IF(C227="",0,IF(AND(B227="brand",E227="renewal_answer",N(F227)&gt;=Inputs!$C$125),1,0))</f>
        <v/>
      </c>
      <c r="Q227">
        <f>IF(AND(B227="office",E227="budget_probe",ISNUMBER(F227)),F227,"")</f>
        <v/>
      </c>
      <c r="R227">
        <f>IF(AND(B227="brand",E227="budget_probe",ISNUMBER(F227)),F227,"")</f>
        <v/>
      </c>
    </row>
    <row r="228">
      <c r="A228" s="91" t="n"/>
      <c r="B228" s="92" t="n"/>
      <c r="C228" s="92" t="n"/>
      <c r="D228" s="92" t="n"/>
      <c r="E228" s="92" t="n"/>
      <c r="F228" s="92" t="n"/>
      <c r="G228" s="92" t="n"/>
      <c r="H228" s="92" t="n"/>
      <c r="I228" s="92" t="n"/>
      <c r="K228">
        <f>IF(C228="","",IF(COUNTIFS(C$5:C228,C228,E$5:E228,E228)=1,1,0))</f>
        <v/>
      </c>
      <c r="L228">
        <f>IF(C228="",0,IF(AND(B228="brand",E228="budget_probe",N(F228)&gt;=Inputs!$C$114,H228="Y"),1,0))</f>
        <v/>
      </c>
      <c r="M228">
        <f>IF(L228=1,IF(COUNTIFS(C$5:C228,C228,L$5:L228,1)=1,1,0),0)</f>
        <v/>
      </c>
      <c r="N228">
        <f>IF(C228="",0,IF(AND(B228="office",E228="budget_probe",N(F228)&gt;=Inputs!$C$129),1,0))</f>
        <v/>
      </c>
      <c r="O228">
        <f>IF(N228=1,IF(COUNTIFS(C$5:C228,C228,N$5:N228,1)=1,1,0),0)</f>
        <v/>
      </c>
      <c r="P228">
        <f>IF(C228="",0,IF(AND(B228="brand",E228="renewal_answer",N(F228)&gt;=Inputs!$C$125),1,0))</f>
        <v/>
      </c>
      <c r="Q228">
        <f>IF(AND(B228="office",E228="budget_probe",ISNUMBER(F228)),F228,"")</f>
        <v/>
      </c>
      <c r="R228">
        <f>IF(AND(B228="brand",E228="budget_probe",ISNUMBER(F228)),F228,"")</f>
        <v/>
      </c>
    </row>
    <row r="229">
      <c r="A229" s="91" t="n"/>
      <c r="B229" s="92" t="n"/>
      <c r="C229" s="92" t="n"/>
      <c r="D229" s="92" t="n"/>
      <c r="E229" s="92" t="n"/>
      <c r="F229" s="92" t="n"/>
      <c r="G229" s="92" t="n"/>
      <c r="H229" s="92" t="n"/>
      <c r="I229" s="92" t="n"/>
      <c r="K229">
        <f>IF(C229="","",IF(COUNTIFS(C$5:C229,C229,E$5:E229,E229)=1,1,0))</f>
        <v/>
      </c>
      <c r="L229">
        <f>IF(C229="",0,IF(AND(B229="brand",E229="budget_probe",N(F229)&gt;=Inputs!$C$114,H229="Y"),1,0))</f>
        <v/>
      </c>
      <c r="M229">
        <f>IF(L229=1,IF(COUNTIFS(C$5:C229,C229,L$5:L229,1)=1,1,0),0)</f>
        <v/>
      </c>
      <c r="N229">
        <f>IF(C229="",0,IF(AND(B229="office",E229="budget_probe",N(F229)&gt;=Inputs!$C$129),1,0))</f>
        <v/>
      </c>
      <c r="O229">
        <f>IF(N229=1,IF(COUNTIFS(C$5:C229,C229,N$5:N229,1)=1,1,0),0)</f>
        <v/>
      </c>
      <c r="P229">
        <f>IF(C229="",0,IF(AND(B229="brand",E229="renewal_answer",N(F229)&gt;=Inputs!$C$125),1,0))</f>
        <v/>
      </c>
      <c r="Q229">
        <f>IF(AND(B229="office",E229="budget_probe",ISNUMBER(F229)),F229,"")</f>
        <v/>
      </c>
      <c r="R229">
        <f>IF(AND(B229="brand",E229="budget_probe",ISNUMBER(F229)),F229,"")</f>
        <v/>
      </c>
    </row>
    <row r="230">
      <c r="A230" s="91" t="n"/>
      <c r="B230" s="92" t="n"/>
      <c r="C230" s="92" t="n"/>
      <c r="D230" s="92" t="n"/>
      <c r="E230" s="92" t="n"/>
      <c r="F230" s="92" t="n"/>
      <c r="G230" s="92" t="n"/>
      <c r="H230" s="92" t="n"/>
      <c r="I230" s="92" t="n"/>
      <c r="K230">
        <f>IF(C230="","",IF(COUNTIFS(C$5:C230,C230,E$5:E230,E230)=1,1,0))</f>
        <v/>
      </c>
      <c r="L230">
        <f>IF(C230="",0,IF(AND(B230="brand",E230="budget_probe",N(F230)&gt;=Inputs!$C$114,H230="Y"),1,0))</f>
        <v/>
      </c>
      <c r="M230">
        <f>IF(L230=1,IF(COUNTIFS(C$5:C230,C230,L$5:L230,1)=1,1,0),0)</f>
        <v/>
      </c>
      <c r="N230">
        <f>IF(C230="",0,IF(AND(B230="office",E230="budget_probe",N(F230)&gt;=Inputs!$C$129),1,0))</f>
        <v/>
      </c>
      <c r="O230">
        <f>IF(N230=1,IF(COUNTIFS(C$5:C230,C230,N$5:N230,1)=1,1,0),0)</f>
        <v/>
      </c>
      <c r="P230">
        <f>IF(C230="",0,IF(AND(B230="brand",E230="renewal_answer",N(F230)&gt;=Inputs!$C$125),1,0))</f>
        <v/>
      </c>
      <c r="Q230">
        <f>IF(AND(B230="office",E230="budget_probe",ISNUMBER(F230)),F230,"")</f>
        <v/>
      </c>
      <c r="R230">
        <f>IF(AND(B230="brand",E230="budget_probe",ISNUMBER(F230)),F230,"")</f>
        <v/>
      </c>
    </row>
    <row r="231">
      <c r="A231" s="91" t="n"/>
      <c r="B231" s="92" t="n"/>
      <c r="C231" s="92" t="n"/>
      <c r="D231" s="92" t="n"/>
      <c r="E231" s="92" t="n"/>
      <c r="F231" s="92" t="n"/>
      <c r="G231" s="92" t="n"/>
      <c r="H231" s="92" t="n"/>
      <c r="I231" s="92" t="n"/>
      <c r="K231">
        <f>IF(C231="","",IF(COUNTIFS(C$5:C231,C231,E$5:E231,E231)=1,1,0))</f>
        <v/>
      </c>
      <c r="L231">
        <f>IF(C231="",0,IF(AND(B231="brand",E231="budget_probe",N(F231)&gt;=Inputs!$C$114,H231="Y"),1,0))</f>
        <v/>
      </c>
      <c r="M231">
        <f>IF(L231=1,IF(COUNTIFS(C$5:C231,C231,L$5:L231,1)=1,1,0),0)</f>
        <v/>
      </c>
      <c r="N231">
        <f>IF(C231="",0,IF(AND(B231="office",E231="budget_probe",N(F231)&gt;=Inputs!$C$129),1,0))</f>
        <v/>
      </c>
      <c r="O231">
        <f>IF(N231=1,IF(COUNTIFS(C$5:C231,C231,N$5:N231,1)=1,1,0),0)</f>
        <v/>
      </c>
      <c r="P231">
        <f>IF(C231="",0,IF(AND(B231="brand",E231="renewal_answer",N(F231)&gt;=Inputs!$C$125),1,0))</f>
        <v/>
      </c>
      <c r="Q231">
        <f>IF(AND(B231="office",E231="budget_probe",ISNUMBER(F231)),F231,"")</f>
        <v/>
      </c>
      <c r="R231">
        <f>IF(AND(B231="brand",E231="budget_probe",ISNUMBER(F231)),F231,"")</f>
        <v/>
      </c>
    </row>
    <row r="232">
      <c r="A232" s="91" t="n"/>
      <c r="B232" s="92" t="n"/>
      <c r="C232" s="92" t="n"/>
      <c r="D232" s="92" t="n"/>
      <c r="E232" s="92" t="n"/>
      <c r="F232" s="92" t="n"/>
      <c r="G232" s="92" t="n"/>
      <c r="H232" s="92" t="n"/>
      <c r="I232" s="92" t="n"/>
      <c r="K232">
        <f>IF(C232="","",IF(COUNTIFS(C$5:C232,C232,E$5:E232,E232)=1,1,0))</f>
        <v/>
      </c>
      <c r="L232">
        <f>IF(C232="",0,IF(AND(B232="brand",E232="budget_probe",N(F232)&gt;=Inputs!$C$114,H232="Y"),1,0))</f>
        <v/>
      </c>
      <c r="M232">
        <f>IF(L232=1,IF(COUNTIFS(C$5:C232,C232,L$5:L232,1)=1,1,0),0)</f>
        <v/>
      </c>
      <c r="N232">
        <f>IF(C232="",0,IF(AND(B232="office",E232="budget_probe",N(F232)&gt;=Inputs!$C$129),1,0))</f>
        <v/>
      </c>
      <c r="O232">
        <f>IF(N232=1,IF(COUNTIFS(C$5:C232,C232,N$5:N232,1)=1,1,0),0)</f>
        <v/>
      </c>
      <c r="P232">
        <f>IF(C232="",0,IF(AND(B232="brand",E232="renewal_answer",N(F232)&gt;=Inputs!$C$125),1,0))</f>
        <v/>
      </c>
      <c r="Q232">
        <f>IF(AND(B232="office",E232="budget_probe",ISNUMBER(F232)),F232,"")</f>
        <v/>
      </c>
      <c r="R232">
        <f>IF(AND(B232="brand",E232="budget_probe",ISNUMBER(F232)),F232,"")</f>
        <v/>
      </c>
    </row>
    <row r="233">
      <c r="A233" s="91" t="n"/>
      <c r="B233" s="92" t="n"/>
      <c r="C233" s="92" t="n"/>
      <c r="D233" s="92" t="n"/>
      <c r="E233" s="92" t="n"/>
      <c r="F233" s="92" t="n"/>
      <c r="G233" s="92" t="n"/>
      <c r="H233" s="92" t="n"/>
      <c r="I233" s="92" t="n"/>
      <c r="K233">
        <f>IF(C233="","",IF(COUNTIFS(C$5:C233,C233,E$5:E233,E233)=1,1,0))</f>
        <v/>
      </c>
      <c r="L233">
        <f>IF(C233="",0,IF(AND(B233="brand",E233="budget_probe",N(F233)&gt;=Inputs!$C$114,H233="Y"),1,0))</f>
        <v/>
      </c>
      <c r="M233">
        <f>IF(L233=1,IF(COUNTIFS(C$5:C233,C233,L$5:L233,1)=1,1,0),0)</f>
        <v/>
      </c>
      <c r="N233">
        <f>IF(C233="",0,IF(AND(B233="office",E233="budget_probe",N(F233)&gt;=Inputs!$C$129),1,0))</f>
        <v/>
      </c>
      <c r="O233">
        <f>IF(N233=1,IF(COUNTIFS(C$5:C233,C233,N$5:N233,1)=1,1,0),0)</f>
        <v/>
      </c>
      <c r="P233">
        <f>IF(C233="",0,IF(AND(B233="brand",E233="renewal_answer",N(F233)&gt;=Inputs!$C$125),1,0))</f>
        <v/>
      </c>
      <c r="Q233">
        <f>IF(AND(B233="office",E233="budget_probe",ISNUMBER(F233)),F233,"")</f>
        <v/>
      </c>
      <c r="R233">
        <f>IF(AND(B233="brand",E233="budget_probe",ISNUMBER(F233)),F233,"")</f>
        <v/>
      </c>
    </row>
    <row r="234">
      <c r="A234" s="91" t="n"/>
      <c r="B234" s="92" t="n"/>
      <c r="C234" s="92" t="n"/>
      <c r="D234" s="92" t="n"/>
      <c r="E234" s="92" t="n"/>
      <c r="F234" s="92" t="n"/>
      <c r="G234" s="92" t="n"/>
      <c r="H234" s="92" t="n"/>
      <c r="I234" s="92" t="n"/>
      <c r="K234">
        <f>IF(C234="","",IF(COUNTIFS(C$5:C234,C234,E$5:E234,E234)=1,1,0))</f>
        <v/>
      </c>
      <c r="L234">
        <f>IF(C234="",0,IF(AND(B234="brand",E234="budget_probe",N(F234)&gt;=Inputs!$C$114,H234="Y"),1,0))</f>
        <v/>
      </c>
      <c r="M234">
        <f>IF(L234=1,IF(COUNTIFS(C$5:C234,C234,L$5:L234,1)=1,1,0),0)</f>
        <v/>
      </c>
      <c r="N234">
        <f>IF(C234="",0,IF(AND(B234="office",E234="budget_probe",N(F234)&gt;=Inputs!$C$129),1,0))</f>
        <v/>
      </c>
      <c r="O234">
        <f>IF(N234=1,IF(COUNTIFS(C$5:C234,C234,N$5:N234,1)=1,1,0),0)</f>
        <v/>
      </c>
      <c r="P234">
        <f>IF(C234="",0,IF(AND(B234="brand",E234="renewal_answer",N(F234)&gt;=Inputs!$C$125),1,0))</f>
        <v/>
      </c>
      <c r="Q234">
        <f>IF(AND(B234="office",E234="budget_probe",ISNUMBER(F234)),F234,"")</f>
        <v/>
      </c>
      <c r="R234">
        <f>IF(AND(B234="brand",E234="budget_probe",ISNUMBER(F234)),F234,"")</f>
        <v/>
      </c>
    </row>
    <row r="235">
      <c r="A235" s="91" t="n"/>
      <c r="B235" s="92" t="n"/>
      <c r="C235" s="92" t="n"/>
      <c r="D235" s="92" t="n"/>
      <c r="E235" s="92" t="n"/>
      <c r="F235" s="92" t="n"/>
      <c r="G235" s="92" t="n"/>
      <c r="H235" s="92" t="n"/>
      <c r="I235" s="92" t="n"/>
      <c r="K235">
        <f>IF(C235="","",IF(COUNTIFS(C$5:C235,C235,E$5:E235,E235)=1,1,0))</f>
        <v/>
      </c>
      <c r="L235">
        <f>IF(C235="",0,IF(AND(B235="brand",E235="budget_probe",N(F235)&gt;=Inputs!$C$114,H235="Y"),1,0))</f>
        <v/>
      </c>
      <c r="M235">
        <f>IF(L235=1,IF(COUNTIFS(C$5:C235,C235,L$5:L235,1)=1,1,0),0)</f>
        <v/>
      </c>
      <c r="N235">
        <f>IF(C235="",0,IF(AND(B235="office",E235="budget_probe",N(F235)&gt;=Inputs!$C$129),1,0))</f>
        <v/>
      </c>
      <c r="O235">
        <f>IF(N235=1,IF(COUNTIFS(C$5:C235,C235,N$5:N235,1)=1,1,0),0)</f>
        <v/>
      </c>
      <c r="P235">
        <f>IF(C235="",0,IF(AND(B235="brand",E235="renewal_answer",N(F235)&gt;=Inputs!$C$125),1,0))</f>
        <v/>
      </c>
      <c r="Q235">
        <f>IF(AND(B235="office",E235="budget_probe",ISNUMBER(F235)),F235,"")</f>
        <v/>
      </c>
      <c r="R235">
        <f>IF(AND(B235="brand",E235="budget_probe",ISNUMBER(F235)),F235,"")</f>
        <v/>
      </c>
    </row>
    <row r="236">
      <c r="A236" s="91" t="n"/>
      <c r="B236" s="92" t="n"/>
      <c r="C236" s="92" t="n"/>
      <c r="D236" s="92" t="n"/>
      <c r="E236" s="92" t="n"/>
      <c r="F236" s="92" t="n"/>
      <c r="G236" s="92" t="n"/>
      <c r="H236" s="92" t="n"/>
      <c r="I236" s="92" t="n"/>
      <c r="K236">
        <f>IF(C236="","",IF(COUNTIFS(C$5:C236,C236,E$5:E236,E236)=1,1,0))</f>
        <v/>
      </c>
      <c r="L236">
        <f>IF(C236="",0,IF(AND(B236="brand",E236="budget_probe",N(F236)&gt;=Inputs!$C$114,H236="Y"),1,0))</f>
        <v/>
      </c>
      <c r="M236">
        <f>IF(L236=1,IF(COUNTIFS(C$5:C236,C236,L$5:L236,1)=1,1,0),0)</f>
        <v/>
      </c>
      <c r="N236">
        <f>IF(C236="",0,IF(AND(B236="office",E236="budget_probe",N(F236)&gt;=Inputs!$C$129),1,0))</f>
        <v/>
      </c>
      <c r="O236">
        <f>IF(N236=1,IF(COUNTIFS(C$5:C236,C236,N$5:N236,1)=1,1,0),0)</f>
        <v/>
      </c>
      <c r="P236">
        <f>IF(C236="",0,IF(AND(B236="brand",E236="renewal_answer",N(F236)&gt;=Inputs!$C$125),1,0))</f>
        <v/>
      </c>
      <c r="Q236">
        <f>IF(AND(B236="office",E236="budget_probe",ISNUMBER(F236)),F236,"")</f>
        <v/>
      </c>
      <c r="R236">
        <f>IF(AND(B236="brand",E236="budget_probe",ISNUMBER(F236)),F236,"")</f>
        <v/>
      </c>
    </row>
    <row r="237">
      <c r="A237" s="91" t="n"/>
      <c r="B237" s="92" t="n"/>
      <c r="C237" s="92" t="n"/>
      <c r="D237" s="92" t="n"/>
      <c r="E237" s="92" t="n"/>
      <c r="F237" s="92" t="n"/>
      <c r="G237" s="92" t="n"/>
      <c r="H237" s="92" t="n"/>
      <c r="I237" s="92" t="n"/>
      <c r="K237">
        <f>IF(C237="","",IF(COUNTIFS(C$5:C237,C237,E$5:E237,E237)=1,1,0))</f>
        <v/>
      </c>
      <c r="L237">
        <f>IF(C237="",0,IF(AND(B237="brand",E237="budget_probe",N(F237)&gt;=Inputs!$C$114,H237="Y"),1,0))</f>
        <v/>
      </c>
      <c r="M237">
        <f>IF(L237=1,IF(COUNTIFS(C$5:C237,C237,L$5:L237,1)=1,1,0),0)</f>
        <v/>
      </c>
      <c r="N237">
        <f>IF(C237="",0,IF(AND(B237="office",E237="budget_probe",N(F237)&gt;=Inputs!$C$129),1,0))</f>
        <v/>
      </c>
      <c r="O237">
        <f>IF(N237=1,IF(COUNTIFS(C$5:C237,C237,N$5:N237,1)=1,1,0),0)</f>
        <v/>
      </c>
      <c r="P237">
        <f>IF(C237="",0,IF(AND(B237="brand",E237="renewal_answer",N(F237)&gt;=Inputs!$C$125),1,0))</f>
        <v/>
      </c>
      <c r="Q237">
        <f>IF(AND(B237="office",E237="budget_probe",ISNUMBER(F237)),F237,"")</f>
        <v/>
      </c>
      <c r="R237">
        <f>IF(AND(B237="brand",E237="budget_probe",ISNUMBER(F237)),F237,"")</f>
        <v/>
      </c>
    </row>
    <row r="238">
      <c r="A238" s="91" t="n"/>
      <c r="B238" s="92" t="n"/>
      <c r="C238" s="92" t="n"/>
      <c r="D238" s="92" t="n"/>
      <c r="E238" s="92" t="n"/>
      <c r="F238" s="92" t="n"/>
      <c r="G238" s="92" t="n"/>
      <c r="H238" s="92" t="n"/>
      <c r="I238" s="92" t="n"/>
      <c r="K238">
        <f>IF(C238="","",IF(COUNTIFS(C$5:C238,C238,E$5:E238,E238)=1,1,0))</f>
        <v/>
      </c>
      <c r="L238">
        <f>IF(C238="",0,IF(AND(B238="brand",E238="budget_probe",N(F238)&gt;=Inputs!$C$114,H238="Y"),1,0))</f>
        <v/>
      </c>
      <c r="M238">
        <f>IF(L238=1,IF(COUNTIFS(C$5:C238,C238,L$5:L238,1)=1,1,0),0)</f>
        <v/>
      </c>
      <c r="N238">
        <f>IF(C238="",0,IF(AND(B238="office",E238="budget_probe",N(F238)&gt;=Inputs!$C$129),1,0))</f>
        <v/>
      </c>
      <c r="O238">
        <f>IF(N238=1,IF(COUNTIFS(C$5:C238,C238,N$5:N238,1)=1,1,0),0)</f>
        <v/>
      </c>
      <c r="P238">
        <f>IF(C238="",0,IF(AND(B238="brand",E238="renewal_answer",N(F238)&gt;=Inputs!$C$125),1,0))</f>
        <v/>
      </c>
      <c r="Q238">
        <f>IF(AND(B238="office",E238="budget_probe",ISNUMBER(F238)),F238,"")</f>
        <v/>
      </c>
      <c r="R238">
        <f>IF(AND(B238="brand",E238="budget_probe",ISNUMBER(F238)),F238,"")</f>
        <v/>
      </c>
    </row>
    <row r="239">
      <c r="A239" s="91" t="n"/>
      <c r="B239" s="92" t="n"/>
      <c r="C239" s="92" t="n"/>
      <c r="D239" s="92" t="n"/>
      <c r="E239" s="92" t="n"/>
      <c r="F239" s="92" t="n"/>
      <c r="G239" s="92" t="n"/>
      <c r="H239" s="92" t="n"/>
      <c r="I239" s="92" t="n"/>
      <c r="K239">
        <f>IF(C239="","",IF(COUNTIFS(C$5:C239,C239,E$5:E239,E239)=1,1,0))</f>
        <v/>
      </c>
      <c r="L239">
        <f>IF(C239="",0,IF(AND(B239="brand",E239="budget_probe",N(F239)&gt;=Inputs!$C$114,H239="Y"),1,0))</f>
        <v/>
      </c>
      <c r="M239">
        <f>IF(L239=1,IF(COUNTIFS(C$5:C239,C239,L$5:L239,1)=1,1,0),0)</f>
        <v/>
      </c>
      <c r="N239">
        <f>IF(C239="",0,IF(AND(B239="office",E239="budget_probe",N(F239)&gt;=Inputs!$C$129),1,0))</f>
        <v/>
      </c>
      <c r="O239">
        <f>IF(N239=1,IF(COUNTIFS(C$5:C239,C239,N$5:N239,1)=1,1,0),0)</f>
        <v/>
      </c>
      <c r="P239">
        <f>IF(C239="",0,IF(AND(B239="brand",E239="renewal_answer",N(F239)&gt;=Inputs!$C$125),1,0))</f>
        <v/>
      </c>
      <c r="Q239">
        <f>IF(AND(B239="office",E239="budget_probe",ISNUMBER(F239)),F239,"")</f>
        <v/>
      </c>
      <c r="R239">
        <f>IF(AND(B239="brand",E239="budget_probe",ISNUMBER(F239)),F239,"")</f>
        <v/>
      </c>
    </row>
    <row r="240">
      <c r="A240" s="91" t="n"/>
      <c r="B240" s="92" t="n"/>
      <c r="C240" s="92" t="n"/>
      <c r="D240" s="92" t="n"/>
      <c r="E240" s="92" t="n"/>
      <c r="F240" s="92" t="n"/>
      <c r="G240" s="92" t="n"/>
      <c r="H240" s="92" t="n"/>
      <c r="I240" s="92" t="n"/>
      <c r="K240">
        <f>IF(C240="","",IF(COUNTIFS(C$5:C240,C240,E$5:E240,E240)=1,1,0))</f>
        <v/>
      </c>
      <c r="L240">
        <f>IF(C240="",0,IF(AND(B240="brand",E240="budget_probe",N(F240)&gt;=Inputs!$C$114,H240="Y"),1,0))</f>
        <v/>
      </c>
      <c r="M240">
        <f>IF(L240=1,IF(COUNTIFS(C$5:C240,C240,L$5:L240,1)=1,1,0),0)</f>
        <v/>
      </c>
      <c r="N240">
        <f>IF(C240="",0,IF(AND(B240="office",E240="budget_probe",N(F240)&gt;=Inputs!$C$129),1,0))</f>
        <v/>
      </c>
      <c r="O240">
        <f>IF(N240=1,IF(COUNTIFS(C$5:C240,C240,N$5:N240,1)=1,1,0),0)</f>
        <v/>
      </c>
      <c r="P240">
        <f>IF(C240="",0,IF(AND(B240="brand",E240="renewal_answer",N(F240)&gt;=Inputs!$C$125),1,0))</f>
        <v/>
      </c>
      <c r="Q240">
        <f>IF(AND(B240="office",E240="budget_probe",ISNUMBER(F240)),F240,"")</f>
        <v/>
      </c>
      <c r="R240">
        <f>IF(AND(B240="brand",E240="budget_probe",ISNUMBER(F240)),F240,"")</f>
        <v/>
      </c>
    </row>
    <row r="241">
      <c r="A241" s="91" t="n"/>
      <c r="B241" s="92" t="n"/>
      <c r="C241" s="92" t="n"/>
      <c r="D241" s="92" t="n"/>
      <c r="E241" s="92" t="n"/>
      <c r="F241" s="92" t="n"/>
      <c r="G241" s="92" t="n"/>
      <c r="H241" s="92" t="n"/>
      <c r="I241" s="92" t="n"/>
      <c r="K241">
        <f>IF(C241="","",IF(COUNTIFS(C$5:C241,C241,E$5:E241,E241)=1,1,0))</f>
        <v/>
      </c>
      <c r="L241">
        <f>IF(C241="",0,IF(AND(B241="brand",E241="budget_probe",N(F241)&gt;=Inputs!$C$114,H241="Y"),1,0))</f>
        <v/>
      </c>
      <c r="M241">
        <f>IF(L241=1,IF(COUNTIFS(C$5:C241,C241,L$5:L241,1)=1,1,0),0)</f>
        <v/>
      </c>
      <c r="N241">
        <f>IF(C241="",0,IF(AND(B241="office",E241="budget_probe",N(F241)&gt;=Inputs!$C$129),1,0))</f>
        <v/>
      </c>
      <c r="O241">
        <f>IF(N241=1,IF(COUNTIFS(C$5:C241,C241,N$5:N241,1)=1,1,0),0)</f>
        <v/>
      </c>
      <c r="P241">
        <f>IF(C241="",0,IF(AND(B241="brand",E241="renewal_answer",N(F241)&gt;=Inputs!$C$125),1,0))</f>
        <v/>
      </c>
      <c r="Q241">
        <f>IF(AND(B241="office",E241="budget_probe",ISNUMBER(F241)),F241,"")</f>
        <v/>
      </c>
      <c r="R241">
        <f>IF(AND(B241="brand",E241="budget_probe",ISNUMBER(F241)),F241,"")</f>
        <v/>
      </c>
    </row>
    <row r="242">
      <c r="A242" s="91" t="n"/>
      <c r="B242" s="92" t="n"/>
      <c r="C242" s="92" t="n"/>
      <c r="D242" s="92" t="n"/>
      <c r="E242" s="92" t="n"/>
      <c r="F242" s="92" t="n"/>
      <c r="G242" s="92" t="n"/>
      <c r="H242" s="92" t="n"/>
      <c r="I242" s="92" t="n"/>
      <c r="K242">
        <f>IF(C242="","",IF(COUNTIFS(C$5:C242,C242,E$5:E242,E242)=1,1,0))</f>
        <v/>
      </c>
      <c r="L242">
        <f>IF(C242="",0,IF(AND(B242="brand",E242="budget_probe",N(F242)&gt;=Inputs!$C$114,H242="Y"),1,0))</f>
        <v/>
      </c>
      <c r="M242">
        <f>IF(L242=1,IF(COUNTIFS(C$5:C242,C242,L$5:L242,1)=1,1,0),0)</f>
        <v/>
      </c>
      <c r="N242">
        <f>IF(C242="",0,IF(AND(B242="office",E242="budget_probe",N(F242)&gt;=Inputs!$C$129),1,0))</f>
        <v/>
      </c>
      <c r="O242">
        <f>IF(N242=1,IF(COUNTIFS(C$5:C242,C242,N$5:N242,1)=1,1,0),0)</f>
        <v/>
      </c>
      <c r="P242">
        <f>IF(C242="",0,IF(AND(B242="brand",E242="renewal_answer",N(F242)&gt;=Inputs!$C$125),1,0))</f>
        <v/>
      </c>
      <c r="Q242">
        <f>IF(AND(B242="office",E242="budget_probe",ISNUMBER(F242)),F242,"")</f>
        <v/>
      </c>
      <c r="R242">
        <f>IF(AND(B242="brand",E242="budget_probe",ISNUMBER(F242)),F242,"")</f>
        <v/>
      </c>
    </row>
    <row r="243">
      <c r="A243" s="91" t="n"/>
      <c r="B243" s="92" t="n"/>
      <c r="C243" s="92" t="n"/>
      <c r="D243" s="92" t="n"/>
      <c r="E243" s="92" t="n"/>
      <c r="F243" s="92" t="n"/>
      <c r="G243" s="92" t="n"/>
      <c r="H243" s="92" t="n"/>
      <c r="I243" s="92" t="n"/>
      <c r="K243">
        <f>IF(C243="","",IF(COUNTIFS(C$5:C243,C243,E$5:E243,E243)=1,1,0))</f>
        <v/>
      </c>
      <c r="L243">
        <f>IF(C243="",0,IF(AND(B243="brand",E243="budget_probe",N(F243)&gt;=Inputs!$C$114,H243="Y"),1,0))</f>
        <v/>
      </c>
      <c r="M243">
        <f>IF(L243=1,IF(COUNTIFS(C$5:C243,C243,L$5:L243,1)=1,1,0),0)</f>
        <v/>
      </c>
      <c r="N243">
        <f>IF(C243="",0,IF(AND(B243="office",E243="budget_probe",N(F243)&gt;=Inputs!$C$129),1,0))</f>
        <v/>
      </c>
      <c r="O243">
        <f>IF(N243=1,IF(COUNTIFS(C$5:C243,C243,N$5:N243,1)=1,1,0),0)</f>
        <v/>
      </c>
      <c r="P243">
        <f>IF(C243="",0,IF(AND(B243="brand",E243="renewal_answer",N(F243)&gt;=Inputs!$C$125),1,0))</f>
        <v/>
      </c>
      <c r="Q243">
        <f>IF(AND(B243="office",E243="budget_probe",ISNUMBER(F243)),F243,"")</f>
        <v/>
      </c>
      <c r="R243">
        <f>IF(AND(B243="brand",E243="budget_probe",ISNUMBER(F243)),F243,"")</f>
        <v/>
      </c>
    </row>
    <row r="244">
      <c r="A244" s="91" t="n"/>
      <c r="B244" s="92" t="n"/>
      <c r="C244" s="92" t="n"/>
      <c r="D244" s="92" t="n"/>
      <c r="E244" s="92" t="n"/>
      <c r="F244" s="92" t="n"/>
      <c r="G244" s="92" t="n"/>
      <c r="H244" s="92" t="n"/>
      <c r="I244" s="92" t="n"/>
      <c r="K244">
        <f>IF(C244="","",IF(COUNTIFS(C$5:C244,C244,E$5:E244,E244)=1,1,0))</f>
        <v/>
      </c>
      <c r="L244">
        <f>IF(C244="",0,IF(AND(B244="brand",E244="budget_probe",N(F244)&gt;=Inputs!$C$114,H244="Y"),1,0))</f>
        <v/>
      </c>
      <c r="M244">
        <f>IF(L244=1,IF(COUNTIFS(C$5:C244,C244,L$5:L244,1)=1,1,0),0)</f>
        <v/>
      </c>
      <c r="N244">
        <f>IF(C244="",0,IF(AND(B244="office",E244="budget_probe",N(F244)&gt;=Inputs!$C$129),1,0))</f>
        <v/>
      </c>
      <c r="O244">
        <f>IF(N244=1,IF(COUNTIFS(C$5:C244,C244,N$5:N244,1)=1,1,0),0)</f>
        <v/>
      </c>
      <c r="P244">
        <f>IF(C244="",0,IF(AND(B244="brand",E244="renewal_answer",N(F244)&gt;=Inputs!$C$125),1,0))</f>
        <v/>
      </c>
      <c r="Q244">
        <f>IF(AND(B244="office",E244="budget_probe",ISNUMBER(F244)),F244,"")</f>
        <v/>
      </c>
      <c r="R244">
        <f>IF(AND(B244="brand",E244="budget_probe",ISNUMBER(F244)),F244,"")</f>
        <v/>
      </c>
    </row>
    <row r="245">
      <c r="A245" s="91" t="n"/>
      <c r="B245" s="92" t="n"/>
      <c r="C245" s="92" t="n"/>
      <c r="D245" s="92" t="n"/>
      <c r="E245" s="92" t="n"/>
      <c r="F245" s="92" t="n"/>
      <c r="G245" s="92" t="n"/>
      <c r="H245" s="92" t="n"/>
      <c r="I245" s="92" t="n"/>
      <c r="K245">
        <f>IF(C245="","",IF(COUNTIFS(C$5:C245,C245,E$5:E245,E245)=1,1,0))</f>
        <v/>
      </c>
      <c r="L245">
        <f>IF(C245="",0,IF(AND(B245="brand",E245="budget_probe",N(F245)&gt;=Inputs!$C$114,H245="Y"),1,0))</f>
        <v/>
      </c>
      <c r="M245">
        <f>IF(L245=1,IF(COUNTIFS(C$5:C245,C245,L$5:L245,1)=1,1,0),0)</f>
        <v/>
      </c>
      <c r="N245">
        <f>IF(C245="",0,IF(AND(B245="office",E245="budget_probe",N(F245)&gt;=Inputs!$C$129),1,0))</f>
        <v/>
      </c>
      <c r="O245">
        <f>IF(N245=1,IF(COUNTIFS(C$5:C245,C245,N$5:N245,1)=1,1,0),0)</f>
        <v/>
      </c>
      <c r="P245">
        <f>IF(C245="",0,IF(AND(B245="brand",E245="renewal_answer",N(F245)&gt;=Inputs!$C$125),1,0))</f>
        <v/>
      </c>
      <c r="Q245">
        <f>IF(AND(B245="office",E245="budget_probe",ISNUMBER(F245)),F245,"")</f>
        <v/>
      </c>
      <c r="R245">
        <f>IF(AND(B245="brand",E245="budget_probe",ISNUMBER(F245)),F245,"")</f>
        <v/>
      </c>
    </row>
    <row r="246">
      <c r="A246" s="91" t="n"/>
      <c r="B246" s="92" t="n"/>
      <c r="C246" s="92" t="n"/>
      <c r="D246" s="92" t="n"/>
      <c r="E246" s="92" t="n"/>
      <c r="F246" s="92" t="n"/>
      <c r="G246" s="92" t="n"/>
      <c r="H246" s="92" t="n"/>
      <c r="I246" s="92" t="n"/>
      <c r="K246">
        <f>IF(C246="","",IF(COUNTIFS(C$5:C246,C246,E$5:E246,E246)=1,1,0))</f>
        <v/>
      </c>
      <c r="L246">
        <f>IF(C246="",0,IF(AND(B246="brand",E246="budget_probe",N(F246)&gt;=Inputs!$C$114,H246="Y"),1,0))</f>
        <v/>
      </c>
      <c r="M246">
        <f>IF(L246=1,IF(COUNTIFS(C$5:C246,C246,L$5:L246,1)=1,1,0),0)</f>
        <v/>
      </c>
      <c r="N246">
        <f>IF(C246="",0,IF(AND(B246="office",E246="budget_probe",N(F246)&gt;=Inputs!$C$129),1,0))</f>
        <v/>
      </c>
      <c r="O246">
        <f>IF(N246=1,IF(COUNTIFS(C$5:C246,C246,N$5:N246,1)=1,1,0),0)</f>
        <v/>
      </c>
      <c r="P246">
        <f>IF(C246="",0,IF(AND(B246="brand",E246="renewal_answer",N(F246)&gt;=Inputs!$C$125),1,0))</f>
        <v/>
      </c>
      <c r="Q246">
        <f>IF(AND(B246="office",E246="budget_probe",ISNUMBER(F246)),F246,"")</f>
        <v/>
      </c>
      <c r="R246">
        <f>IF(AND(B246="brand",E246="budget_probe",ISNUMBER(F246)),F246,"")</f>
        <v/>
      </c>
    </row>
    <row r="247">
      <c r="A247" s="91" t="n"/>
      <c r="B247" s="92" t="n"/>
      <c r="C247" s="92" t="n"/>
      <c r="D247" s="92" t="n"/>
      <c r="E247" s="92" t="n"/>
      <c r="F247" s="92" t="n"/>
      <c r="G247" s="92" t="n"/>
      <c r="H247" s="92" t="n"/>
      <c r="I247" s="92" t="n"/>
      <c r="K247">
        <f>IF(C247="","",IF(COUNTIFS(C$5:C247,C247,E$5:E247,E247)=1,1,0))</f>
        <v/>
      </c>
      <c r="L247">
        <f>IF(C247="",0,IF(AND(B247="brand",E247="budget_probe",N(F247)&gt;=Inputs!$C$114,H247="Y"),1,0))</f>
        <v/>
      </c>
      <c r="M247">
        <f>IF(L247=1,IF(COUNTIFS(C$5:C247,C247,L$5:L247,1)=1,1,0),0)</f>
        <v/>
      </c>
      <c r="N247">
        <f>IF(C247="",0,IF(AND(B247="office",E247="budget_probe",N(F247)&gt;=Inputs!$C$129),1,0))</f>
        <v/>
      </c>
      <c r="O247">
        <f>IF(N247=1,IF(COUNTIFS(C$5:C247,C247,N$5:N247,1)=1,1,0),0)</f>
        <v/>
      </c>
      <c r="P247">
        <f>IF(C247="",0,IF(AND(B247="brand",E247="renewal_answer",N(F247)&gt;=Inputs!$C$125),1,0))</f>
        <v/>
      </c>
      <c r="Q247">
        <f>IF(AND(B247="office",E247="budget_probe",ISNUMBER(F247)),F247,"")</f>
        <v/>
      </c>
      <c r="R247">
        <f>IF(AND(B247="brand",E247="budget_probe",ISNUMBER(F247)),F247,"")</f>
        <v/>
      </c>
    </row>
    <row r="248">
      <c r="A248" s="91" t="n"/>
      <c r="B248" s="92" t="n"/>
      <c r="C248" s="92" t="n"/>
      <c r="D248" s="92" t="n"/>
      <c r="E248" s="92" t="n"/>
      <c r="F248" s="92" t="n"/>
      <c r="G248" s="92" t="n"/>
      <c r="H248" s="92" t="n"/>
      <c r="I248" s="92" t="n"/>
      <c r="K248">
        <f>IF(C248="","",IF(COUNTIFS(C$5:C248,C248,E$5:E248,E248)=1,1,0))</f>
        <v/>
      </c>
      <c r="L248">
        <f>IF(C248="",0,IF(AND(B248="brand",E248="budget_probe",N(F248)&gt;=Inputs!$C$114,H248="Y"),1,0))</f>
        <v/>
      </c>
      <c r="M248">
        <f>IF(L248=1,IF(COUNTIFS(C$5:C248,C248,L$5:L248,1)=1,1,0),0)</f>
        <v/>
      </c>
      <c r="N248">
        <f>IF(C248="",0,IF(AND(B248="office",E248="budget_probe",N(F248)&gt;=Inputs!$C$129),1,0))</f>
        <v/>
      </c>
      <c r="O248">
        <f>IF(N248=1,IF(COUNTIFS(C$5:C248,C248,N$5:N248,1)=1,1,0),0)</f>
        <v/>
      </c>
      <c r="P248">
        <f>IF(C248="",0,IF(AND(B248="brand",E248="renewal_answer",N(F248)&gt;=Inputs!$C$125),1,0))</f>
        <v/>
      </c>
      <c r="Q248">
        <f>IF(AND(B248="office",E248="budget_probe",ISNUMBER(F248)),F248,"")</f>
        <v/>
      </c>
      <c r="R248">
        <f>IF(AND(B248="brand",E248="budget_probe",ISNUMBER(F248)),F248,"")</f>
        <v/>
      </c>
    </row>
    <row r="249">
      <c r="A249" s="91" t="n"/>
      <c r="B249" s="92" t="n"/>
      <c r="C249" s="92" t="n"/>
      <c r="D249" s="92" t="n"/>
      <c r="E249" s="92" t="n"/>
      <c r="F249" s="92" t="n"/>
      <c r="G249" s="92" t="n"/>
      <c r="H249" s="92" t="n"/>
      <c r="I249" s="92" t="n"/>
      <c r="K249">
        <f>IF(C249="","",IF(COUNTIFS(C$5:C249,C249,E$5:E249,E249)=1,1,0))</f>
        <v/>
      </c>
      <c r="L249">
        <f>IF(C249="",0,IF(AND(B249="brand",E249="budget_probe",N(F249)&gt;=Inputs!$C$114,H249="Y"),1,0))</f>
        <v/>
      </c>
      <c r="M249">
        <f>IF(L249=1,IF(COUNTIFS(C$5:C249,C249,L$5:L249,1)=1,1,0),0)</f>
        <v/>
      </c>
      <c r="N249">
        <f>IF(C249="",0,IF(AND(B249="office",E249="budget_probe",N(F249)&gt;=Inputs!$C$129),1,0))</f>
        <v/>
      </c>
      <c r="O249">
        <f>IF(N249=1,IF(COUNTIFS(C$5:C249,C249,N$5:N249,1)=1,1,0),0)</f>
        <v/>
      </c>
      <c r="P249">
        <f>IF(C249="",0,IF(AND(B249="brand",E249="renewal_answer",N(F249)&gt;=Inputs!$C$125),1,0))</f>
        <v/>
      </c>
      <c r="Q249">
        <f>IF(AND(B249="office",E249="budget_probe",ISNUMBER(F249)),F249,"")</f>
        <v/>
      </c>
      <c r="R249">
        <f>IF(AND(B249="brand",E249="budget_probe",ISNUMBER(F249)),F249,"")</f>
        <v/>
      </c>
    </row>
    <row r="250">
      <c r="A250" s="91" t="n"/>
      <c r="B250" s="92" t="n"/>
      <c r="C250" s="92" t="n"/>
      <c r="D250" s="92" t="n"/>
      <c r="E250" s="92" t="n"/>
      <c r="F250" s="92" t="n"/>
      <c r="G250" s="92" t="n"/>
      <c r="H250" s="92" t="n"/>
      <c r="I250" s="92" t="n"/>
      <c r="K250">
        <f>IF(C250="","",IF(COUNTIFS(C$5:C250,C250,E$5:E250,E250)=1,1,0))</f>
        <v/>
      </c>
      <c r="L250">
        <f>IF(C250="",0,IF(AND(B250="brand",E250="budget_probe",N(F250)&gt;=Inputs!$C$114,H250="Y"),1,0))</f>
        <v/>
      </c>
      <c r="M250">
        <f>IF(L250=1,IF(COUNTIFS(C$5:C250,C250,L$5:L250,1)=1,1,0),0)</f>
        <v/>
      </c>
      <c r="N250">
        <f>IF(C250="",0,IF(AND(B250="office",E250="budget_probe",N(F250)&gt;=Inputs!$C$129),1,0))</f>
        <v/>
      </c>
      <c r="O250">
        <f>IF(N250=1,IF(COUNTIFS(C$5:C250,C250,N$5:N250,1)=1,1,0),0)</f>
        <v/>
      </c>
      <c r="P250">
        <f>IF(C250="",0,IF(AND(B250="brand",E250="renewal_answer",N(F250)&gt;=Inputs!$C$125),1,0))</f>
        <v/>
      </c>
      <c r="Q250">
        <f>IF(AND(B250="office",E250="budget_probe",ISNUMBER(F250)),F250,"")</f>
        <v/>
      </c>
      <c r="R250">
        <f>IF(AND(B250="brand",E250="budget_probe",ISNUMBER(F250)),F250,"")</f>
        <v/>
      </c>
    </row>
    <row r="251">
      <c r="A251" s="91" t="n"/>
      <c r="B251" s="92" t="n"/>
      <c r="C251" s="92" t="n"/>
      <c r="D251" s="92" t="n"/>
      <c r="E251" s="92" t="n"/>
      <c r="F251" s="92" t="n"/>
      <c r="G251" s="92" t="n"/>
      <c r="H251" s="92" t="n"/>
      <c r="I251" s="92" t="n"/>
      <c r="K251">
        <f>IF(C251="","",IF(COUNTIFS(C$5:C251,C251,E$5:E251,E251)=1,1,0))</f>
        <v/>
      </c>
      <c r="L251">
        <f>IF(C251="",0,IF(AND(B251="brand",E251="budget_probe",N(F251)&gt;=Inputs!$C$114,H251="Y"),1,0))</f>
        <v/>
      </c>
      <c r="M251">
        <f>IF(L251=1,IF(COUNTIFS(C$5:C251,C251,L$5:L251,1)=1,1,0),0)</f>
        <v/>
      </c>
      <c r="N251">
        <f>IF(C251="",0,IF(AND(B251="office",E251="budget_probe",N(F251)&gt;=Inputs!$C$129),1,0))</f>
        <v/>
      </c>
      <c r="O251">
        <f>IF(N251=1,IF(COUNTIFS(C$5:C251,C251,N$5:N251,1)=1,1,0),0)</f>
        <v/>
      </c>
      <c r="P251">
        <f>IF(C251="",0,IF(AND(B251="brand",E251="renewal_answer",N(F251)&gt;=Inputs!$C$125),1,0))</f>
        <v/>
      </c>
      <c r="Q251">
        <f>IF(AND(B251="office",E251="budget_probe",ISNUMBER(F251)),F251,"")</f>
        <v/>
      </c>
      <c r="R251">
        <f>IF(AND(B251="brand",E251="budget_probe",ISNUMBER(F251)),F251,"")</f>
        <v/>
      </c>
    </row>
    <row r="252">
      <c r="A252" s="91" t="n"/>
      <c r="B252" s="92" t="n"/>
      <c r="C252" s="92" t="n"/>
      <c r="D252" s="92" t="n"/>
      <c r="E252" s="92" t="n"/>
      <c r="F252" s="92" t="n"/>
      <c r="G252" s="92" t="n"/>
      <c r="H252" s="92" t="n"/>
      <c r="I252" s="92" t="n"/>
      <c r="K252">
        <f>IF(C252="","",IF(COUNTIFS(C$5:C252,C252,E$5:E252,E252)=1,1,0))</f>
        <v/>
      </c>
      <c r="L252">
        <f>IF(C252="",0,IF(AND(B252="brand",E252="budget_probe",N(F252)&gt;=Inputs!$C$114,H252="Y"),1,0))</f>
        <v/>
      </c>
      <c r="M252">
        <f>IF(L252=1,IF(COUNTIFS(C$5:C252,C252,L$5:L252,1)=1,1,0),0)</f>
        <v/>
      </c>
      <c r="N252">
        <f>IF(C252="",0,IF(AND(B252="office",E252="budget_probe",N(F252)&gt;=Inputs!$C$129),1,0))</f>
        <v/>
      </c>
      <c r="O252">
        <f>IF(N252=1,IF(COUNTIFS(C$5:C252,C252,N$5:N252,1)=1,1,0),0)</f>
        <v/>
      </c>
      <c r="P252">
        <f>IF(C252="",0,IF(AND(B252="brand",E252="renewal_answer",N(F252)&gt;=Inputs!$C$125),1,0))</f>
        <v/>
      </c>
      <c r="Q252">
        <f>IF(AND(B252="office",E252="budget_probe",ISNUMBER(F252)),F252,"")</f>
        <v/>
      </c>
      <c r="R252">
        <f>IF(AND(B252="brand",E252="budget_probe",ISNUMBER(F252)),F252,"")</f>
        <v/>
      </c>
    </row>
    <row r="253">
      <c r="A253" s="91" t="n"/>
      <c r="B253" s="92" t="n"/>
      <c r="C253" s="92" t="n"/>
      <c r="D253" s="92" t="n"/>
      <c r="E253" s="92" t="n"/>
      <c r="F253" s="92" t="n"/>
      <c r="G253" s="92" t="n"/>
      <c r="H253" s="92" t="n"/>
      <c r="I253" s="92" t="n"/>
      <c r="K253">
        <f>IF(C253="","",IF(COUNTIFS(C$5:C253,C253,E$5:E253,E253)=1,1,0))</f>
        <v/>
      </c>
      <c r="L253">
        <f>IF(C253="",0,IF(AND(B253="brand",E253="budget_probe",N(F253)&gt;=Inputs!$C$114,H253="Y"),1,0))</f>
        <v/>
      </c>
      <c r="M253">
        <f>IF(L253=1,IF(COUNTIFS(C$5:C253,C253,L$5:L253,1)=1,1,0),0)</f>
        <v/>
      </c>
      <c r="N253">
        <f>IF(C253="",0,IF(AND(B253="office",E253="budget_probe",N(F253)&gt;=Inputs!$C$129),1,0))</f>
        <v/>
      </c>
      <c r="O253">
        <f>IF(N253=1,IF(COUNTIFS(C$5:C253,C253,N$5:N253,1)=1,1,0),0)</f>
        <v/>
      </c>
      <c r="P253">
        <f>IF(C253="",0,IF(AND(B253="brand",E253="renewal_answer",N(F253)&gt;=Inputs!$C$125),1,0))</f>
        <v/>
      </c>
      <c r="Q253">
        <f>IF(AND(B253="office",E253="budget_probe",ISNUMBER(F253)),F253,"")</f>
        <v/>
      </c>
      <c r="R253">
        <f>IF(AND(B253="brand",E253="budget_probe",ISNUMBER(F253)),F253,"")</f>
        <v/>
      </c>
    </row>
    <row r="254">
      <c r="A254" s="91" t="n"/>
      <c r="B254" s="92" t="n"/>
      <c r="C254" s="92" t="n"/>
      <c r="D254" s="92" t="n"/>
      <c r="E254" s="92" t="n"/>
      <c r="F254" s="92" t="n"/>
      <c r="G254" s="92" t="n"/>
      <c r="H254" s="92" t="n"/>
      <c r="I254" s="92" t="n"/>
      <c r="K254">
        <f>IF(C254="","",IF(COUNTIFS(C$5:C254,C254,E$5:E254,E254)=1,1,0))</f>
        <v/>
      </c>
      <c r="L254">
        <f>IF(C254="",0,IF(AND(B254="brand",E254="budget_probe",N(F254)&gt;=Inputs!$C$114,H254="Y"),1,0))</f>
        <v/>
      </c>
      <c r="M254">
        <f>IF(L254=1,IF(COUNTIFS(C$5:C254,C254,L$5:L254,1)=1,1,0),0)</f>
        <v/>
      </c>
      <c r="N254">
        <f>IF(C254="",0,IF(AND(B254="office",E254="budget_probe",N(F254)&gt;=Inputs!$C$129),1,0))</f>
        <v/>
      </c>
      <c r="O254">
        <f>IF(N254=1,IF(COUNTIFS(C$5:C254,C254,N$5:N254,1)=1,1,0),0)</f>
        <v/>
      </c>
      <c r="P254">
        <f>IF(C254="",0,IF(AND(B254="brand",E254="renewal_answer",N(F254)&gt;=Inputs!$C$125),1,0))</f>
        <v/>
      </c>
      <c r="Q254">
        <f>IF(AND(B254="office",E254="budget_probe",ISNUMBER(F254)),F254,"")</f>
        <v/>
      </c>
      <c r="R254">
        <f>IF(AND(B254="brand",E254="budget_probe",ISNUMBER(F254)),F254,"")</f>
        <v/>
      </c>
    </row>
    <row r="255">
      <c r="A255" s="91" t="n"/>
      <c r="B255" s="92" t="n"/>
      <c r="C255" s="92" t="n"/>
      <c r="D255" s="92" t="n"/>
      <c r="E255" s="92" t="n"/>
      <c r="F255" s="92" t="n"/>
      <c r="G255" s="92" t="n"/>
      <c r="H255" s="92" t="n"/>
      <c r="I255" s="92" t="n"/>
      <c r="K255">
        <f>IF(C255="","",IF(COUNTIFS(C$5:C255,C255,E$5:E255,E255)=1,1,0))</f>
        <v/>
      </c>
      <c r="L255">
        <f>IF(C255="",0,IF(AND(B255="brand",E255="budget_probe",N(F255)&gt;=Inputs!$C$114,H255="Y"),1,0))</f>
        <v/>
      </c>
      <c r="M255">
        <f>IF(L255=1,IF(COUNTIFS(C$5:C255,C255,L$5:L255,1)=1,1,0),0)</f>
        <v/>
      </c>
      <c r="N255">
        <f>IF(C255="",0,IF(AND(B255="office",E255="budget_probe",N(F255)&gt;=Inputs!$C$129),1,0))</f>
        <v/>
      </c>
      <c r="O255">
        <f>IF(N255=1,IF(COUNTIFS(C$5:C255,C255,N$5:N255,1)=1,1,0),0)</f>
        <v/>
      </c>
      <c r="P255">
        <f>IF(C255="",0,IF(AND(B255="brand",E255="renewal_answer",N(F255)&gt;=Inputs!$C$125),1,0))</f>
        <v/>
      </c>
      <c r="Q255">
        <f>IF(AND(B255="office",E255="budget_probe",ISNUMBER(F255)),F255,"")</f>
        <v/>
      </c>
      <c r="R255">
        <f>IF(AND(B255="brand",E255="budget_probe",ISNUMBER(F255)),F255,"")</f>
        <v/>
      </c>
    </row>
    <row r="256">
      <c r="A256" s="91" t="n"/>
      <c r="B256" s="92" t="n"/>
      <c r="C256" s="92" t="n"/>
      <c r="D256" s="92" t="n"/>
      <c r="E256" s="92" t="n"/>
      <c r="F256" s="92" t="n"/>
      <c r="G256" s="92" t="n"/>
      <c r="H256" s="92" t="n"/>
      <c r="I256" s="92" t="n"/>
      <c r="K256">
        <f>IF(C256="","",IF(COUNTIFS(C$5:C256,C256,E$5:E256,E256)=1,1,0))</f>
        <v/>
      </c>
      <c r="L256">
        <f>IF(C256="",0,IF(AND(B256="brand",E256="budget_probe",N(F256)&gt;=Inputs!$C$114,H256="Y"),1,0))</f>
        <v/>
      </c>
      <c r="M256">
        <f>IF(L256=1,IF(COUNTIFS(C$5:C256,C256,L$5:L256,1)=1,1,0),0)</f>
        <v/>
      </c>
      <c r="N256">
        <f>IF(C256="",0,IF(AND(B256="office",E256="budget_probe",N(F256)&gt;=Inputs!$C$129),1,0))</f>
        <v/>
      </c>
      <c r="O256">
        <f>IF(N256=1,IF(COUNTIFS(C$5:C256,C256,N$5:N256,1)=1,1,0),0)</f>
        <v/>
      </c>
      <c r="P256">
        <f>IF(C256="",0,IF(AND(B256="brand",E256="renewal_answer",N(F256)&gt;=Inputs!$C$125),1,0))</f>
        <v/>
      </c>
      <c r="Q256">
        <f>IF(AND(B256="office",E256="budget_probe",ISNUMBER(F256)),F256,"")</f>
        <v/>
      </c>
      <c r="R256">
        <f>IF(AND(B256="brand",E256="budget_probe",ISNUMBER(F256)),F256,"")</f>
        <v/>
      </c>
    </row>
    <row r="257">
      <c r="A257" s="91" t="n"/>
      <c r="B257" s="92" t="n"/>
      <c r="C257" s="92" t="n"/>
      <c r="D257" s="92" t="n"/>
      <c r="E257" s="92" t="n"/>
      <c r="F257" s="92" t="n"/>
      <c r="G257" s="92" t="n"/>
      <c r="H257" s="92" t="n"/>
      <c r="I257" s="92" t="n"/>
      <c r="K257">
        <f>IF(C257="","",IF(COUNTIFS(C$5:C257,C257,E$5:E257,E257)=1,1,0))</f>
        <v/>
      </c>
      <c r="L257">
        <f>IF(C257="",0,IF(AND(B257="brand",E257="budget_probe",N(F257)&gt;=Inputs!$C$114,H257="Y"),1,0))</f>
        <v/>
      </c>
      <c r="M257">
        <f>IF(L257=1,IF(COUNTIFS(C$5:C257,C257,L$5:L257,1)=1,1,0),0)</f>
        <v/>
      </c>
      <c r="N257">
        <f>IF(C257="",0,IF(AND(B257="office",E257="budget_probe",N(F257)&gt;=Inputs!$C$129),1,0))</f>
        <v/>
      </c>
      <c r="O257">
        <f>IF(N257=1,IF(COUNTIFS(C$5:C257,C257,N$5:N257,1)=1,1,0),0)</f>
        <v/>
      </c>
      <c r="P257">
        <f>IF(C257="",0,IF(AND(B257="brand",E257="renewal_answer",N(F257)&gt;=Inputs!$C$125),1,0))</f>
        <v/>
      </c>
      <c r="Q257">
        <f>IF(AND(B257="office",E257="budget_probe",ISNUMBER(F257)),F257,"")</f>
        <v/>
      </c>
      <c r="R257">
        <f>IF(AND(B257="brand",E257="budget_probe",ISNUMBER(F257)),F257,"")</f>
        <v/>
      </c>
    </row>
    <row r="258">
      <c r="A258" s="91" t="n"/>
      <c r="B258" s="92" t="n"/>
      <c r="C258" s="92" t="n"/>
      <c r="D258" s="92" t="n"/>
      <c r="E258" s="92" t="n"/>
      <c r="F258" s="92" t="n"/>
      <c r="G258" s="92" t="n"/>
      <c r="H258" s="92" t="n"/>
      <c r="I258" s="92" t="n"/>
      <c r="K258">
        <f>IF(C258="","",IF(COUNTIFS(C$5:C258,C258,E$5:E258,E258)=1,1,0))</f>
        <v/>
      </c>
      <c r="L258">
        <f>IF(C258="",0,IF(AND(B258="brand",E258="budget_probe",N(F258)&gt;=Inputs!$C$114,H258="Y"),1,0))</f>
        <v/>
      </c>
      <c r="M258">
        <f>IF(L258=1,IF(COUNTIFS(C$5:C258,C258,L$5:L258,1)=1,1,0),0)</f>
        <v/>
      </c>
      <c r="N258">
        <f>IF(C258="",0,IF(AND(B258="office",E258="budget_probe",N(F258)&gt;=Inputs!$C$129),1,0))</f>
        <v/>
      </c>
      <c r="O258">
        <f>IF(N258=1,IF(COUNTIFS(C$5:C258,C258,N$5:N258,1)=1,1,0),0)</f>
        <v/>
      </c>
      <c r="P258">
        <f>IF(C258="",0,IF(AND(B258="brand",E258="renewal_answer",N(F258)&gt;=Inputs!$C$125),1,0))</f>
        <v/>
      </c>
      <c r="Q258">
        <f>IF(AND(B258="office",E258="budget_probe",ISNUMBER(F258)),F258,"")</f>
        <v/>
      </c>
      <c r="R258">
        <f>IF(AND(B258="brand",E258="budget_probe",ISNUMBER(F258)),F258,"")</f>
        <v/>
      </c>
    </row>
    <row r="259">
      <c r="A259" s="91" t="n"/>
      <c r="B259" s="92" t="n"/>
      <c r="C259" s="92" t="n"/>
      <c r="D259" s="92" t="n"/>
      <c r="E259" s="92" t="n"/>
      <c r="F259" s="92" t="n"/>
      <c r="G259" s="92" t="n"/>
      <c r="H259" s="92" t="n"/>
      <c r="I259" s="92" t="n"/>
      <c r="K259">
        <f>IF(C259="","",IF(COUNTIFS(C$5:C259,C259,E$5:E259,E259)=1,1,0))</f>
        <v/>
      </c>
      <c r="L259">
        <f>IF(C259="",0,IF(AND(B259="brand",E259="budget_probe",N(F259)&gt;=Inputs!$C$114,H259="Y"),1,0))</f>
        <v/>
      </c>
      <c r="M259">
        <f>IF(L259=1,IF(COUNTIFS(C$5:C259,C259,L$5:L259,1)=1,1,0),0)</f>
        <v/>
      </c>
      <c r="N259">
        <f>IF(C259="",0,IF(AND(B259="office",E259="budget_probe",N(F259)&gt;=Inputs!$C$129),1,0))</f>
        <v/>
      </c>
      <c r="O259">
        <f>IF(N259=1,IF(COUNTIFS(C$5:C259,C259,N$5:N259,1)=1,1,0),0)</f>
        <v/>
      </c>
      <c r="P259">
        <f>IF(C259="",0,IF(AND(B259="brand",E259="renewal_answer",N(F259)&gt;=Inputs!$C$125),1,0))</f>
        <v/>
      </c>
      <c r="Q259">
        <f>IF(AND(B259="office",E259="budget_probe",ISNUMBER(F259)),F259,"")</f>
        <v/>
      </c>
      <c r="R259">
        <f>IF(AND(B259="brand",E259="budget_probe",ISNUMBER(F259)),F259,"")</f>
        <v/>
      </c>
    </row>
    <row r="260">
      <c r="A260" s="91" t="n"/>
      <c r="B260" s="92" t="n"/>
      <c r="C260" s="92" t="n"/>
      <c r="D260" s="92" t="n"/>
      <c r="E260" s="92" t="n"/>
      <c r="F260" s="92" t="n"/>
      <c r="G260" s="92" t="n"/>
      <c r="H260" s="92" t="n"/>
      <c r="I260" s="92" t="n"/>
      <c r="K260">
        <f>IF(C260="","",IF(COUNTIFS(C$5:C260,C260,E$5:E260,E260)=1,1,0))</f>
        <v/>
      </c>
      <c r="L260">
        <f>IF(C260="",0,IF(AND(B260="brand",E260="budget_probe",N(F260)&gt;=Inputs!$C$114,H260="Y"),1,0))</f>
        <v/>
      </c>
      <c r="M260">
        <f>IF(L260=1,IF(COUNTIFS(C$5:C260,C260,L$5:L260,1)=1,1,0),0)</f>
        <v/>
      </c>
      <c r="N260">
        <f>IF(C260="",0,IF(AND(B260="office",E260="budget_probe",N(F260)&gt;=Inputs!$C$129),1,0))</f>
        <v/>
      </c>
      <c r="O260">
        <f>IF(N260=1,IF(COUNTIFS(C$5:C260,C260,N$5:N260,1)=1,1,0),0)</f>
        <v/>
      </c>
      <c r="P260">
        <f>IF(C260="",0,IF(AND(B260="brand",E260="renewal_answer",N(F260)&gt;=Inputs!$C$125),1,0))</f>
        <v/>
      </c>
      <c r="Q260">
        <f>IF(AND(B260="office",E260="budget_probe",ISNUMBER(F260)),F260,"")</f>
        <v/>
      </c>
      <c r="R260">
        <f>IF(AND(B260="brand",E260="budget_probe",ISNUMBER(F260)),F260,"")</f>
        <v/>
      </c>
    </row>
    <row r="261">
      <c r="A261" s="91" t="n"/>
      <c r="B261" s="92" t="n"/>
      <c r="C261" s="92" t="n"/>
      <c r="D261" s="92" t="n"/>
      <c r="E261" s="92" t="n"/>
      <c r="F261" s="92" t="n"/>
      <c r="G261" s="92" t="n"/>
      <c r="H261" s="92" t="n"/>
      <c r="I261" s="92" t="n"/>
      <c r="K261">
        <f>IF(C261="","",IF(COUNTIFS(C$5:C261,C261,E$5:E261,E261)=1,1,0))</f>
        <v/>
      </c>
      <c r="L261">
        <f>IF(C261="",0,IF(AND(B261="brand",E261="budget_probe",N(F261)&gt;=Inputs!$C$114,H261="Y"),1,0))</f>
        <v/>
      </c>
      <c r="M261">
        <f>IF(L261=1,IF(COUNTIFS(C$5:C261,C261,L$5:L261,1)=1,1,0),0)</f>
        <v/>
      </c>
      <c r="N261">
        <f>IF(C261="",0,IF(AND(B261="office",E261="budget_probe",N(F261)&gt;=Inputs!$C$129),1,0))</f>
        <v/>
      </c>
      <c r="O261">
        <f>IF(N261=1,IF(COUNTIFS(C$5:C261,C261,N$5:N261,1)=1,1,0),0)</f>
        <v/>
      </c>
      <c r="P261">
        <f>IF(C261="",0,IF(AND(B261="brand",E261="renewal_answer",N(F261)&gt;=Inputs!$C$125),1,0))</f>
        <v/>
      </c>
      <c r="Q261">
        <f>IF(AND(B261="office",E261="budget_probe",ISNUMBER(F261)),F261,"")</f>
        <v/>
      </c>
      <c r="R261">
        <f>IF(AND(B261="brand",E261="budget_probe",ISNUMBER(F261)),F261,"")</f>
        <v/>
      </c>
    </row>
    <row r="262">
      <c r="A262" s="91" t="n"/>
      <c r="B262" s="92" t="n"/>
      <c r="C262" s="92" t="n"/>
      <c r="D262" s="92" t="n"/>
      <c r="E262" s="92" t="n"/>
      <c r="F262" s="92" t="n"/>
      <c r="G262" s="92" t="n"/>
      <c r="H262" s="92" t="n"/>
      <c r="I262" s="92" t="n"/>
      <c r="K262">
        <f>IF(C262="","",IF(COUNTIFS(C$5:C262,C262,E$5:E262,E262)=1,1,0))</f>
        <v/>
      </c>
      <c r="L262">
        <f>IF(C262="",0,IF(AND(B262="brand",E262="budget_probe",N(F262)&gt;=Inputs!$C$114,H262="Y"),1,0))</f>
        <v/>
      </c>
      <c r="M262">
        <f>IF(L262=1,IF(COUNTIFS(C$5:C262,C262,L$5:L262,1)=1,1,0),0)</f>
        <v/>
      </c>
      <c r="N262">
        <f>IF(C262="",0,IF(AND(B262="office",E262="budget_probe",N(F262)&gt;=Inputs!$C$129),1,0))</f>
        <v/>
      </c>
      <c r="O262">
        <f>IF(N262=1,IF(COUNTIFS(C$5:C262,C262,N$5:N262,1)=1,1,0),0)</f>
        <v/>
      </c>
      <c r="P262">
        <f>IF(C262="",0,IF(AND(B262="brand",E262="renewal_answer",N(F262)&gt;=Inputs!$C$125),1,0))</f>
        <v/>
      </c>
      <c r="Q262">
        <f>IF(AND(B262="office",E262="budget_probe",ISNUMBER(F262)),F262,"")</f>
        <v/>
      </c>
      <c r="R262">
        <f>IF(AND(B262="brand",E262="budget_probe",ISNUMBER(F262)),F262,"")</f>
        <v/>
      </c>
    </row>
    <row r="263">
      <c r="A263" s="91" t="n"/>
      <c r="B263" s="92" t="n"/>
      <c r="C263" s="92" t="n"/>
      <c r="D263" s="92" t="n"/>
      <c r="E263" s="92" t="n"/>
      <c r="F263" s="92" t="n"/>
      <c r="G263" s="92" t="n"/>
      <c r="H263" s="92" t="n"/>
      <c r="I263" s="92" t="n"/>
      <c r="K263">
        <f>IF(C263="","",IF(COUNTIFS(C$5:C263,C263,E$5:E263,E263)=1,1,0))</f>
        <v/>
      </c>
      <c r="L263">
        <f>IF(C263="",0,IF(AND(B263="brand",E263="budget_probe",N(F263)&gt;=Inputs!$C$114,H263="Y"),1,0))</f>
        <v/>
      </c>
      <c r="M263">
        <f>IF(L263=1,IF(COUNTIFS(C$5:C263,C263,L$5:L263,1)=1,1,0),0)</f>
        <v/>
      </c>
      <c r="N263">
        <f>IF(C263="",0,IF(AND(B263="office",E263="budget_probe",N(F263)&gt;=Inputs!$C$129),1,0))</f>
        <v/>
      </c>
      <c r="O263">
        <f>IF(N263=1,IF(COUNTIFS(C$5:C263,C263,N$5:N263,1)=1,1,0),0)</f>
        <v/>
      </c>
      <c r="P263">
        <f>IF(C263="",0,IF(AND(B263="brand",E263="renewal_answer",N(F263)&gt;=Inputs!$C$125),1,0))</f>
        <v/>
      </c>
      <c r="Q263">
        <f>IF(AND(B263="office",E263="budget_probe",ISNUMBER(F263)),F263,"")</f>
        <v/>
      </c>
      <c r="R263">
        <f>IF(AND(B263="brand",E263="budget_probe",ISNUMBER(F263)),F263,"")</f>
        <v/>
      </c>
    </row>
    <row r="264">
      <c r="A264" s="91" t="n"/>
      <c r="B264" s="92" t="n"/>
      <c r="C264" s="92" t="n"/>
      <c r="D264" s="92" t="n"/>
      <c r="E264" s="92" t="n"/>
      <c r="F264" s="92" t="n"/>
      <c r="G264" s="92" t="n"/>
      <c r="H264" s="92" t="n"/>
      <c r="I264" s="92" t="n"/>
      <c r="K264">
        <f>IF(C264="","",IF(COUNTIFS(C$5:C264,C264,E$5:E264,E264)=1,1,0))</f>
        <v/>
      </c>
      <c r="L264">
        <f>IF(C264="",0,IF(AND(B264="brand",E264="budget_probe",N(F264)&gt;=Inputs!$C$114,H264="Y"),1,0))</f>
        <v/>
      </c>
      <c r="M264">
        <f>IF(L264=1,IF(COUNTIFS(C$5:C264,C264,L$5:L264,1)=1,1,0),0)</f>
        <v/>
      </c>
      <c r="N264">
        <f>IF(C264="",0,IF(AND(B264="office",E264="budget_probe",N(F264)&gt;=Inputs!$C$129),1,0))</f>
        <v/>
      </c>
      <c r="O264">
        <f>IF(N264=1,IF(COUNTIFS(C$5:C264,C264,N$5:N264,1)=1,1,0),0)</f>
        <v/>
      </c>
      <c r="P264">
        <f>IF(C264="",0,IF(AND(B264="brand",E264="renewal_answer",N(F264)&gt;=Inputs!$C$125),1,0))</f>
        <v/>
      </c>
      <c r="Q264">
        <f>IF(AND(B264="office",E264="budget_probe",ISNUMBER(F264)),F264,"")</f>
        <v/>
      </c>
      <c r="R264">
        <f>IF(AND(B264="brand",E264="budget_probe",ISNUMBER(F264)),F264,"")</f>
        <v/>
      </c>
    </row>
    <row r="265">
      <c r="A265" s="91" t="n"/>
      <c r="B265" s="92" t="n"/>
      <c r="C265" s="92" t="n"/>
      <c r="D265" s="92" t="n"/>
      <c r="E265" s="92" t="n"/>
      <c r="F265" s="92" t="n"/>
      <c r="G265" s="92" t="n"/>
      <c r="H265" s="92" t="n"/>
      <c r="I265" s="92" t="n"/>
      <c r="K265">
        <f>IF(C265="","",IF(COUNTIFS(C$5:C265,C265,E$5:E265,E265)=1,1,0))</f>
        <v/>
      </c>
      <c r="L265">
        <f>IF(C265="",0,IF(AND(B265="brand",E265="budget_probe",N(F265)&gt;=Inputs!$C$114,H265="Y"),1,0))</f>
        <v/>
      </c>
      <c r="M265">
        <f>IF(L265=1,IF(COUNTIFS(C$5:C265,C265,L$5:L265,1)=1,1,0),0)</f>
        <v/>
      </c>
      <c r="N265">
        <f>IF(C265="",0,IF(AND(B265="office",E265="budget_probe",N(F265)&gt;=Inputs!$C$129),1,0))</f>
        <v/>
      </c>
      <c r="O265">
        <f>IF(N265=1,IF(COUNTIFS(C$5:C265,C265,N$5:N265,1)=1,1,0),0)</f>
        <v/>
      </c>
      <c r="P265">
        <f>IF(C265="",0,IF(AND(B265="brand",E265="renewal_answer",N(F265)&gt;=Inputs!$C$125),1,0))</f>
        <v/>
      </c>
      <c r="Q265">
        <f>IF(AND(B265="office",E265="budget_probe",ISNUMBER(F265)),F265,"")</f>
        <v/>
      </c>
      <c r="R265">
        <f>IF(AND(B265="brand",E265="budget_probe",ISNUMBER(F265)),F265,"")</f>
        <v/>
      </c>
    </row>
    <row r="266">
      <c r="A266" s="91" t="n"/>
      <c r="B266" s="92" t="n"/>
      <c r="C266" s="92" t="n"/>
      <c r="D266" s="92" t="n"/>
      <c r="E266" s="92" t="n"/>
      <c r="F266" s="92" t="n"/>
      <c r="G266" s="92" t="n"/>
      <c r="H266" s="92" t="n"/>
      <c r="I266" s="92" t="n"/>
      <c r="K266">
        <f>IF(C266="","",IF(COUNTIFS(C$5:C266,C266,E$5:E266,E266)=1,1,0))</f>
        <v/>
      </c>
      <c r="L266">
        <f>IF(C266="",0,IF(AND(B266="brand",E266="budget_probe",N(F266)&gt;=Inputs!$C$114,H266="Y"),1,0))</f>
        <v/>
      </c>
      <c r="M266">
        <f>IF(L266=1,IF(COUNTIFS(C$5:C266,C266,L$5:L266,1)=1,1,0),0)</f>
        <v/>
      </c>
      <c r="N266">
        <f>IF(C266="",0,IF(AND(B266="office",E266="budget_probe",N(F266)&gt;=Inputs!$C$129),1,0))</f>
        <v/>
      </c>
      <c r="O266">
        <f>IF(N266=1,IF(COUNTIFS(C$5:C266,C266,N$5:N266,1)=1,1,0),0)</f>
        <v/>
      </c>
      <c r="P266">
        <f>IF(C266="",0,IF(AND(B266="brand",E266="renewal_answer",N(F266)&gt;=Inputs!$C$125),1,0))</f>
        <v/>
      </c>
      <c r="Q266">
        <f>IF(AND(B266="office",E266="budget_probe",ISNUMBER(F266)),F266,"")</f>
        <v/>
      </c>
      <c r="R266">
        <f>IF(AND(B266="brand",E266="budget_probe",ISNUMBER(F266)),F266,"")</f>
        <v/>
      </c>
    </row>
    <row r="267">
      <c r="A267" s="91" t="n"/>
      <c r="B267" s="92" t="n"/>
      <c r="C267" s="92" t="n"/>
      <c r="D267" s="92" t="n"/>
      <c r="E267" s="92" t="n"/>
      <c r="F267" s="92" t="n"/>
      <c r="G267" s="92" t="n"/>
      <c r="H267" s="92" t="n"/>
      <c r="I267" s="92" t="n"/>
      <c r="K267">
        <f>IF(C267="","",IF(COUNTIFS(C$5:C267,C267,E$5:E267,E267)=1,1,0))</f>
        <v/>
      </c>
      <c r="L267">
        <f>IF(C267="",0,IF(AND(B267="brand",E267="budget_probe",N(F267)&gt;=Inputs!$C$114,H267="Y"),1,0))</f>
        <v/>
      </c>
      <c r="M267">
        <f>IF(L267=1,IF(COUNTIFS(C$5:C267,C267,L$5:L267,1)=1,1,0),0)</f>
        <v/>
      </c>
      <c r="N267">
        <f>IF(C267="",0,IF(AND(B267="office",E267="budget_probe",N(F267)&gt;=Inputs!$C$129),1,0))</f>
        <v/>
      </c>
      <c r="O267">
        <f>IF(N267=1,IF(COUNTIFS(C$5:C267,C267,N$5:N267,1)=1,1,0),0)</f>
        <v/>
      </c>
      <c r="P267">
        <f>IF(C267="",0,IF(AND(B267="brand",E267="renewal_answer",N(F267)&gt;=Inputs!$C$125),1,0))</f>
        <v/>
      </c>
      <c r="Q267">
        <f>IF(AND(B267="office",E267="budget_probe",ISNUMBER(F267)),F267,"")</f>
        <v/>
      </c>
      <c r="R267">
        <f>IF(AND(B267="brand",E267="budget_probe",ISNUMBER(F267)),F267,"")</f>
        <v/>
      </c>
    </row>
    <row r="268">
      <c r="A268" s="91" t="n"/>
      <c r="B268" s="92" t="n"/>
      <c r="C268" s="92" t="n"/>
      <c r="D268" s="92" t="n"/>
      <c r="E268" s="92" t="n"/>
      <c r="F268" s="92" t="n"/>
      <c r="G268" s="92" t="n"/>
      <c r="H268" s="92" t="n"/>
      <c r="I268" s="92" t="n"/>
      <c r="K268">
        <f>IF(C268="","",IF(COUNTIFS(C$5:C268,C268,E$5:E268,E268)=1,1,0))</f>
        <v/>
      </c>
      <c r="L268">
        <f>IF(C268="",0,IF(AND(B268="brand",E268="budget_probe",N(F268)&gt;=Inputs!$C$114,H268="Y"),1,0))</f>
        <v/>
      </c>
      <c r="M268">
        <f>IF(L268=1,IF(COUNTIFS(C$5:C268,C268,L$5:L268,1)=1,1,0),0)</f>
        <v/>
      </c>
      <c r="N268">
        <f>IF(C268="",0,IF(AND(B268="office",E268="budget_probe",N(F268)&gt;=Inputs!$C$129),1,0))</f>
        <v/>
      </c>
      <c r="O268">
        <f>IF(N268=1,IF(COUNTIFS(C$5:C268,C268,N$5:N268,1)=1,1,0),0)</f>
        <v/>
      </c>
      <c r="P268">
        <f>IF(C268="",0,IF(AND(B268="brand",E268="renewal_answer",N(F268)&gt;=Inputs!$C$125),1,0))</f>
        <v/>
      </c>
      <c r="Q268">
        <f>IF(AND(B268="office",E268="budget_probe",ISNUMBER(F268)),F268,"")</f>
        <v/>
      </c>
      <c r="R268">
        <f>IF(AND(B268="brand",E268="budget_probe",ISNUMBER(F268)),F268,"")</f>
        <v/>
      </c>
    </row>
    <row r="269">
      <c r="A269" s="91" t="n"/>
      <c r="B269" s="92" t="n"/>
      <c r="C269" s="92" t="n"/>
      <c r="D269" s="92" t="n"/>
      <c r="E269" s="92" t="n"/>
      <c r="F269" s="92" t="n"/>
      <c r="G269" s="92" t="n"/>
      <c r="H269" s="92" t="n"/>
      <c r="I269" s="92" t="n"/>
      <c r="K269">
        <f>IF(C269="","",IF(COUNTIFS(C$5:C269,C269,E$5:E269,E269)=1,1,0))</f>
        <v/>
      </c>
      <c r="L269">
        <f>IF(C269="",0,IF(AND(B269="brand",E269="budget_probe",N(F269)&gt;=Inputs!$C$114,H269="Y"),1,0))</f>
        <v/>
      </c>
      <c r="M269">
        <f>IF(L269=1,IF(COUNTIFS(C$5:C269,C269,L$5:L269,1)=1,1,0),0)</f>
        <v/>
      </c>
      <c r="N269">
        <f>IF(C269="",0,IF(AND(B269="office",E269="budget_probe",N(F269)&gt;=Inputs!$C$129),1,0))</f>
        <v/>
      </c>
      <c r="O269">
        <f>IF(N269=1,IF(COUNTIFS(C$5:C269,C269,N$5:N269,1)=1,1,0),0)</f>
        <v/>
      </c>
      <c r="P269">
        <f>IF(C269="",0,IF(AND(B269="brand",E269="renewal_answer",N(F269)&gt;=Inputs!$C$125),1,0))</f>
        <v/>
      </c>
      <c r="Q269">
        <f>IF(AND(B269="office",E269="budget_probe",ISNUMBER(F269)),F269,"")</f>
        <v/>
      </c>
      <c r="R269">
        <f>IF(AND(B269="brand",E269="budget_probe",ISNUMBER(F269)),F269,"")</f>
        <v/>
      </c>
    </row>
    <row r="270">
      <c r="A270" s="91" t="n"/>
      <c r="B270" s="92" t="n"/>
      <c r="C270" s="92" t="n"/>
      <c r="D270" s="92" t="n"/>
      <c r="E270" s="92" t="n"/>
      <c r="F270" s="92" t="n"/>
      <c r="G270" s="92" t="n"/>
      <c r="H270" s="92" t="n"/>
      <c r="I270" s="92" t="n"/>
      <c r="K270">
        <f>IF(C270="","",IF(COUNTIFS(C$5:C270,C270,E$5:E270,E270)=1,1,0))</f>
        <v/>
      </c>
      <c r="L270">
        <f>IF(C270="",0,IF(AND(B270="brand",E270="budget_probe",N(F270)&gt;=Inputs!$C$114,H270="Y"),1,0))</f>
        <v/>
      </c>
      <c r="M270">
        <f>IF(L270=1,IF(COUNTIFS(C$5:C270,C270,L$5:L270,1)=1,1,0),0)</f>
        <v/>
      </c>
      <c r="N270">
        <f>IF(C270="",0,IF(AND(B270="office",E270="budget_probe",N(F270)&gt;=Inputs!$C$129),1,0))</f>
        <v/>
      </c>
      <c r="O270">
        <f>IF(N270=1,IF(COUNTIFS(C$5:C270,C270,N$5:N270,1)=1,1,0),0)</f>
        <v/>
      </c>
      <c r="P270">
        <f>IF(C270="",0,IF(AND(B270="brand",E270="renewal_answer",N(F270)&gt;=Inputs!$C$125),1,0))</f>
        <v/>
      </c>
      <c r="Q270">
        <f>IF(AND(B270="office",E270="budget_probe",ISNUMBER(F270)),F270,"")</f>
        <v/>
      </c>
      <c r="R270">
        <f>IF(AND(B270="brand",E270="budget_probe",ISNUMBER(F270)),F270,"")</f>
        <v/>
      </c>
    </row>
    <row r="271">
      <c r="A271" s="91" t="n"/>
      <c r="B271" s="92" t="n"/>
      <c r="C271" s="92" t="n"/>
      <c r="D271" s="92" t="n"/>
      <c r="E271" s="92" t="n"/>
      <c r="F271" s="92" t="n"/>
      <c r="G271" s="92" t="n"/>
      <c r="H271" s="92" t="n"/>
      <c r="I271" s="92" t="n"/>
      <c r="K271">
        <f>IF(C271="","",IF(COUNTIFS(C$5:C271,C271,E$5:E271,E271)=1,1,0))</f>
        <v/>
      </c>
      <c r="L271">
        <f>IF(C271="",0,IF(AND(B271="brand",E271="budget_probe",N(F271)&gt;=Inputs!$C$114,H271="Y"),1,0))</f>
        <v/>
      </c>
      <c r="M271">
        <f>IF(L271=1,IF(COUNTIFS(C$5:C271,C271,L$5:L271,1)=1,1,0),0)</f>
        <v/>
      </c>
      <c r="N271">
        <f>IF(C271="",0,IF(AND(B271="office",E271="budget_probe",N(F271)&gt;=Inputs!$C$129),1,0))</f>
        <v/>
      </c>
      <c r="O271">
        <f>IF(N271=1,IF(COUNTIFS(C$5:C271,C271,N$5:N271,1)=1,1,0),0)</f>
        <v/>
      </c>
      <c r="P271">
        <f>IF(C271="",0,IF(AND(B271="brand",E271="renewal_answer",N(F271)&gt;=Inputs!$C$125),1,0))</f>
        <v/>
      </c>
      <c r="Q271">
        <f>IF(AND(B271="office",E271="budget_probe",ISNUMBER(F271)),F271,"")</f>
        <v/>
      </c>
      <c r="R271">
        <f>IF(AND(B271="brand",E271="budget_probe",ISNUMBER(F271)),F271,"")</f>
        <v/>
      </c>
    </row>
    <row r="272">
      <c r="A272" s="91" t="n"/>
      <c r="B272" s="92" t="n"/>
      <c r="C272" s="92" t="n"/>
      <c r="D272" s="92" t="n"/>
      <c r="E272" s="92" t="n"/>
      <c r="F272" s="92" t="n"/>
      <c r="G272" s="92" t="n"/>
      <c r="H272" s="92" t="n"/>
      <c r="I272" s="92" t="n"/>
      <c r="K272">
        <f>IF(C272="","",IF(COUNTIFS(C$5:C272,C272,E$5:E272,E272)=1,1,0))</f>
        <v/>
      </c>
      <c r="L272">
        <f>IF(C272="",0,IF(AND(B272="brand",E272="budget_probe",N(F272)&gt;=Inputs!$C$114,H272="Y"),1,0))</f>
        <v/>
      </c>
      <c r="M272">
        <f>IF(L272=1,IF(COUNTIFS(C$5:C272,C272,L$5:L272,1)=1,1,0),0)</f>
        <v/>
      </c>
      <c r="N272">
        <f>IF(C272="",0,IF(AND(B272="office",E272="budget_probe",N(F272)&gt;=Inputs!$C$129),1,0))</f>
        <v/>
      </c>
      <c r="O272">
        <f>IF(N272=1,IF(COUNTIFS(C$5:C272,C272,N$5:N272,1)=1,1,0),0)</f>
        <v/>
      </c>
      <c r="P272">
        <f>IF(C272="",0,IF(AND(B272="brand",E272="renewal_answer",N(F272)&gt;=Inputs!$C$125),1,0))</f>
        <v/>
      </c>
      <c r="Q272">
        <f>IF(AND(B272="office",E272="budget_probe",ISNUMBER(F272)),F272,"")</f>
        <v/>
      </c>
      <c r="R272">
        <f>IF(AND(B272="brand",E272="budget_probe",ISNUMBER(F272)),F272,"")</f>
        <v/>
      </c>
    </row>
    <row r="273">
      <c r="A273" s="91" t="n"/>
      <c r="B273" s="92" t="n"/>
      <c r="C273" s="92" t="n"/>
      <c r="D273" s="92" t="n"/>
      <c r="E273" s="92" t="n"/>
      <c r="F273" s="92" t="n"/>
      <c r="G273" s="92" t="n"/>
      <c r="H273" s="92" t="n"/>
      <c r="I273" s="92" t="n"/>
      <c r="K273">
        <f>IF(C273="","",IF(COUNTIFS(C$5:C273,C273,E$5:E273,E273)=1,1,0))</f>
        <v/>
      </c>
      <c r="L273">
        <f>IF(C273="",0,IF(AND(B273="brand",E273="budget_probe",N(F273)&gt;=Inputs!$C$114,H273="Y"),1,0))</f>
        <v/>
      </c>
      <c r="M273">
        <f>IF(L273=1,IF(COUNTIFS(C$5:C273,C273,L$5:L273,1)=1,1,0),0)</f>
        <v/>
      </c>
      <c r="N273">
        <f>IF(C273="",0,IF(AND(B273="office",E273="budget_probe",N(F273)&gt;=Inputs!$C$129),1,0))</f>
        <v/>
      </c>
      <c r="O273">
        <f>IF(N273=1,IF(COUNTIFS(C$5:C273,C273,N$5:N273,1)=1,1,0),0)</f>
        <v/>
      </c>
      <c r="P273">
        <f>IF(C273="",0,IF(AND(B273="brand",E273="renewal_answer",N(F273)&gt;=Inputs!$C$125),1,0))</f>
        <v/>
      </c>
      <c r="Q273">
        <f>IF(AND(B273="office",E273="budget_probe",ISNUMBER(F273)),F273,"")</f>
        <v/>
      </c>
      <c r="R273">
        <f>IF(AND(B273="brand",E273="budget_probe",ISNUMBER(F273)),F273,"")</f>
        <v/>
      </c>
    </row>
    <row r="274">
      <c r="A274" s="91" t="n"/>
      <c r="B274" s="92" t="n"/>
      <c r="C274" s="92" t="n"/>
      <c r="D274" s="92" t="n"/>
      <c r="E274" s="92" t="n"/>
      <c r="F274" s="92" t="n"/>
      <c r="G274" s="92" t="n"/>
      <c r="H274" s="92" t="n"/>
      <c r="I274" s="92" t="n"/>
      <c r="K274">
        <f>IF(C274="","",IF(COUNTIFS(C$5:C274,C274,E$5:E274,E274)=1,1,0))</f>
        <v/>
      </c>
      <c r="L274">
        <f>IF(C274="",0,IF(AND(B274="brand",E274="budget_probe",N(F274)&gt;=Inputs!$C$114,H274="Y"),1,0))</f>
        <v/>
      </c>
      <c r="M274">
        <f>IF(L274=1,IF(COUNTIFS(C$5:C274,C274,L$5:L274,1)=1,1,0),0)</f>
        <v/>
      </c>
      <c r="N274">
        <f>IF(C274="",0,IF(AND(B274="office",E274="budget_probe",N(F274)&gt;=Inputs!$C$129),1,0))</f>
        <v/>
      </c>
      <c r="O274">
        <f>IF(N274=1,IF(COUNTIFS(C$5:C274,C274,N$5:N274,1)=1,1,0),0)</f>
        <v/>
      </c>
      <c r="P274">
        <f>IF(C274="",0,IF(AND(B274="brand",E274="renewal_answer",N(F274)&gt;=Inputs!$C$125),1,0))</f>
        <v/>
      </c>
      <c r="Q274">
        <f>IF(AND(B274="office",E274="budget_probe",ISNUMBER(F274)),F274,"")</f>
        <v/>
      </c>
      <c r="R274">
        <f>IF(AND(B274="brand",E274="budget_probe",ISNUMBER(F274)),F274,"")</f>
        <v/>
      </c>
    </row>
    <row r="275">
      <c r="A275" s="91" t="n"/>
      <c r="B275" s="92" t="n"/>
      <c r="C275" s="92" t="n"/>
      <c r="D275" s="92" t="n"/>
      <c r="E275" s="92" t="n"/>
      <c r="F275" s="92" t="n"/>
      <c r="G275" s="92" t="n"/>
      <c r="H275" s="92" t="n"/>
      <c r="I275" s="92" t="n"/>
      <c r="K275">
        <f>IF(C275="","",IF(COUNTIFS(C$5:C275,C275,E$5:E275,E275)=1,1,0))</f>
        <v/>
      </c>
      <c r="L275">
        <f>IF(C275="",0,IF(AND(B275="brand",E275="budget_probe",N(F275)&gt;=Inputs!$C$114,H275="Y"),1,0))</f>
        <v/>
      </c>
      <c r="M275">
        <f>IF(L275=1,IF(COUNTIFS(C$5:C275,C275,L$5:L275,1)=1,1,0),0)</f>
        <v/>
      </c>
      <c r="N275">
        <f>IF(C275="",0,IF(AND(B275="office",E275="budget_probe",N(F275)&gt;=Inputs!$C$129),1,0))</f>
        <v/>
      </c>
      <c r="O275">
        <f>IF(N275=1,IF(COUNTIFS(C$5:C275,C275,N$5:N275,1)=1,1,0),0)</f>
        <v/>
      </c>
      <c r="P275">
        <f>IF(C275="",0,IF(AND(B275="brand",E275="renewal_answer",N(F275)&gt;=Inputs!$C$125),1,0))</f>
        <v/>
      </c>
      <c r="Q275">
        <f>IF(AND(B275="office",E275="budget_probe",ISNUMBER(F275)),F275,"")</f>
        <v/>
      </c>
      <c r="R275">
        <f>IF(AND(B275="brand",E275="budget_probe",ISNUMBER(F275)),F275,"")</f>
        <v/>
      </c>
    </row>
    <row r="276">
      <c r="A276" s="91" t="n"/>
      <c r="B276" s="92" t="n"/>
      <c r="C276" s="92" t="n"/>
      <c r="D276" s="92" t="n"/>
      <c r="E276" s="92" t="n"/>
      <c r="F276" s="92" t="n"/>
      <c r="G276" s="92" t="n"/>
      <c r="H276" s="92" t="n"/>
      <c r="I276" s="92" t="n"/>
      <c r="K276">
        <f>IF(C276="","",IF(COUNTIFS(C$5:C276,C276,E$5:E276,E276)=1,1,0))</f>
        <v/>
      </c>
      <c r="L276">
        <f>IF(C276="",0,IF(AND(B276="brand",E276="budget_probe",N(F276)&gt;=Inputs!$C$114,H276="Y"),1,0))</f>
        <v/>
      </c>
      <c r="M276">
        <f>IF(L276=1,IF(COUNTIFS(C$5:C276,C276,L$5:L276,1)=1,1,0),0)</f>
        <v/>
      </c>
      <c r="N276">
        <f>IF(C276="",0,IF(AND(B276="office",E276="budget_probe",N(F276)&gt;=Inputs!$C$129),1,0))</f>
        <v/>
      </c>
      <c r="O276">
        <f>IF(N276=1,IF(COUNTIFS(C$5:C276,C276,N$5:N276,1)=1,1,0),0)</f>
        <v/>
      </c>
      <c r="P276">
        <f>IF(C276="",0,IF(AND(B276="brand",E276="renewal_answer",N(F276)&gt;=Inputs!$C$125),1,0))</f>
        <v/>
      </c>
      <c r="Q276">
        <f>IF(AND(B276="office",E276="budget_probe",ISNUMBER(F276)),F276,"")</f>
        <v/>
      </c>
      <c r="R276">
        <f>IF(AND(B276="brand",E276="budget_probe",ISNUMBER(F276)),F276,"")</f>
        <v/>
      </c>
    </row>
    <row r="277">
      <c r="A277" s="91" t="n"/>
      <c r="B277" s="92" t="n"/>
      <c r="C277" s="92" t="n"/>
      <c r="D277" s="92" t="n"/>
      <c r="E277" s="92" t="n"/>
      <c r="F277" s="92" t="n"/>
      <c r="G277" s="92" t="n"/>
      <c r="H277" s="92" t="n"/>
      <c r="I277" s="92" t="n"/>
      <c r="K277">
        <f>IF(C277="","",IF(COUNTIFS(C$5:C277,C277,E$5:E277,E277)=1,1,0))</f>
        <v/>
      </c>
      <c r="L277">
        <f>IF(C277="",0,IF(AND(B277="brand",E277="budget_probe",N(F277)&gt;=Inputs!$C$114,H277="Y"),1,0))</f>
        <v/>
      </c>
      <c r="M277">
        <f>IF(L277=1,IF(COUNTIFS(C$5:C277,C277,L$5:L277,1)=1,1,0),0)</f>
        <v/>
      </c>
      <c r="N277">
        <f>IF(C277="",0,IF(AND(B277="office",E277="budget_probe",N(F277)&gt;=Inputs!$C$129),1,0))</f>
        <v/>
      </c>
      <c r="O277">
        <f>IF(N277=1,IF(COUNTIFS(C$5:C277,C277,N$5:N277,1)=1,1,0),0)</f>
        <v/>
      </c>
      <c r="P277">
        <f>IF(C277="",0,IF(AND(B277="brand",E277="renewal_answer",N(F277)&gt;=Inputs!$C$125),1,0))</f>
        <v/>
      </c>
      <c r="Q277">
        <f>IF(AND(B277="office",E277="budget_probe",ISNUMBER(F277)),F277,"")</f>
        <v/>
      </c>
      <c r="R277">
        <f>IF(AND(B277="brand",E277="budget_probe",ISNUMBER(F277)),F277,"")</f>
        <v/>
      </c>
    </row>
    <row r="278">
      <c r="A278" s="91" t="n"/>
      <c r="B278" s="92" t="n"/>
      <c r="C278" s="92" t="n"/>
      <c r="D278" s="92" t="n"/>
      <c r="E278" s="92" t="n"/>
      <c r="F278" s="92" t="n"/>
      <c r="G278" s="92" t="n"/>
      <c r="H278" s="92" t="n"/>
      <c r="I278" s="92" t="n"/>
      <c r="K278">
        <f>IF(C278="","",IF(COUNTIFS(C$5:C278,C278,E$5:E278,E278)=1,1,0))</f>
        <v/>
      </c>
      <c r="L278">
        <f>IF(C278="",0,IF(AND(B278="brand",E278="budget_probe",N(F278)&gt;=Inputs!$C$114,H278="Y"),1,0))</f>
        <v/>
      </c>
      <c r="M278">
        <f>IF(L278=1,IF(COUNTIFS(C$5:C278,C278,L$5:L278,1)=1,1,0),0)</f>
        <v/>
      </c>
      <c r="N278">
        <f>IF(C278="",0,IF(AND(B278="office",E278="budget_probe",N(F278)&gt;=Inputs!$C$129),1,0))</f>
        <v/>
      </c>
      <c r="O278">
        <f>IF(N278=1,IF(COUNTIFS(C$5:C278,C278,N$5:N278,1)=1,1,0),0)</f>
        <v/>
      </c>
      <c r="P278">
        <f>IF(C278="",0,IF(AND(B278="brand",E278="renewal_answer",N(F278)&gt;=Inputs!$C$125),1,0))</f>
        <v/>
      </c>
      <c r="Q278">
        <f>IF(AND(B278="office",E278="budget_probe",ISNUMBER(F278)),F278,"")</f>
        <v/>
      </c>
      <c r="R278">
        <f>IF(AND(B278="brand",E278="budget_probe",ISNUMBER(F278)),F278,"")</f>
        <v/>
      </c>
    </row>
    <row r="279">
      <c r="A279" s="91" t="n"/>
      <c r="B279" s="92" t="n"/>
      <c r="C279" s="92" t="n"/>
      <c r="D279" s="92" t="n"/>
      <c r="E279" s="92" t="n"/>
      <c r="F279" s="92" t="n"/>
      <c r="G279" s="92" t="n"/>
      <c r="H279" s="92" t="n"/>
      <c r="I279" s="92" t="n"/>
      <c r="K279">
        <f>IF(C279="","",IF(COUNTIFS(C$5:C279,C279,E$5:E279,E279)=1,1,0))</f>
        <v/>
      </c>
      <c r="L279">
        <f>IF(C279="",0,IF(AND(B279="brand",E279="budget_probe",N(F279)&gt;=Inputs!$C$114,H279="Y"),1,0))</f>
        <v/>
      </c>
      <c r="M279">
        <f>IF(L279=1,IF(COUNTIFS(C$5:C279,C279,L$5:L279,1)=1,1,0),0)</f>
        <v/>
      </c>
      <c r="N279">
        <f>IF(C279="",0,IF(AND(B279="office",E279="budget_probe",N(F279)&gt;=Inputs!$C$129),1,0))</f>
        <v/>
      </c>
      <c r="O279">
        <f>IF(N279=1,IF(COUNTIFS(C$5:C279,C279,N$5:N279,1)=1,1,0),0)</f>
        <v/>
      </c>
      <c r="P279">
        <f>IF(C279="",0,IF(AND(B279="brand",E279="renewal_answer",N(F279)&gt;=Inputs!$C$125),1,0))</f>
        <v/>
      </c>
      <c r="Q279">
        <f>IF(AND(B279="office",E279="budget_probe",ISNUMBER(F279)),F279,"")</f>
        <v/>
      </c>
      <c r="R279">
        <f>IF(AND(B279="brand",E279="budget_probe",ISNUMBER(F279)),F279,"")</f>
        <v/>
      </c>
    </row>
    <row r="280">
      <c r="A280" s="91" t="n"/>
      <c r="B280" s="92" t="n"/>
      <c r="C280" s="92" t="n"/>
      <c r="D280" s="92" t="n"/>
      <c r="E280" s="92" t="n"/>
      <c r="F280" s="92" t="n"/>
      <c r="G280" s="92" t="n"/>
      <c r="H280" s="92" t="n"/>
      <c r="I280" s="92" t="n"/>
      <c r="K280">
        <f>IF(C280="","",IF(COUNTIFS(C$5:C280,C280,E$5:E280,E280)=1,1,0))</f>
        <v/>
      </c>
      <c r="L280">
        <f>IF(C280="",0,IF(AND(B280="brand",E280="budget_probe",N(F280)&gt;=Inputs!$C$114,H280="Y"),1,0))</f>
        <v/>
      </c>
      <c r="M280">
        <f>IF(L280=1,IF(COUNTIFS(C$5:C280,C280,L$5:L280,1)=1,1,0),0)</f>
        <v/>
      </c>
      <c r="N280">
        <f>IF(C280="",0,IF(AND(B280="office",E280="budget_probe",N(F280)&gt;=Inputs!$C$129),1,0))</f>
        <v/>
      </c>
      <c r="O280">
        <f>IF(N280=1,IF(COUNTIFS(C$5:C280,C280,N$5:N280,1)=1,1,0),0)</f>
        <v/>
      </c>
      <c r="P280">
        <f>IF(C280="",0,IF(AND(B280="brand",E280="renewal_answer",N(F280)&gt;=Inputs!$C$125),1,0))</f>
        <v/>
      </c>
      <c r="Q280">
        <f>IF(AND(B280="office",E280="budget_probe",ISNUMBER(F280)),F280,"")</f>
        <v/>
      </c>
      <c r="R280">
        <f>IF(AND(B280="brand",E280="budget_probe",ISNUMBER(F280)),F280,"")</f>
        <v/>
      </c>
    </row>
    <row r="281">
      <c r="A281" s="91" t="n"/>
      <c r="B281" s="92" t="n"/>
      <c r="C281" s="92" t="n"/>
      <c r="D281" s="92" t="n"/>
      <c r="E281" s="92" t="n"/>
      <c r="F281" s="92" t="n"/>
      <c r="G281" s="92" t="n"/>
      <c r="H281" s="92" t="n"/>
      <c r="I281" s="92" t="n"/>
      <c r="K281">
        <f>IF(C281="","",IF(COUNTIFS(C$5:C281,C281,E$5:E281,E281)=1,1,0))</f>
        <v/>
      </c>
      <c r="L281">
        <f>IF(C281="",0,IF(AND(B281="brand",E281="budget_probe",N(F281)&gt;=Inputs!$C$114,H281="Y"),1,0))</f>
        <v/>
      </c>
      <c r="M281">
        <f>IF(L281=1,IF(COUNTIFS(C$5:C281,C281,L$5:L281,1)=1,1,0),0)</f>
        <v/>
      </c>
      <c r="N281">
        <f>IF(C281="",0,IF(AND(B281="office",E281="budget_probe",N(F281)&gt;=Inputs!$C$129),1,0))</f>
        <v/>
      </c>
      <c r="O281">
        <f>IF(N281=1,IF(COUNTIFS(C$5:C281,C281,N$5:N281,1)=1,1,0),0)</f>
        <v/>
      </c>
      <c r="P281">
        <f>IF(C281="",0,IF(AND(B281="brand",E281="renewal_answer",N(F281)&gt;=Inputs!$C$125),1,0))</f>
        <v/>
      </c>
      <c r="Q281">
        <f>IF(AND(B281="office",E281="budget_probe",ISNUMBER(F281)),F281,"")</f>
        <v/>
      </c>
      <c r="R281">
        <f>IF(AND(B281="brand",E281="budget_probe",ISNUMBER(F281)),F281,"")</f>
        <v/>
      </c>
    </row>
    <row r="282">
      <c r="A282" s="91" t="n"/>
      <c r="B282" s="92" t="n"/>
      <c r="C282" s="92" t="n"/>
      <c r="D282" s="92" t="n"/>
      <c r="E282" s="92" t="n"/>
      <c r="F282" s="92" t="n"/>
      <c r="G282" s="92" t="n"/>
      <c r="H282" s="92" t="n"/>
      <c r="I282" s="92" t="n"/>
      <c r="K282">
        <f>IF(C282="","",IF(COUNTIFS(C$5:C282,C282,E$5:E282,E282)=1,1,0))</f>
        <v/>
      </c>
      <c r="L282">
        <f>IF(C282="",0,IF(AND(B282="brand",E282="budget_probe",N(F282)&gt;=Inputs!$C$114,H282="Y"),1,0))</f>
        <v/>
      </c>
      <c r="M282">
        <f>IF(L282=1,IF(COUNTIFS(C$5:C282,C282,L$5:L282,1)=1,1,0),0)</f>
        <v/>
      </c>
      <c r="N282">
        <f>IF(C282="",0,IF(AND(B282="office",E282="budget_probe",N(F282)&gt;=Inputs!$C$129),1,0))</f>
        <v/>
      </c>
      <c r="O282">
        <f>IF(N282=1,IF(COUNTIFS(C$5:C282,C282,N$5:N282,1)=1,1,0),0)</f>
        <v/>
      </c>
      <c r="P282">
        <f>IF(C282="",0,IF(AND(B282="brand",E282="renewal_answer",N(F282)&gt;=Inputs!$C$125),1,0))</f>
        <v/>
      </c>
      <c r="Q282">
        <f>IF(AND(B282="office",E282="budget_probe",ISNUMBER(F282)),F282,"")</f>
        <v/>
      </c>
      <c r="R282">
        <f>IF(AND(B282="brand",E282="budget_probe",ISNUMBER(F282)),F282,"")</f>
        <v/>
      </c>
    </row>
    <row r="283">
      <c r="A283" s="91" t="n"/>
      <c r="B283" s="92" t="n"/>
      <c r="C283" s="92" t="n"/>
      <c r="D283" s="92" t="n"/>
      <c r="E283" s="92" t="n"/>
      <c r="F283" s="92" t="n"/>
      <c r="G283" s="92" t="n"/>
      <c r="H283" s="92" t="n"/>
      <c r="I283" s="92" t="n"/>
      <c r="K283">
        <f>IF(C283="","",IF(COUNTIFS(C$5:C283,C283,E$5:E283,E283)=1,1,0))</f>
        <v/>
      </c>
      <c r="L283">
        <f>IF(C283="",0,IF(AND(B283="brand",E283="budget_probe",N(F283)&gt;=Inputs!$C$114,H283="Y"),1,0))</f>
        <v/>
      </c>
      <c r="M283">
        <f>IF(L283=1,IF(COUNTIFS(C$5:C283,C283,L$5:L283,1)=1,1,0),0)</f>
        <v/>
      </c>
      <c r="N283">
        <f>IF(C283="",0,IF(AND(B283="office",E283="budget_probe",N(F283)&gt;=Inputs!$C$129),1,0))</f>
        <v/>
      </c>
      <c r="O283">
        <f>IF(N283=1,IF(COUNTIFS(C$5:C283,C283,N$5:N283,1)=1,1,0),0)</f>
        <v/>
      </c>
      <c r="P283">
        <f>IF(C283="",0,IF(AND(B283="brand",E283="renewal_answer",N(F283)&gt;=Inputs!$C$125),1,0))</f>
        <v/>
      </c>
      <c r="Q283">
        <f>IF(AND(B283="office",E283="budget_probe",ISNUMBER(F283)),F283,"")</f>
        <v/>
      </c>
      <c r="R283">
        <f>IF(AND(B283="brand",E283="budget_probe",ISNUMBER(F283)),F283,"")</f>
        <v/>
      </c>
    </row>
    <row r="284">
      <c r="A284" s="91" t="n"/>
      <c r="B284" s="92" t="n"/>
      <c r="C284" s="92" t="n"/>
      <c r="D284" s="92" t="n"/>
      <c r="E284" s="92" t="n"/>
      <c r="F284" s="92" t="n"/>
      <c r="G284" s="92" t="n"/>
      <c r="H284" s="92" t="n"/>
      <c r="I284" s="92" t="n"/>
      <c r="K284">
        <f>IF(C284="","",IF(COUNTIFS(C$5:C284,C284,E$5:E284,E284)=1,1,0))</f>
        <v/>
      </c>
      <c r="L284">
        <f>IF(C284="",0,IF(AND(B284="brand",E284="budget_probe",N(F284)&gt;=Inputs!$C$114,H284="Y"),1,0))</f>
        <v/>
      </c>
      <c r="M284">
        <f>IF(L284=1,IF(COUNTIFS(C$5:C284,C284,L$5:L284,1)=1,1,0),0)</f>
        <v/>
      </c>
      <c r="N284">
        <f>IF(C284="",0,IF(AND(B284="office",E284="budget_probe",N(F284)&gt;=Inputs!$C$129),1,0))</f>
        <v/>
      </c>
      <c r="O284">
        <f>IF(N284=1,IF(COUNTIFS(C$5:C284,C284,N$5:N284,1)=1,1,0),0)</f>
        <v/>
      </c>
      <c r="P284">
        <f>IF(C284="",0,IF(AND(B284="brand",E284="renewal_answer",N(F284)&gt;=Inputs!$C$125),1,0))</f>
        <v/>
      </c>
      <c r="Q284">
        <f>IF(AND(B284="office",E284="budget_probe",ISNUMBER(F284)),F284,"")</f>
        <v/>
      </c>
      <c r="R284">
        <f>IF(AND(B284="brand",E284="budget_probe",ISNUMBER(F284)),F284,"")</f>
        <v/>
      </c>
    </row>
    <row r="285">
      <c r="A285" s="91" t="n"/>
      <c r="B285" s="92" t="n"/>
      <c r="C285" s="92" t="n"/>
      <c r="D285" s="92" t="n"/>
      <c r="E285" s="92" t="n"/>
      <c r="F285" s="92" t="n"/>
      <c r="G285" s="92" t="n"/>
      <c r="H285" s="92" t="n"/>
      <c r="I285" s="92" t="n"/>
      <c r="K285">
        <f>IF(C285="","",IF(COUNTIFS(C$5:C285,C285,E$5:E285,E285)=1,1,0))</f>
        <v/>
      </c>
      <c r="L285">
        <f>IF(C285="",0,IF(AND(B285="brand",E285="budget_probe",N(F285)&gt;=Inputs!$C$114,H285="Y"),1,0))</f>
        <v/>
      </c>
      <c r="M285">
        <f>IF(L285=1,IF(COUNTIFS(C$5:C285,C285,L$5:L285,1)=1,1,0),0)</f>
        <v/>
      </c>
      <c r="N285">
        <f>IF(C285="",0,IF(AND(B285="office",E285="budget_probe",N(F285)&gt;=Inputs!$C$129),1,0))</f>
        <v/>
      </c>
      <c r="O285">
        <f>IF(N285=1,IF(COUNTIFS(C$5:C285,C285,N$5:N285,1)=1,1,0),0)</f>
        <v/>
      </c>
      <c r="P285">
        <f>IF(C285="",0,IF(AND(B285="brand",E285="renewal_answer",N(F285)&gt;=Inputs!$C$125),1,0))</f>
        <v/>
      </c>
      <c r="Q285">
        <f>IF(AND(B285="office",E285="budget_probe",ISNUMBER(F285)),F285,"")</f>
        <v/>
      </c>
      <c r="R285">
        <f>IF(AND(B285="brand",E285="budget_probe",ISNUMBER(F285)),F285,"")</f>
        <v/>
      </c>
    </row>
    <row r="286">
      <c r="A286" s="91" t="n"/>
      <c r="B286" s="92" t="n"/>
      <c r="C286" s="92" t="n"/>
      <c r="D286" s="92" t="n"/>
      <c r="E286" s="92" t="n"/>
      <c r="F286" s="92" t="n"/>
      <c r="G286" s="92" t="n"/>
      <c r="H286" s="92" t="n"/>
      <c r="I286" s="92" t="n"/>
      <c r="K286">
        <f>IF(C286="","",IF(COUNTIFS(C$5:C286,C286,E$5:E286,E286)=1,1,0))</f>
        <v/>
      </c>
      <c r="L286">
        <f>IF(C286="",0,IF(AND(B286="brand",E286="budget_probe",N(F286)&gt;=Inputs!$C$114,H286="Y"),1,0))</f>
        <v/>
      </c>
      <c r="M286">
        <f>IF(L286=1,IF(COUNTIFS(C$5:C286,C286,L$5:L286,1)=1,1,0),0)</f>
        <v/>
      </c>
      <c r="N286">
        <f>IF(C286="",0,IF(AND(B286="office",E286="budget_probe",N(F286)&gt;=Inputs!$C$129),1,0))</f>
        <v/>
      </c>
      <c r="O286">
        <f>IF(N286=1,IF(COUNTIFS(C$5:C286,C286,N$5:N286,1)=1,1,0),0)</f>
        <v/>
      </c>
      <c r="P286">
        <f>IF(C286="",0,IF(AND(B286="brand",E286="renewal_answer",N(F286)&gt;=Inputs!$C$125),1,0))</f>
        <v/>
      </c>
      <c r="Q286">
        <f>IF(AND(B286="office",E286="budget_probe",ISNUMBER(F286)),F286,"")</f>
        <v/>
      </c>
      <c r="R286">
        <f>IF(AND(B286="brand",E286="budget_probe",ISNUMBER(F286)),F286,"")</f>
        <v/>
      </c>
    </row>
    <row r="287">
      <c r="A287" s="91" t="n"/>
      <c r="B287" s="92" t="n"/>
      <c r="C287" s="92" t="n"/>
      <c r="D287" s="92" t="n"/>
      <c r="E287" s="92" t="n"/>
      <c r="F287" s="92" t="n"/>
      <c r="G287" s="92" t="n"/>
      <c r="H287" s="92" t="n"/>
      <c r="I287" s="92" t="n"/>
      <c r="K287">
        <f>IF(C287="","",IF(COUNTIFS(C$5:C287,C287,E$5:E287,E287)=1,1,0))</f>
        <v/>
      </c>
      <c r="L287">
        <f>IF(C287="",0,IF(AND(B287="brand",E287="budget_probe",N(F287)&gt;=Inputs!$C$114,H287="Y"),1,0))</f>
        <v/>
      </c>
      <c r="M287">
        <f>IF(L287=1,IF(COUNTIFS(C$5:C287,C287,L$5:L287,1)=1,1,0),0)</f>
        <v/>
      </c>
      <c r="N287">
        <f>IF(C287="",0,IF(AND(B287="office",E287="budget_probe",N(F287)&gt;=Inputs!$C$129),1,0))</f>
        <v/>
      </c>
      <c r="O287">
        <f>IF(N287=1,IF(COUNTIFS(C$5:C287,C287,N$5:N287,1)=1,1,0),0)</f>
        <v/>
      </c>
      <c r="P287">
        <f>IF(C287="",0,IF(AND(B287="brand",E287="renewal_answer",N(F287)&gt;=Inputs!$C$125),1,0))</f>
        <v/>
      </c>
      <c r="Q287">
        <f>IF(AND(B287="office",E287="budget_probe",ISNUMBER(F287)),F287,"")</f>
        <v/>
      </c>
      <c r="R287">
        <f>IF(AND(B287="brand",E287="budget_probe",ISNUMBER(F287)),F287,"")</f>
        <v/>
      </c>
    </row>
    <row r="288">
      <c r="A288" s="91" t="n"/>
      <c r="B288" s="92" t="n"/>
      <c r="C288" s="92" t="n"/>
      <c r="D288" s="92" t="n"/>
      <c r="E288" s="92" t="n"/>
      <c r="F288" s="92" t="n"/>
      <c r="G288" s="92" t="n"/>
      <c r="H288" s="92" t="n"/>
      <c r="I288" s="92" t="n"/>
      <c r="K288">
        <f>IF(C288="","",IF(COUNTIFS(C$5:C288,C288,E$5:E288,E288)=1,1,0))</f>
        <v/>
      </c>
      <c r="L288">
        <f>IF(C288="",0,IF(AND(B288="brand",E288="budget_probe",N(F288)&gt;=Inputs!$C$114,H288="Y"),1,0))</f>
        <v/>
      </c>
      <c r="M288">
        <f>IF(L288=1,IF(COUNTIFS(C$5:C288,C288,L$5:L288,1)=1,1,0),0)</f>
        <v/>
      </c>
      <c r="N288">
        <f>IF(C288="",0,IF(AND(B288="office",E288="budget_probe",N(F288)&gt;=Inputs!$C$129),1,0))</f>
        <v/>
      </c>
      <c r="O288">
        <f>IF(N288=1,IF(COUNTIFS(C$5:C288,C288,N$5:N288,1)=1,1,0),0)</f>
        <v/>
      </c>
      <c r="P288">
        <f>IF(C288="",0,IF(AND(B288="brand",E288="renewal_answer",N(F288)&gt;=Inputs!$C$125),1,0))</f>
        <v/>
      </c>
      <c r="Q288">
        <f>IF(AND(B288="office",E288="budget_probe",ISNUMBER(F288)),F288,"")</f>
        <v/>
      </c>
      <c r="R288">
        <f>IF(AND(B288="brand",E288="budget_probe",ISNUMBER(F288)),F288,"")</f>
        <v/>
      </c>
    </row>
    <row r="289">
      <c r="A289" s="91" t="n"/>
      <c r="B289" s="92" t="n"/>
      <c r="C289" s="92" t="n"/>
      <c r="D289" s="92" t="n"/>
      <c r="E289" s="92" t="n"/>
      <c r="F289" s="92" t="n"/>
      <c r="G289" s="92" t="n"/>
      <c r="H289" s="92" t="n"/>
      <c r="I289" s="92" t="n"/>
      <c r="K289">
        <f>IF(C289="","",IF(COUNTIFS(C$5:C289,C289,E$5:E289,E289)=1,1,0))</f>
        <v/>
      </c>
      <c r="L289">
        <f>IF(C289="",0,IF(AND(B289="brand",E289="budget_probe",N(F289)&gt;=Inputs!$C$114,H289="Y"),1,0))</f>
        <v/>
      </c>
      <c r="M289">
        <f>IF(L289=1,IF(COUNTIFS(C$5:C289,C289,L$5:L289,1)=1,1,0),0)</f>
        <v/>
      </c>
      <c r="N289">
        <f>IF(C289="",0,IF(AND(B289="office",E289="budget_probe",N(F289)&gt;=Inputs!$C$129),1,0))</f>
        <v/>
      </c>
      <c r="O289">
        <f>IF(N289=1,IF(COUNTIFS(C$5:C289,C289,N$5:N289,1)=1,1,0),0)</f>
        <v/>
      </c>
      <c r="P289">
        <f>IF(C289="",0,IF(AND(B289="brand",E289="renewal_answer",N(F289)&gt;=Inputs!$C$125),1,0))</f>
        <v/>
      </c>
      <c r="Q289">
        <f>IF(AND(B289="office",E289="budget_probe",ISNUMBER(F289)),F289,"")</f>
        <v/>
      </c>
      <c r="R289">
        <f>IF(AND(B289="brand",E289="budget_probe",ISNUMBER(F289)),F289,"")</f>
        <v/>
      </c>
    </row>
    <row r="290">
      <c r="A290" s="91" t="n"/>
      <c r="B290" s="92" t="n"/>
      <c r="C290" s="92" t="n"/>
      <c r="D290" s="92" t="n"/>
      <c r="E290" s="92" t="n"/>
      <c r="F290" s="92" t="n"/>
      <c r="G290" s="92" t="n"/>
      <c r="H290" s="92" t="n"/>
      <c r="I290" s="92" t="n"/>
      <c r="K290">
        <f>IF(C290="","",IF(COUNTIFS(C$5:C290,C290,E$5:E290,E290)=1,1,0))</f>
        <v/>
      </c>
      <c r="L290">
        <f>IF(C290="",0,IF(AND(B290="brand",E290="budget_probe",N(F290)&gt;=Inputs!$C$114,H290="Y"),1,0))</f>
        <v/>
      </c>
      <c r="M290">
        <f>IF(L290=1,IF(COUNTIFS(C$5:C290,C290,L$5:L290,1)=1,1,0),0)</f>
        <v/>
      </c>
      <c r="N290">
        <f>IF(C290="",0,IF(AND(B290="office",E290="budget_probe",N(F290)&gt;=Inputs!$C$129),1,0))</f>
        <v/>
      </c>
      <c r="O290">
        <f>IF(N290=1,IF(COUNTIFS(C$5:C290,C290,N$5:N290,1)=1,1,0),0)</f>
        <v/>
      </c>
      <c r="P290">
        <f>IF(C290="",0,IF(AND(B290="brand",E290="renewal_answer",N(F290)&gt;=Inputs!$C$125),1,0))</f>
        <v/>
      </c>
      <c r="Q290">
        <f>IF(AND(B290="office",E290="budget_probe",ISNUMBER(F290)),F290,"")</f>
        <v/>
      </c>
      <c r="R290">
        <f>IF(AND(B290="brand",E290="budget_probe",ISNUMBER(F290)),F290,"")</f>
        <v/>
      </c>
    </row>
    <row r="291">
      <c r="A291" s="91" t="n"/>
      <c r="B291" s="92" t="n"/>
      <c r="C291" s="92" t="n"/>
      <c r="D291" s="92" t="n"/>
      <c r="E291" s="92" t="n"/>
      <c r="F291" s="92" t="n"/>
      <c r="G291" s="92" t="n"/>
      <c r="H291" s="92" t="n"/>
      <c r="I291" s="92" t="n"/>
      <c r="K291">
        <f>IF(C291="","",IF(COUNTIFS(C$5:C291,C291,E$5:E291,E291)=1,1,0))</f>
        <v/>
      </c>
      <c r="L291">
        <f>IF(C291="",0,IF(AND(B291="brand",E291="budget_probe",N(F291)&gt;=Inputs!$C$114,H291="Y"),1,0))</f>
        <v/>
      </c>
      <c r="M291">
        <f>IF(L291=1,IF(COUNTIFS(C$5:C291,C291,L$5:L291,1)=1,1,0),0)</f>
        <v/>
      </c>
      <c r="N291">
        <f>IF(C291="",0,IF(AND(B291="office",E291="budget_probe",N(F291)&gt;=Inputs!$C$129),1,0))</f>
        <v/>
      </c>
      <c r="O291">
        <f>IF(N291=1,IF(COUNTIFS(C$5:C291,C291,N$5:N291,1)=1,1,0),0)</f>
        <v/>
      </c>
      <c r="P291">
        <f>IF(C291="",0,IF(AND(B291="brand",E291="renewal_answer",N(F291)&gt;=Inputs!$C$125),1,0))</f>
        <v/>
      </c>
      <c r="Q291">
        <f>IF(AND(B291="office",E291="budget_probe",ISNUMBER(F291)),F291,"")</f>
        <v/>
      </c>
      <c r="R291">
        <f>IF(AND(B291="brand",E291="budget_probe",ISNUMBER(F291)),F291,"")</f>
        <v/>
      </c>
    </row>
    <row r="292">
      <c r="A292" s="91" t="n"/>
      <c r="B292" s="92" t="n"/>
      <c r="C292" s="92" t="n"/>
      <c r="D292" s="92" t="n"/>
      <c r="E292" s="92" t="n"/>
      <c r="F292" s="92" t="n"/>
      <c r="G292" s="92" t="n"/>
      <c r="H292" s="92" t="n"/>
      <c r="I292" s="92" t="n"/>
      <c r="K292">
        <f>IF(C292="","",IF(COUNTIFS(C$5:C292,C292,E$5:E292,E292)=1,1,0))</f>
        <v/>
      </c>
      <c r="L292">
        <f>IF(C292="",0,IF(AND(B292="brand",E292="budget_probe",N(F292)&gt;=Inputs!$C$114,H292="Y"),1,0))</f>
        <v/>
      </c>
      <c r="M292">
        <f>IF(L292=1,IF(COUNTIFS(C$5:C292,C292,L$5:L292,1)=1,1,0),0)</f>
        <v/>
      </c>
      <c r="N292">
        <f>IF(C292="",0,IF(AND(B292="office",E292="budget_probe",N(F292)&gt;=Inputs!$C$129),1,0))</f>
        <v/>
      </c>
      <c r="O292">
        <f>IF(N292=1,IF(COUNTIFS(C$5:C292,C292,N$5:N292,1)=1,1,0),0)</f>
        <v/>
      </c>
      <c r="P292">
        <f>IF(C292="",0,IF(AND(B292="brand",E292="renewal_answer",N(F292)&gt;=Inputs!$C$125),1,0))</f>
        <v/>
      </c>
      <c r="Q292">
        <f>IF(AND(B292="office",E292="budget_probe",ISNUMBER(F292)),F292,"")</f>
        <v/>
      </c>
      <c r="R292">
        <f>IF(AND(B292="brand",E292="budget_probe",ISNUMBER(F292)),F292,"")</f>
        <v/>
      </c>
    </row>
    <row r="293">
      <c r="A293" s="91" t="n"/>
      <c r="B293" s="92" t="n"/>
      <c r="C293" s="92" t="n"/>
      <c r="D293" s="92" t="n"/>
      <c r="E293" s="92" t="n"/>
      <c r="F293" s="92" t="n"/>
      <c r="G293" s="92" t="n"/>
      <c r="H293" s="92" t="n"/>
      <c r="I293" s="92" t="n"/>
      <c r="K293">
        <f>IF(C293="","",IF(COUNTIFS(C$5:C293,C293,E$5:E293,E293)=1,1,0))</f>
        <v/>
      </c>
      <c r="L293">
        <f>IF(C293="",0,IF(AND(B293="brand",E293="budget_probe",N(F293)&gt;=Inputs!$C$114,H293="Y"),1,0))</f>
        <v/>
      </c>
      <c r="M293">
        <f>IF(L293=1,IF(COUNTIFS(C$5:C293,C293,L$5:L293,1)=1,1,0),0)</f>
        <v/>
      </c>
      <c r="N293">
        <f>IF(C293="",0,IF(AND(B293="office",E293="budget_probe",N(F293)&gt;=Inputs!$C$129),1,0))</f>
        <v/>
      </c>
      <c r="O293">
        <f>IF(N293=1,IF(COUNTIFS(C$5:C293,C293,N$5:N293,1)=1,1,0),0)</f>
        <v/>
      </c>
      <c r="P293">
        <f>IF(C293="",0,IF(AND(B293="brand",E293="renewal_answer",N(F293)&gt;=Inputs!$C$125),1,0))</f>
        <v/>
      </c>
      <c r="Q293">
        <f>IF(AND(B293="office",E293="budget_probe",ISNUMBER(F293)),F293,"")</f>
        <v/>
      </c>
      <c r="R293">
        <f>IF(AND(B293="brand",E293="budget_probe",ISNUMBER(F293)),F293,"")</f>
        <v/>
      </c>
    </row>
    <row r="294">
      <c r="A294" s="91" t="n"/>
      <c r="B294" s="92" t="n"/>
      <c r="C294" s="92" t="n"/>
      <c r="D294" s="92" t="n"/>
      <c r="E294" s="92" t="n"/>
      <c r="F294" s="92" t="n"/>
      <c r="G294" s="92" t="n"/>
      <c r="H294" s="92" t="n"/>
      <c r="I294" s="92" t="n"/>
      <c r="K294">
        <f>IF(C294="","",IF(COUNTIFS(C$5:C294,C294,E$5:E294,E294)=1,1,0))</f>
        <v/>
      </c>
      <c r="L294">
        <f>IF(C294="",0,IF(AND(B294="brand",E294="budget_probe",N(F294)&gt;=Inputs!$C$114,H294="Y"),1,0))</f>
        <v/>
      </c>
      <c r="M294">
        <f>IF(L294=1,IF(COUNTIFS(C$5:C294,C294,L$5:L294,1)=1,1,0),0)</f>
        <v/>
      </c>
      <c r="N294">
        <f>IF(C294="",0,IF(AND(B294="office",E294="budget_probe",N(F294)&gt;=Inputs!$C$129),1,0))</f>
        <v/>
      </c>
      <c r="O294">
        <f>IF(N294=1,IF(COUNTIFS(C$5:C294,C294,N$5:N294,1)=1,1,0),0)</f>
        <v/>
      </c>
      <c r="P294">
        <f>IF(C294="",0,IF(AND(B294="brand",E294="renewal_answer",N(F294)&gt;=Inputs!$C$125),1,0))</f>
        <v/>
      </c>
      <c r="Q294">
        <f>IF(AND(B294="office",E294="budget_probe",ISNUMBER(F294)),F294,"")</f>
        <v/>
      </c>
      <c r="R294">
        <f>IF(AND(B294="brand",E294="budget_probe",ISNUMBER(F294)),F294,"")</f>
        <v/>
      </c>
    </row>
    <row r="295">
      <c r="A295" s="91" t="n"/>
      <c r="B295" s="92" t="n"/>
      <c r="C295" s="92" t="n"/>
      <c r="D295" s="92" t="n"/>
      <c r="E295" s="92" t="n"/>
      <c r="F295" s="92" t="n"/>
      <c r="G295" s="92" t="n"/>
      <c r="H295" s="92" t="n"/>
      <c r="I295" s="92" t="n"/>
      <c r="K295">
        <f>IF(C295="","",IF(COUNTIFS(C$5:C295,C295,E$5:E295,E295)=1,1,0))</f>
        <v/>
      </c>
      <c r="L295">
        <f>IF(C295="",0,IF(AND(B295="brand",E295="budget_probe",N(F295)&gt;=Inputs!$C$114,H295="Y"),1,0))</f>
        <v/>
      </c>
      <c r="M295">
        <f>IF(L295=1,IF(COUNTIFS(C$5:C295,C295,L$5:L295,1)=1,1,0),0)</f>
        <v/>
      </c>
      <c r="N295">
        <f>IF(C295="",0,IF(AND(B295="office",E295="budget_probe",N(F295)&gt;=Inputs!$C$129),1,0))</f>
        <v/>
      </c>
      <c r="O295">
        <f>IF(N295=1,IF(COUNTIFS(C$5:C295,C295,N$5:N295,1)=1,1,0),0)</f>
        <v/>
      </c>
      <c r="P295">
        <f>IF(C295="",0,IF(AND(B295="brand",E295="renewal_answer",N(F295)&gt;=Inputs!$C$125),1,0))</f>
        <v/>
      </c>
      <c r="Q295">
        <f>IF(AND(B295="office",E295="budget_probe",ISNUMBER(F295)),F295,"")</f>
        <v/>
      </c>
      <c r="R295">
        <f>IF(AND(B295="brand",E295="budget_probe",ISNUMBER(F295)),F295,"")</f>
        <v/>
      </c>
    </row>
    <row r="296">
      <c r="A296" s="91" t="n"/>
      <c r="B296" s="92" t="n"/>
      <c r="C296" s="92" t="n"/>
      <c r="D296" s="92" t="n"/>
      <c r="E296" s="92" t="n"/>
      <c r="F296" s="92" t="n"/>
      <c r="G296" s="92" t="n"/>
      <c r="H296" s="92" t="n"/>
      <c r="I296" s="92" t="n"/>
      <c r="K296">
        <f>IF(C296="","",IF(COUNTIFS(C$5:C296,C296,E$5:E296,E296)=1,1,0))</f>
        <v/>
      </c>
      <c r="L296">
        <f>IF(C296="",0,IF(AND(B296="brand",E296="budget_probe",N(F296)&gt;=Inputs!$C$114,H296="Y"),1,0))</f>
        <v/>
      </c>
      <c r="M296">
        <f>IF(L296=1,IF(COUNTIFS(C$5:C296,C296,L$5:L296,1)=1,1,0),0)</f>
        <v/>
      </c>
      <c r="N296">
        <f>IF(C296="",0,IF(AND(B296="office",E296="budget_probe",N(F296)&gt;=Inputs!$C$129),1,0))</f>
        <v/>
      </c>
      <c r="O296">
        <f>IF(N296=1,IF(COUNTIFS(C$5:C296,C296,N$5:N296,1)=1,1,0),0)</f>
        <v/>
      </c>
      <c r="P296">
        <f>IF(C296="",0,IF(AND(B296="brand",E296="renewal_answer",N(F296)&gt;=Inputs!$C$125),1,0))</f>
        <v/>
      </c>
      <c r="Q296">
        <f>IF(AND(B296="office",E296="budget_probe",ISNUMBER(F296)),F296,"")</f>
        <v/>
      </c>
      <c r="R296">
        <f>IF(AND(B296="brand",E296="budget_probe",ISNUMBER(F296)),F296,"")</f>
        <v/>
      </c>
    </row>
    <row r="297">
      <c r="A297" s="91" t="n"/>
      <c r="B297" s="92" t="n"/>
      <c r="C297" s="92" t="n"/>
      <c r="D297" s="92" t="n"/>
      <c r="E297" s="92" t="n"/>
      <c r="F297" s="92" t="n"/>
      <c r="G297" s="92" t="n"/>
      <c r="H297" s="92" t="n"/>
      <c r="I297" s="92" t="n"/>
      <c r="K297">
        <f>IF(C297="","",IF(COUNTIFS(C$5:C297,C297,E$5:E297,E297)=1,1,0))</f>
        <v/>
      </c>
      <c r="L297">
        <f>IF(C297="",0,IF(AND(B297="brand",E297="budget_probe",N(F297)&gt;=Inputs!$C$114,H297="Y"),1,0))</f>
        <v/>
      </c>
      <c r="M297">
        <f>IF(L297=1,IF(COUNTIFS(C$5:C297,C297,L$5:L297,1)=1,1,0),0)</f>
        <v/>
      </c>
      <c r="N297">
        <f>IF(C297="",0,IF(AND(B297="office",E297="budget_probe",N(F297)&gt;=Inputs!$C$129),1,0))</f>
        <v/>
      </c>
      <c r="O297">
        <f>IF(N297=1,IF(COUNTIFS(C$5:C297,C297,N$5:N297,1)=1,1,0),0)</f>
        <v/>
      </c>
      <c r="P297">
        <f>IF(C297="",0,IF(AND(B297="brand",E297="renewal_answer",N(F297)&gt;=Inputs!$C$125),1,0))</f>
        <v/>
      </c>
      <c r="Q297">
        <f>IF(AND(B297="office",E297="budget_probe",ISNUMBER(F297)),F297,"")</f>
        <v/>
      </c>
      <c r="R297">
        <f>IF(AND(B297="brand",E297="budget_probe",ISNUMBER(F297)),F297,"")</f>
        <v/>
      </c>
    </row>
    <row r="298">
      <c r="A298" s="91" t="n"/>
      <c r="B298" s="92" t="n"/>
      <c r="C298" s="92" t="n"/>
      <c r="D298" s="92" t="n"/>
      <c r="E298" s="92" t="n"/>
      <c r="F298" s="92" t="n"/>
      <c r="G298" s="92" t="n"/>
      <c r="H298" s="92" t="n"/>
      <c r="I298" s="92" t="n"/>
      <c r="K298">
        <f>IF(C298="","",IF(COUNTIFS(C$5:C298,C298,E$5:E298,E298)=1,1,0))</f>
        <v/>
      </c>
      <c r="L298">
        <f>IF(C298="",0,IF(AND(B298="brand",E298="budget_probe",N(F298)&gt;=Inputs!$C$114,H298="Y"),1,0))</f>
        <v/>
      </c>
      <c r="M298">
        <f>IF(L298=1,IF(COUNTIFS(C$5:C298,C298,L$5:L298,1)=1,1,0),0)</f>
        <v/>
      </c>
      <c r="N298">
        <f>IF(C298="",0,IF(AND(B298="office",E298="budget_probe",N(F298)&gt;=Inputs!$C$129),1,0))</f>
        <v/>
      </c>
      <c r="O298">
        <f>IF(N298=1,IF(COUNTIFS(C$5:C298,C298,N$5:N298,1)=1,1,0),0)</f>
        <v/>
      </c>
      <c r="P298">
        <f>IF(C298="",0,IF(AND(B298="brand",E298="renewal_answer",N(F298)&gt;=Inputs!$C$125),1,0))</f>
        <v/>
      </c>
      <c r="Q298">
        <f>IF(AND(B298="office",E298="budget_probe",ISNUMBER(F298)),F298,"")</f>
        <v/>
      </c>
      <c r="R298">
        <f>IF(AND(B298="brand",E298="budget_probe",ISNUMBER(F298)),F298,"")</f>
        <v/>
      </c>
    </row>
    <row r="299">
      <c r="A299" s="91" t="n"/>
      <c r="B299" s="92" t="n"/>
      <c r="C299" s="92" t="n"/>
      <c r="D299" s="92" t="n"/>
      <c r="E299" s="92" t="n"/>
      <c r="F299" s="92" t="n"/>
      <c r="G299" s="92" t="n"/>
      <c r="H299" s="92" t="n"/>
      <c r="I299" s="92" t="n"/>
      <c r="K299">
        <f>IF(C299="","",IF(COUNTIFS(C$5:C299,C299,E$5:E299,E299)=1,1,0))</f>
        <v/>
      </c>
      <c r="L299">
        <f>IF(C299="",0,IF(AND(B299="brand",E299="budget_probe",N(F299)&gt;=Inputs!$C$114,H299="Y"),1,0))</f>
        <v/>
      </c>
      <c r="M299">
        <f>IF(L299=1,IF(COUNTIFS(C$5:C299,C299,L$5:L299,1)=1,1,0),0)</f>
        <v/>
      </c>
      <c r="N299">
        <f>IF(C299="",0,IF(AND(B299="office",E299="budget_probe",N(F299)&gt;=Inputs!$C$129),1,0))</f>
        <v/>
      </c>
      <c r="O299">
        <f>IF(N299=1,IF(COUNTIFS(C$5:C299,C299,N$5:N299,1)=1,1,0),0)</f>
        <v/>
      </c>
      <c r="P299">
        <f>IF(C299="",0,IF(AND(B299="brand",E299="renewal_answer",N(F299)&gt;=Inputs!$C$125),1,0))</f>
        <v/>
      </c>
      <c r="Q299">
        <f>IF(AND(B299="office",E299="budget_probe",ISNUMBER(F299)),F299,"")</f>
        <v/>
      </c>
      <c r="R299">
        <f>IF(AND(B299="brand",E299="budget_probe",ISNUMBER(F299)),F299,"")</f>
        <v/>
      </c>
    </row>
    <row r="300">
      <c r="A300" s="91" t="n"/>
      <c r="B300" s="92" t="n"/>
      <c r="C300" s="92" t="n"/>
      <c r="D300" s="92" t="n"/>
      <c r="E300" s="92" t="n"/>
      <c r="F300" s="92" t="n"/>
      <c r="G300" s="92" t="n"/>
      <c r="H300" s="92" t="n"/>
      <c r="I300" s="92" t="n"/>
      <c r="K300">
        <f>IF(C300="","",IF(COUNTIFS(C$5:C300,C300,E$5:E300,E300)=1,1,0))</f>
        <v/>
      </c>
      <c r="L300">
        <f>IF(C300="",0,IF(AND(B300="brand",E300="budget_probe",N(F300)&gt;=Inputs!$C$114,H300="Y"),1,0))</f>
        <v/>
      </c>
      <c r="M300">
        <f>IF(L300=1,IF(COUNTIFS(C$5:C300,C300,L$5:L300,1)=1,1,0),0)</f>
        <v/>
      </c>
      <c r="N300">
        <f>IF(C300="",0,IF(AND(B300="office",E300="budget_probe",N(F300)&gt;=Inputs!$C$129),1,0))</f>
        <v/>
      </c>
      <c r="O300">
        <f>IF(N300=1,IF(COUNTIFS(C$5:C300,C300,N$5:N300,1)=1,1,0),0)</f>
        <v/>
      </c>
      <c r="P300">
        <f>IF(C300="",0,IF(AND(B300="brand",E300="renewal_answer",N(F300)&gt;=Inputs!$C$125),1,0))</f>
        <v/>
      </c>
      <c r="Q300">
        <f>IF(AND(B300="office",E300="budget_probe",ISNUMBER(F300)),F300,"")</f>
        <v/>
      </c>
      <c r="R300">
        <f>IF(AND(B300="brand",E300="budget_probe",ISNUMBER(F300)),F300,"")</f>
        <v/>
      </c>
    </row>
    <row r="301">
      <c r="A301" s="91" t="n"/>
      <c r="B301" s="92" t="n"/>
      <c r="C301" s="92" t="n"/>
      <c r="D301" s="92" t="n"/>
      <c r="E301" s="92" t="n"/>
      <c r="F301" s="92" t="n"/>
      <c r="G301" s="92" t="n"/>
      <c r="H301" s="92" t="n"/>
      <c r="I301" s="92" t="n"/>
      <c r="K301">
        <f>IF(C301="","",IF(COUNTIFS(C$5:C301,C301,E$5:E301,E301)=1,1,0))</f>
        <v/>
      </c>
      <c r="L301">
        <f>IF(C301="",0,IF(AND(B301="brand",E301="budget_probe",N(F301)&gt;=Inputs!$C$114,H301="Y"),1,0))</f>
        <v/>
      </c>
      <c r="M301">
        <f>IF(L301=1,IF(COUNTIFS(C$5:C301,C301,L$5:L301,1)=1,1,0),0)</f>
        <v/>
      </c>
      <c r="N301">
        <f>IF(C301="",0,IF(AND(B301="office",E301="budget_probe",N(F301)&gt;=Inputs!$C$129),1,0))</f>
        <v/>
      </c>
      <c r="O301">
        <f>IF(N301=1,IF(COUNTIFS(C$5:C301,C301,N$5:N301,1)=1,1,0),0)</f>
        <v/>
      </c>
      <c r="P301">
        <f>IF(C301="",0,IF(AND(B301="brand",E301="renewal_answer",N(F301)&gt;=Inputs!$C$125),1,0))</f>
        <v/>
      </c>
      <c r="Q301">
        <f>IF(AND(B301="office",E301="budget_probe",ISNUMBER(F301)),F301,"")</f>
        <v/>
      </c>
      <c r="R301">
        <f>IF(AND(B301="brand",E301="budget_probe",ISNUMBER(F301)),F301,"")</f>
        <v/>
      </c>
    </row>
    <row r="302">
      <c r="A302" s="91" t="n"/>
      <c r="B302" s="92" t="n"/>
      <c r="C302" s="92" t="n"/>
      <c r="D302" s="92" t="n"/>
      <c r="E302" s="92" t="n"/>
      <c r="F302" s="92" t="n"/>
      <c r="G302" s="92" t="n"/>
      <c r="H302" s="92" t="n"/>
      <c r="I302" s="92" t="n"/>
      <c r="K302">
        <f>IF(C302="","",IF(COUNTIFS(C$5:C302,C302,E$5:E302,E302)=1,1,0))</f>
        <v/>
      </c>
      <c r="L302">
        <f>IF(C302="",0,IF(AND(B302="brand",E302="budget_probe",N(F302)&gt;=Inputs!$C$114,H302="Y"),1,0))</f>
        <v/>
      </c>
      <c r="M302">
        <f>IF(L302=1,IF(COUNTIFS(C$5:C302,C302,L$5:L302,1)=1,1,0),0)</f>
        <v/>
      </c>
      <c r="N302">
        <f>IF(C302="",0,IF(AND(B302="office",E302="budget_probe",N(F302)&gt;=Inputs!$C$129),1,0))</f>
        <v/>
      </c>
      <c r="O302">
        <f>IF(N302=1,IF(COUNTIFS(C$5:C302,C302,N$5:N302,1)=1,1,0),0)</f>
        <v/>
      </c>
      <c r="P302">
        <f>IF(C302="",0,IF(AND(B302="brand",E302="renewal_answer",N(F302)&gt;=Inputs!$C$125),1,0))</f>
        <v/>
      </c>
      <c r="Q302">
        <f>IF(AND(B302="office",E302="budget_probe",ISNUMBER(F302)),F302,"")</f>
        <v/>
      </c>
      <c r="R302">
        <f>IF(AND(B302="brand",E302="budget_probe",ISNUMBER(F302)),F302,"")</f>
        <v/>
      </c>
    </row>
    <row r="303">
      <c r="A303" s="91" t="n"/>
      <c r="B303" s="92" t="n"/>
      <c r="C303" s="92" t="n"/>
      <c r="D303" s="92" t="n"/>
      <c r="E303" s="92" t="n"/>
      <c r="F303" s="92" t="n"/>
      <c r="G303" s="92" t="n"/>
      <c r="H303" s="92" t="n"/>
      <c r="I303" s="92" t="n"/>
      <c r="K303">
        <f>IF(C303="","",IF(COUNTIFS(C$5:C303,C303,E$5:E303,E303)=1,1,0))</f>
        <v/>
      </c>
      <c r="L303">
        <f>IF(C303="",0,IF(AND(B303="brand",E303="budget_probe",N(F303)&gt;=Inputs!$C$114,H303="Y"),1,0))</f>
        <v/>
      </c>
      <c r="M303">
        <f>IF(L303=1,IF(COUNTIFS(C$5:C303,C303,L$5:L303,1)=1,1,0),0)</f>
        <v/>
      </c>
      <c r="N303">
        <f>IF(C303="",0,IF(AND(B303="office",E303="budget_probe",N(F303)&gt;=Inputs!$C$129),1,0))</f>
        <v/>
      </c>
      <c r="O303">
        <f>IF(N303=1,IF(COUNTIFS(C$5:C303,C303,N$5:N303,1)=1,1,0),0)</f>
        <v/>
      </c>
      <c r="P303">
        <f>IF(C303="",0,IF(AND(B303="brand",E303="renewal_answer",N(F303)&gt;=Inputs!$C$125),1,0))</f>
        <v/>
      </c>
      <c r="Q303">
        <f>IF(AND(B303="office",E303="budget_probe",ISNUMBER(F303)),F303,"")</f>
        <v/>
      </c>
      <c r="R303">
        <f>IF(AND(B303="brand",E303="budget_probe",ISNUMBER(F303)),F303,"")</f>
        <v/>
      </c>
    </row>
    <row r="304">
      <c r="A304" s="91" t="n"/>
      <c r="B304" s="92" t="n"/>
      <c r="C304" s="92" t="n"/>
      <c r="D304" s="92" t="n"/>
      <c r="E304" s="92" t="n"/>
      <c r="F304" s="92" t="n"/>
      <c r="G304" s="92" t="n"/>
      <c r="H304" s="92" t="n"/>
      <c r="I304" s="92" t="n"/>
      <c r="K304">
        <f>IF(C304="","",IF(COUNTIFS(C$5:C304,C304,E$5:E304,E304)=1,1,0))</f>
        <v/>
      </c>
      <c r="L304">
        <f>IF(C304="",0,IF(AND(B304="brand",E304="budget_probe",N(F304)&gt;=Inputs!$C$114,H304="Y"),1,0))</f>
        <v/>
      </c>
      <c r="M304">
        <f>IF(L304=1,IF(COUNTIFS(C$5:C304,C304,L$5:L304,1)=1,1,0),0)</f>
        <v/>
      </c>
      <c r="N304">
        <f>IF(C304="",0,IF(AND(B304="office",E304="budget_probe",N(F304)&gt;=Inputs!$C$129),1,0))</f>
        <v/>
      </c>
      <c r="O304">
        <f>IF(N304=1,IF(COUNTIFS(C$5:C304,C304,N$5:N304,1)=1,1,0),0)</f>
        <v/>
      </c>
      <c r="P304">
        <f>IF(C304="",0,IF(AND(B304="brand",E304="renewal_answer",N(F304)&gt;=Inputs!$C$125),1,0))</f>
        <v/>
      </c>
      <c r="Q304">
        <f>IF(AND(B304="office",E304="budget_probe",ISNUMBER(F304)),F304,"")</f>
        <v/>
      </c>
      <c r="R304">
        <f>IF(AND(B304="brand",E304="budget_probe",ISNUMBER(F304)),F304,"")</f>
        <v/>
      </c>
    </row>
    <row r="305">
      <c r="A305" s="91" t="n"/>
      <c r="B305" s="92" t="n"/>
      <c r="C305" s="92" t="n"/>
      <c r="D305" s="92" t="n"/>
      <c r="E305" s="92" t="n"/>
      <c r="F305" s="92" t="n"/>
      <c r="G305" s="92" t="n"/>
      <c r="H305" s="92" t="n"/>
      <c r="I305" s="92" t="n"/>
      <c r="K305">
        <f>IF(C305="","",IF(COUNTIFS(C$5:C305,C305,E$5:E305,E305)=1,1,0))</f>
        <v/>
      </c>
      <c r="L305">
        <f>IF(C305="",0,IF(AND(B305="brand",E305="budget_probe",N(F305)&gt;=Inputs!$C$114,H305="Y"),1,0))</f>
        <v/>
      </c>
      <c r="M305">
        <f>IF(L305=1,IF(COUNTIFS(C$5:C305,C305,L$5:L305,1)=1,1,0),0)</f>
        <v/>
      </c>
      <c r="N305">
        <f>IF(C305="",0,IF(AND(B305="office",E305="budget_probe",N(F305)&gt;=Inputs!$C$129),1,0))</f>
        <v/>
      </c>
      <c r="O305">
        <f>IF(N305=1,IF(COUNTIFS(C$5:C305,C305,N$5:N305,1)=1,1,0),0)</f>
        <v/>
      </c>
      <c r="P305">
        <f>IF(C305="",0,IF(AND(B305="brand",E305="renewal_answer",N(F305)&gt;=Inputs!$C$125),1,0))</f>
        <v/>
      </c>
      <c r="Q305">
        <f>IF(AND(B305="office",E305="budget_probe",ISNUMBER(F305)),F305,"")</f>
        <v/>
      </c>
      <c r="R305">
        <f>IF(AND(B305="brand",E305="budget_probe",ISNUMBER(F305)),F305,"")</f>
        <v/>
      </c>
    </row>
    <row r="306">
      <c r="A306" s="91" t="n"/>
      <c r="B306" s="92" t="n"/>
      <c r="C306" s="92" t="n"/>
      <c r="D306" s="92" t="n"/>
      <c r="E306" s="92" t="n"/>
      <c r="F306" s="92" t="n"/>
      <c r="G306" s="92" t="n"/>
      <c r="H306" s="92" t="n"/>
      <c r="I306" s="92" t="n"/>
      <c r="K306">
        <f>IF(C306="","",IF(COUNTIFS(C$5:C306,C306,E$5:E306,E306)=1,1,0))</f>
        <v/>
      </c>
      <c r="L306">
        <f>IF(C306="",0,IF(AND(B306="brand",E306="budget_probe",N(F306)&gt;=Inputs!$C$114,H306="Y"),1,0))</f>
        <v/>
      </c>
      <c r="M306">
        <f>IF(L306=1,IF(COUNTIFS(C$5:C306,C306,L$5:L306,1)=1,1,0),0)</f>
        <v/>
      </c>
      <c r="N306">
        <f>IF(C306="",0,IF(AND(B306="office",E306="budget_probe",N(F306)&gt;=Inputs!$C$129),1,0))</f>
        <v/>
      </c>
      <c r="O306">
        <f>IF(N306=1,IF(COUNTIFS(C$5:C306,C306,N$5:N306,1)=1,1,0),0)</f>
        <v/>
      </c>
      <c r="P306">
        <f>IF(C306="",0,IF(AND(B306="brand",E306="renewal_answer",N(F306)&gt;=Inputs!$C$125),1,0))</f>
        <v/>
      </c>
      <c r="Q306">
        <f>IF(AND(B306="office",E306="budget_probe",ISNUMBER(F306)),F306,"")</f>
        <v/>
      </c>
      <c r="R306">
        <f>IF(AND(B306="brand",E306="budget_probe",ISNUMBER(F306)),F306,"")</f>
        <v/>
      </c>
    </row>
    <row r="307">
      <c r="A307" s="91" t="n"/>
      <c r="B307" s="92" t="n"/>
      <c r="C307" s="92" t="n"/>
      <c r="D307" s="92" t="n"/>
      <c r="E307" s="92" t="n"/>
      <c r="F307" s="92" t="n"/>
      <c r="G307" s="92" t="n"/>
      <c r="H307" s="92" t="n"/>
      <c r="I307" s="92" t="n"/>
      <c r="K307">
        <f>IF(C307="","",IF(COUNTIFS(C$5:C307,C307,E$5:E307,E307)=1,1,0))</f>
        <v/>
      </c>
      <c r="L307">
        <f>IF(C307="",0,IF(AND(B307="brand",E307="budget_probe",N(F307)&gt;=Inputs!$C$114,H307="Y"),1,0))</f>
        <v/>
      </c>
      <c r="M307">
        <f>IF(L307=1,IF(COUNTIFS(C$5:C307,C307,L$5:L307,1)=1,1,0),0)</f>
        <v/>
      </c>
      <c r="N307">
        <f>IF(C307="",0,IF(AND(B307="office",E307="budget_probe",N(F307)&gt;=Inputs!$C$129),1,0))</f>
        <v/>
      </c>
      <c r="O307">
        <f>IF(N307=1,IF(COUNTIFS(C$5:C307,C307,N$5:N307,1)=1,1,0),0)</f>
        <v/>
      </c>
      <c r="P307">
        <f>IF(C307="",0,IF(AND(B307="brand",E307="renewal_answer",N(F307)&gt;=Inputs!$C$125),1,0))</f>
        <v/>
      </c>
      <c r="Q307">
        <f>IF(AND(B307="office",E307="budget_probe",ISNUMBER(F307)),F307,"")</f>
        <v/>
      </c>
      <c r="R307">
        <f>IF(AND(B307="brand",E307="budget_probe",ISNUMBER(F307)),F307,"")</f>
        <v/>
      </c>
    </row>
    <row r="308">
      <c r="A308" s="91" t="n"/>
      <c r="B308" s="92" t="n"/>
      <c r="C308" s="92" t="n"/>
      <c r="D308" s="92" t="n"/>
      <c r="E308" s="92" t="n"/>
      <c r="F308" s="92" t="n"/>
      <c r="G308" s="92" t="n"/>
      <c r="H308" s="92" t="n"/>
      <c r="I308" s="92" t="n"/>
      <c r="K308">
        <f>IF(C308="","",IF(COUNTIFS(C$5:C308,C308,E$5:E308,E308)=1,1,0))</f>
        <v/>
      </c>
      <c r="L308">
        <f>IF(C308="",0,IF(AND(B308="brand",E308="budget_probe",N(F308)&gt;=Inputs!$C$114,H308="Y"),1,0))</f>
        <v/>
      </c>
      <c r="M308">
        <f>IF(L308=1,IF(COUNTIFS(C$5:C308,C308,L$5:L308,1)=1,1,0),0)</f>
        <v/>
      </c>
      <c r="N308">
        <f>IF(C308="",0,IF(AND(B308="office",E308="budget_probe",N(F308)&gt;=Inputs!$C$129),1,0))</f>
        <v/>
      </c>
      <c r="O308">
        <f>IF(N308=1,IF(COUNTIFS(C$5:C308,C308,N$5:N308,1)=1,1,0),0)</f>
        <v/>
      </c>
      <c r="P308">
        <f>IF(C308="",0,IF(AND(B308="brand",E308="renewal_answer",N(F308)&gt;=Inputs!$C$125),1,0))</f>
        <v/>
      </c>
      <c r="Q308">
        <f>IF(AND(B308="office",E308="budget_probe",ISNUMBER(F308)),F308,"")</f>
        <v/>
      </c>
      <c r="R308">
        <f>IF(AND(B308="brand",E308="budget_probe",ISNUMBER(F308)),F308,"")</f>
        <v/>
      </c>
    </row>
    <row r="309">
      <c r="A309" s="91" t="n"/>
      <c r="B309" s="92" t="n"/>
      <c r="C309" s="92" t="n"/>
      <c r="D309" s="92" t="n"/>
      <c r="E309" s="92" t="n"/>
      <c r="F309" s="92" t="n"/>
      <c r="G309" s="92" t="n"/>
      <c r="H309" s="92" t="n"/>
      <c r="I309" s="92" t="n"/>
      <c r="K309">
        <f>IF(C309="","",IF(COUNTIFS(C$5:C309,C309,E$5:E309,E309)=1,1,0))</f>
        <v/>
      </c>
      <c r="L309">
        <f>IF(C309="",0,IF(AND(B309="brand",E309="budget_probe",N(F309)&gt;=Inputs!$C$114,H309="Y"),1,0))</f>
        <v/>
      </c>
      <c r="M309">
        <f>IF(L309=1,IF(COUNTIFS(C$5:C309,C309,L$5:L309,1)=1,1,0),0)</f>
        <v/>
      </c>
      <c r="N309">
        <f>IF(C309="",0,IF(AND(B309="office",E309="budget_probe",N(F309)&gt;=Inputs!$C$129),1,0))</f>
        <v/>
      </c>
      <c r="O309">
        <f>IF(N309=1,IF(COUNTIFS(C$5:C309,C309,N$5:N309,1)=1,1,0),0)</f>
        <v/>
      </c>
      <c r="P309">
        <f>IF(C309="",0,IF(AND(B309="brand",E309="renewal_answer",N(F309)&gt;=Inputs!$C$125),1,0))</f>
        <v/>
      </c>
      <c r="Q309">
        <f>IF(AND(B309="office",E309="budget_probe",ISNUMBER(F309)),F309,"")</f>
        <v/>
      </c>
      <c r="R309">
        <f>IF(AND(B309="brand",E309="budget_probe",ISNUMBER(F309)),F309,"")</f>
        <v/>
      </c>
    </row>
    <row r="310">
      <c r="A310" s="91" t="n"/>
      <c r="B310" s="92" t="n"/>
      <c r="C310" s="92" t="n"/>
      <c r="D310" s="92" t="n"/>
      <c r="E310" s="92" t="n"/>
      <c r="F310" s="92" t="n"/>
      <c r="G310" s="92" t="n"/>
      <c r="H310" s="92" t="n"/>
      <c r="I310" s="92" t="n"/>
      <c r="K310">
        <f>IF(C310="","",IF(COUNTIFS(C$5:C310,C310,E$5:E310,E310)=1,1,0))</f>
        <v/>
      </c>
      <c r="L310">
        <f>IF(C310="",0,IF(AND(B310="brand",E310="budget_probe",N(F310)&gt;=Inputs!$C$114,H310="Y"),1,0))</f>
        <v/>
      </c>
      <c r="M310">
        <f>IF(L310=1,IF(COUNTIFS(C$5:C310,C310,L$5:L310,1)=1,1,0),0)</f>
        <v/>
      </c>
      <c r="N310">
        <f>IF(C310="",0,IF(AND(B310="office",E310="budget_probe",N(F310)&gt;=Inputs!$C$129),1,0))</f>
        <v/>
      </c>
      <c r="O310">
        <f>IF(N310=1,IF(COUNTIFS(C$5:C310,C310,N$5:N310,1)=1,1,0),0)</f>
        <v/>
      </c>
      <c r="P310">
        <f>IF(C310="",0,IF(AND(B310="brand",E310="renewal_answer",N(F310)&gt;=Inputs!$C$125),1,0))</f>
        <v/>
      </c>
      <c r="Q310">
        <f>IF(AND(B310="office",E310="budget_probe",ISNUMBER(F310)),F310,"")</f>
        <v/>
      </c>
      <c r="R310">
        <f>IF(AND(B310="brand",E310="budget_probe",ISNUMBER(F310)),F310,"")</f>
        <v/>
      </c>
    </row>
    <row r="311">
      <c r="A311" s="91" t="n"/>
      <c r="B311" s="92" t="n"/>
      <c r="C311" s="92" t="n"/>
      <c r="D311" s="92" t="n"/>
      <c r="E311" s="92" t="n"/>
      <c r="F311" s="92" t="n"/>
      <c r="G311" s="92" t="n"/>
      <c r="H311" s="92" t="n"/>
      <c r="I311" s="92" t="n"/>
      <c r="K311">
        <f>IF(C311="","",IF(COUNTIFS(C$5:C311,C311,E$5:E311,E311)=1,1,0))</f>
        <v/>
      </c>
      <c r="L311">
        <f>IF(C311="",0,IF(AND(B311="brand",E311="budget_probe",N(F311)&gt;=Inputs!$C$114,H311="Y"),1,0))</f>
        <v/>
      </c>
      <c r="M311">
        <f>IF(L311=1,IF(COUNTIFS(C$5:C311,C311,L$5:L311,1)=1,1,0),0)</f>
        <v/>
      </c>
      <c r="N311">
        <f>IF(C311="",0,IF(AND(B311="office",E311="budget_probe",N(F311)&gt;=Inputs!$C$129),1,0))</f>
        <v/>
      </c>
      <c r="O311">
        <f>IF(N311=1,IF(COUNTIFS(C$5:C311,C311,N$5:N311,1)=1,1,0),0)</f>
        <v/>
      </c>
      <c r="P311">
        <f>IF(C311="",0,IF(AND(B311="brand",E311="renewal_answer",N(F311)&gt;=Inputs!$C$125),1,0))</f>
        <v/>
      </c>
      <c r="Q311">
        <f>IF(AND(B311="office",E311="budget_probe",ISNUMBER(F311)),F311,"")</f>
        <v/>
      </c>
      <c r="R311">
        <f>IF(AND(B311="brand",E311="budget_probe",ISNUMBER(F311)),F311,"")</f>
        <v/>
      </c>
    </row>
    <row r="312">
      <c r="A312" s="91" t="n"/>
      <c r="B312" s="92" t="n"/>
      <c r="C312" s="92" t="n"/>
      <c r="D312" s="92" t="n"/>
      <c r="E312" s="92" t="n"/>
      <c r="F312" s="92" t="n"/>
      <c r="G312" s="92" t="n"/>
      <c r="H312" s="92" t="n"/>
      <c r="I312" s="92" t="n"/>
      <c r="K312">
        <f>IF(C312="","",IF(COUNTIFS(C$5:C312,C312,E$5:E312,E312)=1,1,0))</f>
        <v/>
      </c>
      <c r="L312">
        <f>IF(C312="",0,IF(AND(B312="brand",E312="budget_probe",N(F312)&gt;=Inputs!$C$114,H312="Y"),1,0))</f>
        <v/>
      </c>
      <c r="M312">
        <f>IF(L312=1,IF(COUNTIFS(C$5:C312,C312,L$5:L312,1)=1,1,0),0)</f>
        <v/>
      </c>
      <c r="N312">
        <f>IF(C312="",0,IF(AND(B312="office",E312="budget_probe",N(F312)&gt;=Inputs!$C$129),1,0))</f>
        <v/>
      </c>
      <c r="O312">
        <f>IF(N312=1,IF(COUNTIFS(C$5:C312,C312,N$5:N312,1)=1,1,0),0)</f>
        <v/>
      </c>
      <c r="P312">
        <f>IF(C312="",0,IF(AND(B312="brand",E312="renewal_answer",N(F312)&gt;=Inputs!$C$125),1,0))</f>
        <v/>
      </c>
      <c r="Q312">
        <f>IF(AND(B312="office",E312="budget_probe",ISNUMBER(F312)),F312,"")</f>
        <v/>
      </c>
      <c r="R312">
        <f>IF(AND(B312="brand",E312="budget_probe",ISNUMBER(F312)),F312,"")</f>
        <v/>
      </c>
    </row>
    <row r="313">
      <c r="A313" s="91" t="n"/>
      <c r="B313" s="92" t="n"/>
      <c r="C313" s="92" t="n"/>
      <c r="D313" s="92" t="n"/>
      <c r="E313" s="92" t="n"/>
      <c r="F313" s="92" t="n"/>
      <c r="G313" s="92" t="n"/>
      <c r="H313" s="92" t="n"/>
      <c r="I313" s="92" t="n"/>
      <c r="K313">
        <f>IF(C313="","",IF(COUNTIFS(C$5:C313,C313,E$5:E313,E313)=1,1,0))</f>
        <v/>
      </c>
      <c r="L313">
        <f>IF(C313="",0,IF(AND(B313="brand",E313="budget_probe",N(F313)&gt;=Inputs!$C$114,H313="Y"),1,0))</f>
        <v/>
      </c>
      <c r="M313">
        <f>IF(L313=1,IF(COUNTIFS(C$5:C313,C313,L$5:L313,1)=1,1,0),0)</f>
        <v/>
      </c>
      <c r="N313">
        <f>IF(C313="",0,IF(AND(B313="office",E313="budget_probe",N(F313)&gt;=Inputs!$C$129),1,0))</f>
        <v/>
      </c>
      <c r="O313">
        <f>IF(N313=1,IF(COUNTIFS(C$5:C313,C313,N$5:N313,1)=1,1,0),0)</f>
        <v/>
      </c>
      <c r="P313">
        <f>IF(C313="",0,IF(AND(B313="brand",E313="renewal_answer",N(F313)&gt;=Inputs!$C$125),1,0))</f>
        <v/>
      </c>
      <c r="Q313">
        <f>IF(AND(B313="office",E313="budget_probe",ISNUMBER(F313)),F313,"")</f>
        <v/>
      </c>
      <c r="R313">
        <f>IF(AND(B313="brand",E313="budget_probe",ISNUMBER(F313)),F313,"")</f>
        <v/>
      </c>
    </row>
    <row r="314">
      <c r="A314" s="91" t="n"/>
      <c r="B314" s="92" t="n"/>
      <c r="C314" s="92" t="n"/>
      <c r="D314" s="92" t="n"/>
      <c r="E314" s="92" t="n"/>
      <c r="F314" s="92" t="n"/>
      <c r="G314" s="92" t="n"/>
      <c r="H314" s="92" t="n"/>
      <c r="I314" s="92" t="n"/>
      <c r="K314">
        <f>IF(C314="","",IF(COUNTIFS(C$5:C314,C314,E$5:E314,E314)=1,1,0))</f>
        <v/>
      </c>
      <c r="L314">
        <f>IF(C314="",0,IF(AND(B314="brand",E314="budget_probe",N(F314)&gt;=Inputs!$C$114,H314="Y"),1,0))</f>
        <v/>
      </c>
      <c r="M314">
        <f>IF(L314=1,IF(COUNTIFS(C$5:C314,C314,L$5:L314,1)=1,1,0),0)</f>
        <v/>
      </c>
      <c r="N314">
        <f>IF(C314="",0,IF(AND(B314="office",E314="budget_probe",N(F314)&gt;=Inputs!$C$129),1,0))</f>
        <v/>
      </c>
      <c r="O314">
        <f>IF(N314=1,IF(COUNTIFS(C$5:C314,C314,N$5:N314,1)=1,1,0),0)</f>
        <v/>
      </c>
      <c r="P314">
        <f>IF(C314="",0,IF(AND(B314="brand",E314="renewal_answer",N(F314)&gt;=Inputs!$C$125),1,0))</f>
        <v/>
      </c>
      <c r="Q314">
        <f>IF(AND(B314="office",E314="budget_probe",ISNUMBER(F314)),F314,"")</f>
        <v/>
      </c>
      <c r="R314">
        <f>IF(AND(B314="brand",E314="budget_probe",ISNUMBER(F314)),F314,"")</f>
        <v/>
      </c>
    </row>
    <row r="315">
      <c r="A315" s="91" t="n"/>
      <c r="B315" s="92" t="n"/>
      <c r="C315" s="92" t="n"/>
      <c r="D315" s="92" t="n"/>
      <c r="E315" s="92" t="n"/>
      <c r="F315" s="92" t="n"/>
      <c r="G315" s="92" t="n"/>
      <c r="H315" s="92" t="n"/>
      <c r="I315" s="92" t="n"/>
      <c r="K315">
        <f>IF(C315="","",IF(COUNTIFS(C$5:C315,C315,E$5:E315,E315)=1,1,0))</f>
        <v/>
      </c>
      <c r="L315">
        <f>IF(C315="",0,IF(AND(B315="brand",E315="budget_probe",N(F315)&gt;=Inputs!$C$114,H315="Y"),1,0))</f>
        <v/>
      </c>
      <c r="M315">
        <f>IF(L315=1,IF(COUNTIFS(C$5:C315,C315,L$5:L315,1)=1,1,0),0)</f>
        <v/>
      </c>
      <c r="N315">
        <f>IF(C315="",0,IF(AND(B315="office",E315="budget_probe",N(F315)&gt;=Inputs!$C$129),1,0))</f>
        <v/>
      </c>
      <c r="O315">
        <f>IF(N315=1,IF(COUNTIFS(C$5:C315,C315,N$5:N315,1)=1,1,0),0)</f>
        <v/>
      </c>
      <c r="P315">
        <f>IF(C315="",0,IF(AND(B315="brand",E315="renewal_answer",N(F315)&gt;=Inputs!$C$125),1,0))</f>
        <v/>
      </c>
      <c r="Q315">
        <f>IF(AND(B315="office",E315="budget_probe",ISNUMBER(F315)),F315,"")</f>
        <v/>
      </c>
      <c r="R315">
        <f>IF(AND(B315="brand",E315="budget_probe",ISNUMBER(F315)),F315,"")</f>
        <v/>
      </c>
    </row>
    <row r="316">
      <c r="A316" s="91" t="n"/>
      <c r="B316" s="92" t="n"/>
      <c r="C316" s="92" t="n"/>
      <c r="D316" s="92" t="n"/>
      <c r="E316" s="92" t="n"/>
      <c r="F316" s="92" t="n"/>
      <c r="G316" s="92" t="n"/>
      <c r="H316" s="92" t="n"/>
      <c r="I316" s="92" t="n"/>
      <c r="K316">
        <f>IF(C316="","",IF(COUNTIFS(C$5:C316,C316,E$5:E316,E316)=1,1,0))</f>
        <v/>
      </c>
      <c r="L316">
        <f>IF(C316="",0,IF(AND(B316="brand",E316="budget_probe",N(F316)&gt;=Inputs!$C$114,H316="Y"),1,0))</f>
        <v/>
      </c>
      <c r="M316">
        <f>IF(L316=1,IF(COUNTIFS(C$5:C316,C316,L$5:L316,1)=1,1,0),0)</f>
        <v/>
      </c>
      <c r="N316">
        <f>IF(C316="",0,IF(AND(B316="office",E316="budget_probe",N(F316)&gt;=Inputs!$C$129),1,0))</f>
        <v/>
      </c>
      <c r="O316">
        <f>IF(N316=1,IF(COUNTIFS(C$5:C316,C316,N$5:N316,1)=1,1,0),0)</f>
        <v/>
      </c>
      <c r="P316">
        <f>IF(C316="",0,IF(AND(B316="brand",E316="renewal_answer",N(F316)&gt;=Inputs!$C$125),1,0))</f>
        <v/>
      </c>
      <c r="Q316">
        <f>IF(AND(B316="office",E316="budget_probe",ISNUMBER(F316)),F316,"")</f>
        <v/>
      </c>
      <c r="R316">
        <f>IF(AND(B316="brand",E316="budget_probe",ISNUMBER(F316)),F316,"")</f>
        <v/>
      </c>
    </row>
    <row r="317">
      <c r="A317" s="91" t="n"/>
      <c r="B317" s="92" t="n"/>
      <c r="C317" s="92" t="n"/>
      <c r="D317" s="92" t="n"/>
      <c r="E317" s="92" t="n"/>
      <c r="F317" s="92" t="n"/>
      <c r="G317" s="92" t="n"/>
      <c r="H317" s="92" t="n"/>
      <c r="I317" s="92" t="n"/>
      <c r="K317">
        <f>IF(C317="","",IF(COUNTIFS(C$5:C317,C317,E$5:E317,E317)=1,1,0))</f>
        <v/>
      </c>
      <c r="L317">
        <f>IF(C317="",0,IF(AND(B317="brand",E317="budget_probe",N(F317)&gt;=Inputs!$C$114,H317="Y"),1,0))</f>
        <v/>
      </c>
      <c r="M317">
        <f>IF(L317=1,IF(COUNTIFS(C$5:C317,C317,L$5:L317,1)=1,1,0),0)</f>
        <v/>
      </c>
      <c r="N317">
        <f>IF(C317="",0,IF(AND(B317="office",E317="budget_probe",N(F317)&gt;=Inputs!$C$129),1,0))</f>
        <v/>
      </c>
      <c r="O317">
        <f>IF(N317=1,IF(COUNTIFS(C$5:C317,C317,N$5:N317,1)=1,1,0),0)</f>
        <v/>
      </c>
      <c r="P317">
        <f>IF(C317="",0,IF(AND(B317="brand",E317="renewal_answer",N(F317)&gt;=Inputs!$C$125),1,0))</f>
        <v/>
      </c>
      <c r="Q317">
        <f>IF(AND(B317="office",E317="budget_probe",ISNUMBER(F317)),F317,"")</f>
        <v/>
      </c>
      <c r="R317">
        <f>IF(AND(B317="brand",E317="budget_probe",ISNUMBER(F317)),F317,"")</f>
        <v/>
      </c>
    </row>
    <row r="318">
      <c r="A318" s="91" t="n"/>
      <c r="B318" s="92" t="n"/>
      <c r="C318" s="92" t="n"/>
      <c r="D318" s="92" t="n"/>
      <c r="E318" s="92" t="n"/>
      <c r="F318" s="92" t="n"/>
      <c r="G318" s="92" t="n"/>
      <c r="H318" s="92" t="n"/>
      <c r="I318" s="92" t="n"/>
      <c r="K318">
        <f>IF(C318="","",IF(COUNTIFS(C$5:C318,C318,E$5:E318,E318)=1,1,0))</f>
        <v/>
      </c>
      <c r="L318">
        <f>IF(C318="",0,IF(AND(B318="brand",E318="budget_probe",N(F318)&gt;=Inputs!$C$114,H318="Y"),1,0))</f>
        <v/>
      </c>
      <c r="M318">
        <f>IF(L318=1,IF(COUNTIFS(C$5:C318,C318,L$5:L318,1)=1,1,0),0)</f>
        <v/>
      </c>
      <c r="N318">
        <f>IF(C318="",0,IF(AND(B318="office",E318="budget_probe",N(F318)&gt;=Inputs!$C$129),1,0))</f>
        <v/>
      </c>
      <c r="O318">
        <f>IF(N318=1,IF(COUNTIFS(C$5:C318,C318,N$5:N318,1)=1,1,0),0)</f>
        <v/>
      </c>
      <c r="P318">
        <f>IF(C318="",0,IF(AND(B318="brand",E318="renewal_answer",N(F318)&gt;=Inputs!$C$125),1,0))</f>
        <v/>
      </c>
      <c r="Q318">
        <f>IF(AND(B318="office",E318="budget_probe",ISNUMBER(F318)),F318,"")</f>
        <v/>
      </c>
      <c r="R318">
        <f>IF(AND(B318="brand",E318="budget_probe",ISNUMBER(F318)),F318,"")</f>
        <v/>
      </c>
    </row>
    <row r="319">
      <c r="A319" s="91" t="n"/>
      <c r="B319" s="92" t="n"/>
      <c r="C319" s="92" t="n"/>
      <c r="D319" s="92" t="n"/>
      <c r="E319" s="92" t="n"/>
      <c r="F319" s="92" t="n"/>
      <c r="G319" s="92" t="n"/>
      <c r="H319" s="92" t="n"/>
      <c r="I319" s="92" t="n"/>
      <c r="K319">
        <f>IF(C319="","",IF(COUNTIFS(C$5:C319,C319,E$5:E319,E319)=1,1,0))</f>
        <v/>
      </c>
      <c r="L319">
        <f>IF(C319="",0,IF(AND(B319="brand",E319="budget_probe",N(F319)&gt;=Inputs!$C$114,H319="Y"),1,0))</f>
        <v/>
      </c>
      <c r="M319">
        <f>IF(L319=1,IF(COUNTIFS(C$5:C319,C319,L$5:L319,1)=1,1,0),0)</f>
        <v/>
      </c>
      <c r="N319">
        <f>IF(C319="",0,IF(AND(B319="office",E319="budget_probe",N(F319)&gt;=Inputs!$C$129),1,0))</f>
        <v/>
      </c>
      <c r="O319">
        <f>IF(N319=1,IF(COUNTIFS(C$5:C319,C319,N$5:N319,1)=1,1,0),0)</f>
        <v/>
      </c>
      <c r="P319">
        <f>IF(C319="",0,IF(AND(B319="brand",E319="renewal_answer",N(F319)&gt;=Inputs!$C$125),1,0))</f>
        <v/>
      </c>
      <c r="Q319">
        <f>IF(AND(B319="office",E319="budget_probe",ISNUMBER(F319)),F319,"")</f>
        <v/>
      </c>
      <c r="R319">
        <f>IF(AND(B319="brand",E319="budget_probe",ISNUMBER(F319)),F319,"")</f>
        <v/>
      </c>
    </row>
    <row r="320">
      <c r="A320" s="91" t="n"/>
      <c r="B320" s="92" t="n"/>
      <c r="C320" s="92" t="n"/>
      <c r="D320" s="92" t="n"/>
      <c r="E320" s="92" t="n"/>
      <c r="F320" s="92" t="n"/>
      <c r="G320" s="92" t="n"/>
      <c r="H320" s="92" t="n"/>
      <c r="I320" s="92" t="n"/>
      <c r="K320">
        <f>IF(C320="","",IF(COUNTIFS(C$5:C320,C320,E$5:E320,E320)=1,1,0))</f>
        <v/>
      </c>
      <c r="L320">
        <f>IF(C320="",0,IF(AND(B320="brand",E320="budget_probe",N(F320)&gt;=Inputs!$C$114,H320="Y"),1,0))</f>
        <v/>
      </c>
      <c r="M320">
        <f>IF(L320=1,IF(COUNTIFS(C$5:C320,C320,L$5:L320,1)=1,1,0),0)</f>
        <v/>
      </c>
      <c r="N320">
        <f>IF(C320="",0,IF(AND(B320="office",E320="budget_probe",N(F320)&gt;=Inputs!$C$129),1,0))</f>
        <v/>
      </c>
      <c r="O320">
        <f>IF(N320=1,IF(COUNTIFS(C$5:C320,C320,N$5:N320,1)=1,1,0),0)</f>
        <v/>
      </c>
      <c r="P320">
        <f>IF(C320="",0,IF(AND(B320="brand",E320="renewal_answer",N(F320)&gt;=Inputs!$C$125),1,0))</f>
        <v/>
      </c>
      <c r="Q320">
        <f>IF(AND(B320="office",E320="budget_probe",ISNUMBER(F320)),F320,"")</f>
        <v/>
      </c>
      <c r="R320">
        <f>IF(AND(B320="brand",E320="budget_probe",ISNUMBER(F320)),F320,"")</f>
        <v/>
      </c>
    </row>
    <row r="321">
      <c r="A321" s="91" t="n"/>
      <c r="B321" s="92" t="n"/>
      <c r="C321" s="92" t="n"/>
      <c r="D321" s="92" t="n"/>
      <c r="E321" s="92" t="n"/>
      <c r="F321" s="92" t="n"/>
      <c r="G321" s="92" t="n"/>
      <c r="H321" s="92" t="n"/>
      <c r="I321" s="92" t="n"/>
      <c r="K321">
        <f>IF(C321="","",IF(COUNTIFS(C$5:C321,C321,E$5:E321,E321)=1,1,0))</f>
        <v/>
      </c>
      <c r="L321">
        <f>IF(C321="",0,IF(AND(B321="brand",E321="budget_probe",N(F321)&gt;=Inputs!$C$114,H321="Y"),1,0))</f>
        <v/>
      </c>
      <c r="M321">
        <f>IF(L321=1,IF(COUNTIFS(C$5:C321,C321,L$5:L321,1)=1,1,0),0)</f>
        <v/>
      </c>
      <c r="N321">
        <f>IF(C321="",0,IF(AND(B321="office",E321="budget_probe",N(F321)&gt;=Inputs!$C$129),1,0))</f>
        <v/>
      </c>
      <c r="O321">
        <f>IF(N321=1,IF(COUNTIFS(C$5:C321,C321,N$5:N321,1)=1,1,0),0)</f>
        <v/>
      </c>
      <c r="P321">
        <f>IF(C321="",0,IF(AND(B321="brand",E321="renewal_answer",N(F321)&gt;=Inputs!$C$125),1,0))</f>
        <v/>
      </c>
      <c r="Q321">
        <f>IF(AND(B321="office",E321="budget_probe",ISNUMBER(F321)),F321,"")</f>
        <v/>
      </c>
      <c r="R321">
        <f>IF(AND(B321="brand",E321="budget_probe",ISNUMBER(F321)),F321,"")</f>
        <v/>
      </c>
    </row>
    <row r="322">
      <c r="A322" s="91" t="n"/>
      <c r="B322" s="92" t="n"/>
      <c r="C322" s="92" t="n"/>
      <c r="D322" s="92" t="n"/>
      <c r="E322" s="92" t="n"/>
      <c r="F322" s="92" t="n"/>
      <c r="G322" s="92" t="n"/>
      <c r="H322" s="92" t="n"/>
      <c r="I322" s="92" t="n"/>
      <c r="K322">
        <f>IF(C322="","",IF(COUNTIFS(C$5:C322,C322,E$5:E322,E322)=1,1,0))</f>
        <v/>
      </c>
      <c r="L322">
        <f>IF(C322="",0,IF(AND(B322="brand",E322="budget_probe",N(F322)&gt;=Inputs!$C$114,H322="Y"),1,0))</f>
        <v/>
      </c>
      <c r="M322">
        <f>IF(L322=1,IF(COUNTIFS(C$5:C322,C322,L$5:L322,1)=1,1,0),0)</f>
        <v/>
      </c>
      <c r="N322">
        <f>IF(C322="",0,IF(AND(B322="office",E322="budget_probe",N(F322)&gt;=Inputs!$C$129),1,0))</f>
        <v/>
      </c>
      <c r="O322">
        <f>IF(N322=1,IF(COUNTIFS(C$5:C322,C322,N$5:N322,1)=1,1,0),0)</f>
        <v/>
      </c>
      <c r="P322">
        <f>IF(C322="",0,IF(AND(B322="brand",E322="renewal_answer",N(F322)&gt;=Inputs!$C$125),1,0))</f>
        <v/>
      </c>
      <c r="Q322">
        <f>IF(AND(B322="office",E322="budget_probe",ISNUMBER(F322)),F322,"")</f>
        <v/>
      </c>
      <c r="R322">
        <f>IF(AND(B322="brand",E322="budget_probe",ISNUMBER(F322)),F322,"")</f>
        <v/>
      </c>
    </row>
    <row r="323">
      <c r="A323" s="91" t="n"/>
      <c r="B323" s="92" t="n"/>
      <c r="C323" s="92" t="n"/>
      <c r="D323" s="92" t="n"/>
      <c r="E323" s="92" t="n"/>
      <c r="F323" s="92" t="n"/>
      <c r="G323" s="92" t="n"/>
      <c r="H323" s="92" t="n"/>
      <c r="I323" s="92" t="n"/>
      <c r="K323">
        <f>IF(C323="","",IF(COUNTIFS(C$5:C323,C323,E$5:E323,E323)=1,1,0))</f>
        <v/>
      </c>
      <c r="L323">
        <f>IF(C323="",0,IF(AND(B323="brand",E323="budget_probe",N(F323)&gt;=Inputs!$C$114,H323="Y"),1,0))</f>
        <v/>
      </c>
      <c r="M323">
        <f>IF(L323=1,IF(COUNTIFS(C$5:C323,C323,L$5:L323,1)=1,1,0),0)</f>
        <v/>
      </c>
      <c r="N323">
        <f>IF(C323="",0,IF(AND(B323="office",E323="budget_probe",N(F323)&gt;=Inputs!$C$129),1,0))</f>
        <v/>
      </c>
      <c r="O323">
        <f>IF(N323=1,IF(COUNTIFS(C$5:C323,C323,N$5:N323,1)=1,1,0),0)</f>
        <v/>
      </c>
      <c r="P323">
        <f>IF(C323="",0,IF(AND(B323="brand",E323="renewal_answer",N(F323)&gt;=Inputs!$C$125),1,0))</f>
        <v/>
      </c>
      <c r="Q323">
        <f>IF(AND(B323="office",E323="budget_probe",ISNUMBER(F323)),F323,"")</f>
        <v/>
      </c>
      <c r="R323">
        <f>IF(AND(B323="brand",E323="budget_probe",ISNUMBER(F323)),F323,"")</f>
        <v/>
      </c>
    </row>
    <row r="324">
      <c r="A324" s="91" t="n"/>
      <c r="B324" s="92" t="n"/>
      <c r="C324" s="92" t="n"/>
      <c r="D324" s="92" t="n"/>
      <c r="E324" s="92" t="n"/>
      <c r="F324" s="92" t="n"/>
      <c r="G324" s="92" t="n"/>
      <c r="H324" s="92" t="n"/>
      <c r="I324" s="92" t="n"/>
      <c r="K324">
        <f>IF(C324="","",IF(COUNTIFS(C$5:C324,C324,E$5:E324,E324)=1,1,0))</f>
        <v/>
      </c>
      <c r="L324">
        <f>IF(C324="",0,IF(AND(B324="brand",E324="budget_probe",N(F324)&gt;=Inputs!$C$114,H324="Y"),1,0))</f>
        <v/>
      </c>
      <c r="M324">
        <f>IF(L324=1,IF(COUNTIFS(C$5:C324,C324,L$5:L324,1)=1,1,0),0)</f>
        <v/>
      </c>
      <c r="N324">
        <f>IF(C324="",0,IF(AND(B324="office",E324="budget_probe",N(F324)&gt;=Inputs!$C$129),1,0))</f>
        <v/>
      </c>
      <c r="O324">
        <f>IF(N324=1,IF(COUNTIFS(C$5:C324,C324,N$5:N324,1)=1,1,0),0)</f>
        <v/>
      </c>
      <c r="P324">
        <f>IF(C324="",0,IF(AND(B324="brand",E324="renewal_answer",N(F324)&gt;=Inputs!$C$125),1,0))</f>
        <v/>
      </c>
      <c r="Q324">
        <f>IF(AND(B324="office",E324="budget_probe",ISNUMBER(F324)),F324,"")</f>
        <v/>
      </c>
      <c r="R324">
        <f>IF(AND(B324="brand",E324="budget_probe",ISNUMBER(F324)),F324,"")</f>
        <v/>
      </c>
    </row>
    <row r="325">
      <c r="A325" s="91" t="n"/>
      <c r="B325" s="92" t="n"/>
      <c r="C325" s="92" t="n"/>
      <c r="D325" s="92" t="n"/>
      <c r="E325" s="92" t="n"/>
      <c r="F325" s="92" t="n"/>
      <c r="G325" s="92" t="n"/>
      <c r="H325" s="92" t="n"/>
      <c r="I325" s="92" t="n"/>
      <c r="K325">
        <f>IF(C325="","",IF(COUNTIFS(C$5:C325,C325,E$5:E325,E325)=1,1,0))</f>
        <v/>
      </c>
      <c r="L325">
        <f>IF(C325="",0,IF(AND(B325="brand",E325="budget_probe",N(F325)&gt;=Inputs!$C$114,H325="Y"),1,0))</f>
        <v/>
      </c>
      <c r="M325">
        <f>IF(L325=1,IF(COUNTIFS(C$5:C325,C325,L$5:L325,1)=1,1,0),0)</f>
        <v/>
      </c>
      <c r="N325">
        <f>IF(C325="",0,IF(AND(B325="office",E325="budget_probe",N(F325)&gt;=Inputs!$C$129),1,0))</f>
        <v/>
      </c>
      <c r="O325">
        <f>IF(N325=1,IF(COUNTIFS(C$5:C325,C325,N$5:N325,1)=1,1,0),0)</f>
        <v/>
      </c>
      <c r="P325">
        <f>IF(C325="",0,IF(AND(B325="brand",E325="renewal_answer",N(F325)&gt;=Inputs!$C$125),1,0))</f>
        <v/>
      </c>
      <c r="Q325">
        <f>IF(AND(B325="office",E325="budget_probe",ISNUMBER(F325)),F325,"")</f>
        <v/>
      </c>
      <c r="R325">
        <f>IF(AND(B325="brand",E325="budget_probe",ISNUMBER(F325)),F325,"")</f>
        <v/>
      </c>
    </row>
    <row r="326">
      <c r="A326" s="91" t="n"/>
      <c r="B326" s="92" t="n"/>
      <c r="C326" s="92" t="n"/>
      <c r="D326" s="92" t="n"/>
      <c r="E326" s="92" t="n"/>
      <c r="F326" s="92" t="n"/>
      <c r="G326" s="92" t="n"/>
      <c r="H326" s="92" t="n"/>
      <c r="I326" s="92" t="n"/>
      <c r="K326">
        <f>IF(C326="","",IF(COUNTIFS(C$5:C326,C326,E$5:E326,E326)=1,1,0))</f>
        <v/>
      </c>
      <c r="L326">
        <f>IF(C326="",0,IF(AND(B326="brand",E326="budget_probe",N(F326)&gt;=Inputs!$C$114,H326="Y"),1,0))</f>
        <v/>
      </c>
      <c r="M326">
        <f>IF(L326=1,IF(COUNTIFS(C$5:C326,C326,L$5:L326,1)=1,1,0),0)</f>
        <v/>
      </c>
      <c r="N326">
        <f>IF(C326="",0,IF(AND(B326="office",E326="budget_probe",N(F326)&gt;=Inputs!$C$129),1,0))</f>
        <v/>
      </c>
      <c r="O326">
        <f>IF(N326=1,IF(COUNTIFS(C$5:C326,C326,N$5:N326,1)=1,1,0),0)</f>
        <v/>
      </c>
      <c r="P326">
        <f>IF(C326="",0,IF(AND(B326="brand",E326="renewal_answer",N(F326)&gt;=Inputs!$C$125),1,0))</f>
        <v/>
      </c>
      <c r="Q326">
        <f>IF(AND(B326="office",E326="budget_probe",ISNUMBER(F326)),F326,"")</f>
        <v/>
      </c>
      <c r="R326">
        <f>IF(AND(B326="brand",E326="budget_probe",ISNUMBER(F326)),F326,"")</f>
        <v/>
      </c>
    </row>
    <row r="327">
      <c r="A327" s="91" t="n"/>
      <c r="B327" s="92" t="n"/>
      <c r="C327" s="92" t="n"/>
      <c r="D327" s="92" t="n"/>
      <c r="E327" s="92" t="n"/>
      <c r="F327" s="92" t="n"/>
      <c r="G327" s="92" t="n"/>
      <c r="H327" s="92" t="n"/>
      <c r="I327" s="92" t="n"/>
      <c r="K327">
        <f>IF(C327="","",IF(COUNTIFS(C$5:C327,C327,E$5:E327,E327)=1,1,0))</f>
        <v/>
      </c>
      <c r="L327">
        <f>IF(C327="",0,IF(AND(B327="brand",E327="budget_probe",N(F327)&gt;=Inputs!$C$114,H327="Y"),1,0))</f>
        <v/>
      </c>
      <c r="M327">
        <f>IF(L327=1,IF(COUNTIFS(C$5:C327,C327,L$5:L327,1)=1,1,0),0)</f>
        <v/>
      </c>
      <c r="N327">
        <f>IF(C327="",0,IF(AND(B327="office",E327="budget_probe",N(F327)&gt;=Inputs!$C$129),1,0))</f>
        <v/>
      </c>
      <c r="O327">
        <f>IF(N327=1,IF(COUNTIFS(C$5:C327,C327,N$5:N327,1)=1,1,0),0)</f>
        <v/>
      </c>
      <c r="P327">
        <f>IF(C327="",0,IF(AND(B327="brand",E327="renewal_answer",N(F327)&gt;=Inputs!$C$125),1,0))</f>
        <v/>
      </c>
      <c r="Q327">
        <f>IF(AND(B327="office",E327="budget_probe",ISNUMBER(F327)),F327,"")</f>
        <v/>
      </c>
      <c r="R327">
        <f>IF(AND(B327="brand",E327="budget_probe",ISNUMBER(F327)),F327,"")</f>
        <v/>
      </c>
    </row>
    <row r="328">
      <c r="A328" s="91" t="n"/>
      <c r="B328" s="92" t="n"/>
      <c r="C328" s="92" t="n"/>
      <c r="D328" s="92" t="n"/>
      <c r="E328" s="92" t="n"/>
      <c r="F328" s="92" t="n"/>
      <c r="G328" s="92" t="n"/>
      <c r="H328" s="92" t="n"/>
      <c r="I328" s="92" t="n"/>
      <c r="K328">
        <f>IF(C328="","",IF(COUNTIFS(C$5:C328,C328,E$5:E328,E328)=1,1,0))</f>
        <v/>
      </c>
      <c r="L328">
        <f>IF(C328="",0,IF(AND(B328="brand",E328="budget_probe",N(F328)&gt;=Inputs!$C$114,H328="Y"),1,0))</f>
        <v/>
      </c>
      <c r="M328">
        <f>IF(L328=1,IF(COUNTIFS(C$5:C328,C328,L$5:L328,1)=1,1,0),0)</f>
        <v/>
      </c>
      <c r="N328">
        <f>IF(C328="",0,IF(AND(B328="office",E328="budget_probe",N(F328)&gt;=Inputs!$C$129),1,0))</f>
        <v/>
      </c>
      <c r="O328">
        <f>IF(N328=1,IF(COUNTIFS(C$5:C328,C328,N$5:N328,1)=1,1,0),0)</f>
        <v/>
      </c>
      <c r="P328">
        <f>IF(C328="",0,IF(AND(B328="brand",E328="renewal_answer",N(F328)&gt;=Inputs!$C$125),1,0))</f>
        <v/>
      </c>
      <c r="Q328">
        <f>IF(AND(B328="office",E328="budget_probe",ISNUMBER(F328)),F328,"")</f>
        <v/>
      </c>
      <c r="R328">
        <f>IF(AND(B328="brand",E328="budget_probe",ISNUMBER(F328)),F328,"")</f>
        <v/>
      </c>
    </row>
    <row r="329">
      <c r="A329" s="91" t="n"/>
      <c r="B329" s="92" t="n"/>
      <c r="C329" s="92" t="n"/>
      <c r="D329" s="92" t="n"/>
      <c r="E329" s="92" t="n"/>
      <c r="F329" s="92" t="n"/>
      <c r="G329" s="92" t="n"/>
      <c r="H329" s="92" t="n"/>
      <c r="I329" s="92" t="n"/>
      <c r="K329">
        <f>IF(C329="","",IF(COUNTIFS(C$5:C329,C329,E$5:E329,E329)=1,1,0))</f>
        <v/>
      </c>
      <c r="L329">
        <f>IF(C329="",0,IF(AND(B329="brand",E329="budget_probe",N(F329)&gt;=Inputs!$C$114,H329="Y"),1,0))</f>
        <v/>
      </c>
      <c r="M329">
        <f>IF(L329=1,IF(COUNTIFS(C$5:C329,C329,L$5:L329,1)=1,1,0),0)</f>
        <v/>
      </c>
      <c r="N329">
        <f>IF(C329="",0,IF(AND(B329="office",E329="budget_probe",N(F329)&gt;=Inputs!$C$129),1,0))</f>
        <v/>
      </c>
      <c r="O329">
        <f>IF(N329=1,IF(COUNTIFS(C$5:C329,C329,N$5:N329,1)=1,1,0),0)</f>
        <v/>
      </c>
      <c r="P329">
        <f>IF(C329="",0,IF(AND(B329="brand",E329="renewal_answer",N(F329)&gt;=Inputs!$C$125),1,0))</f>
        <v/>
      </c>
      <c r="Q329">
        <f>IF(AND(B329="office",E329="budget_probe",ISNUMBER(F329)),F329,"")</f>
        <v/>
      </c>
      <c r="R329">
        <f>IF(AND(B329="brand",E329="budget_probe",ISNUMBER(F329)),F329,"")</f>
        <v/>
      </c>
    </row>
    <row r="330">
      <c r="A330" s="91" t="n"/>
      <c r="B330" s="92" t="n"/>
      <c r="C330" s="92" t="n"/>
      <c r="D330" s="92" t="n"/>
      <c r="E330" s="92" t="n"/>
      <c r="F330" s="92" t="n"/>
      <c r="G330" s="92" t="n"/>
      <c r="H330" s="92" t="n"/>
      <c r="I330" s="92" t="n"/>
      <c r="K330">
        <f>IF(C330="","",IF(COUNTIFS(C$5:C330,C330,E$5:E330,E330)=1,1,0))</f>
        <v/>
      </c>
      <c r="L330">
        <f>IF(C330="",0,IF(AND(B330="brand",E330="budget_probe",N(F330)&gt;=Inputs!$C$114,H330="Y"),1,0))</f>
        <v/>
      </c>
      <c r="M330">
        <f>IF(L330=1,IF(COUNTIFS(C$5:C330,C330,L$5:L330,1)=1,1,0),0)</f>
        <v/>
      </c>
      <c r="N330">
        <f>IF(C330="",0,IF(AND(B330="office",E330="budget_probe",N(F330)&gt;=Inputs!$C$129),1,0))</f>
        <v/>
      </c>
      <c r="O330">
        <f>IF(N330=1,IF(COUNTIFS(C$5:C330,C330,N$5:N330,1)=1,1,0),0)</f>
        <v/>
      </c>
      <c r="P330">
        <f>IF(C330="",0,IF(AND(B330="brand",E330="renewal_answer",N(F330)&gt;=Inputs!$C$125),1,0))</f>
        <v/>
      </c>
      <c r="Q330">
        <f>IF(AND(B330="office",E330="budget_probe",ISNUMBER(F330)),F330,"")</f>
        <v/>
      </c>
      <c r="R330">
        <f>IF(AND(B330="brand",E330="budget_probe",ISNUMBER(F330)),F330,"")</f>
        <v/>
      </c>
    </row>
    <row r="331">
      <c r="A331" s="91" t="n"/>
      <c r="B331" s="92" t="n"/>
      <c r="C331" s="92" t="n"/>
      <c r="D331" s="92" t="n"/>
      <c r="E331" s="92" t="n"/>
      <c r="F331" s="92" t="n"/>
      <c r="G331" s="92" t="n"/>
      <c r="H331" s="92" t="n"/>
      <c r="I331" s="92" t="n"/>
      <c r="K331">
        <f>IF(C331="","",IF(COUNTIFS(C$5:C331,C331,E$5:E331,E331)=1,1,0))</f>
        <v/>
      </c>
      <c r="L331">
        <f>IF(C331="",0,IF(AND(B331="brand",E331="budget_probe",N(F331)&gt;=Inputs!$C$114,H331="Y"),1,0))</f>
        <v/>
      </c>
      <c r="M331">
        <f>IF(L331=1,IF(COUNTIFS(C$5:C331,C331,L$5:L331,1)=1,1,0),0)</f>
        <v/>
      </c>
      <c r="N331">
        <f>IF(C331="",0,IF(AND(B331="office",E331="budget_probe",N(F331)&gt;=Inputs!$C$129),1,0))</f>
        <v/>
      </c>
      <c r="O331">
        <f>IF(N331=1,IF(COUNTIFS(C$5:C331,C331,N$5:N331,1)=1,1,0),0)</f>
        <v/>
      </c>
      <c r="P331">
        <f>IF(C331="",0,IF(AND(B331="brand",E331="renewal_answer",N(F331)&gt;=Inputs!$C$125),1,0))</f>
        <v/>
      </c>
      <c r="Q331">
        <f>IF(AND(B331="office",E331="budget_probe",ISNUMBER(F331)),F331,"")</f>
        <v/>
      </c>
      <c r="R331">
        <f>IF(AND(B331="brand",E331="budget_probe",ISNUMBER(F331)),F331,"")</f>
        <v/>
      </c>
    </row>
    <row r="332">
      <c r="A332" s="91" t="n"/>
      <c r="B332" s="92" t="n"/>
      <c r="C332" s="92" t="n"/>
      <c r="D332" s="92" t="n"/>
      <c r="E332" s="92" t="n"/>
      <c r="F332" s="92" t="n"/>
      <c r="G332" s="92" t="n"/>
      <c r="H332" s="92" t="n"/>
      <c r="I332" s="92" t="n"/>
      <c r="K332">
        <f>IF(C332="","",IF(COUNTIFS(C$5:C332,C332,E$5:E332,E332)=1,1,0))</f>
        <v/>
      </c>
      <c r="L332">
        <f>IF(C332="",0,IF(AND(B332="brand",E332="budget_probe",N(F332)&gt;=Inputs!$C$114,H332="Y"),1,0))</f>
        <v/>
      </c>
      <c r="M332">
        <f>IF(L332=1,IF(COUNTIFS(C$5:C332,C332,L$5:L332,1)=1,1,0),0)</f>
        <v/>
      </c>
      <c r="N332">
        <f>IF(C332="",0,IF(AND(B332="office",E332="budget_probe",N(F332)&gt;=Inputs!$C$129),1,0))</f>
        <v/>
      </c>
      <c r="O332">
        <f>IF(N332=1,IF(COUNTIFS(C$5:C332,C332,N$5:N332,1)=1,1,0),0)</f>
        <v/>
      </c>
      <c r="P332">
        <f>IF(C332="",0,IF(AND(B332="brand",E332="renewal_answer",N(F332)&gt;=Inputs!$C$125),1,0))</f>
        <v/>
      </c>
      <c r="Q332">
        <f>IF(AND(B332="office",E332="budget_probe",ISNUMBER(F332)),F332,"")</f>
        <v/>
      </c>
      <c r="R332">
        <f>IF(AND(B332="brand",E332="budget_probe",ISNUMBER(F332)),F332,"")</f>
        <v/>
      </c>
    </row>
    <row r="333">
      <c r="A333" s="91" t="n"/>
      <c r="B333" s="92" t="n"/>
      <c r="C333" s="92" t="n"/>
      <c r="D333" s="92" t="n"/>
      <c r="E333" s="92" t="n"/>
      <c r="F333" s="92" t="n"/>
      <c r="G333" s="92" t="n"/>
      <c r="H333" s="92" t="n"/>
      <c r="I333" s="92" t="n"/>
      <c r="K333">
        <f>IF(C333="","",IF(COUNTIFS(C$5:C333,C333,E$5:E333,E333)=1,1,0))</f>
        <v/>
      </c>
      <c r="L333">
        <f>IF(C333="",0,IF(AND(B333="brand",E333="budget_probe",N(F333)&gt;=Inputs!$C$114,H333="Y"),1,0))</f>
        <v/>
      </c>
      <c r="M333">
        <f>IF(L333=1,IF(COUNTIFS(C$5:C333,C333,L$5:L333,1)=1,1,0),0)</f>
        <v/>
      </c>
      <c r="N333">
        <f>IF(C333="",0,IF(AND(B333="office",E333="budget_probe",N(F333)&gt;=Inputs!$C$129),1,0))</f>
        <v/>
      </c>
      <c r="O333">
        <f>IF(N333=1,IF(COUNTIFS(C$5:C333,C333,N$5:N333,1)=1,1,0),0)</f>
        <v/>
      </c>
      <c r="P333">
        <f>IF(C333="",0,IF(AND(B333="brand",E333="renewal_answer",N(F333)&gt;=Inputs!$C$125),1,0))</f>
        <v/>
      </c>
      <c r="Q333">
        <f>IF(AND(B333="office",E333="budget_probe",ISNUMBER(F333)),F333,"")</f>
        <v/>
      </c>
      <c r="R333">
        <f>IF(AND(B333="brand",E333="budget_probe",ISNUMBER(F333)),F333,"")</f>
        <v/>
      </c>
    </row>
    <row r="334">
      <c r="A334" s="91" t="n"/>
      <c r="B334" s="92" t="n"/>
      <c r="C334" s="92" t="n"/>
      <c r="D334" s="92" t="n"/>
      <c r="E334" s="92" t="n"/>
      <c r="F334" s="92" t="n"/>
      <c r="G334" s="92" t="n"/>
      <c r="H334" s="92" t="n"/>
      <c r="I334" s="92" t="n"/>
      <c r="K334">
        <f>IF(C334="","",IF(COUNTIFS(C$5:C334,C334,E$5:E334,E334)=1,1,0))</f>
        <v/>
      </c>
      <c r="L334">
        <f>IF(C334="",0,IF(AND(B334="brand",E334="budget_probe",N(F334)&gt;=Inputs!$C$114,H334="Y"),1,0))</f>
        <v/>
      </c>
      <c r="M334">
        <f>IF(L334=1,IF(COUNTIFS(C$5:C334,C334,L$5:L334,1)=1,1,0),0)</f>
        <v/>
      </c>
      <c r="N334">
        <f>IF(C334="",0,IF(AND(B334="office",E334="budget_probe",N(F334)&gt;=Inputs!$C$129),1,0))</f>
        <v/>
      </c>
      <c r="O334">
        <f>IF(N334=1,IF(COUNTIFS(C$5:C334,C334,N$5:N334,1)=1,1,0),0)</f>
        <v/>
      </c>
      <c r="P334">
        <f>IF(C334="",0,IF(AND(B334="brand",E334="renewal_answer",N(F334)&gt;=Inputs!$C$125),1,0))</f>
        <v/>
      </c>
      <c r="Q334">
        <f>IF(AND(B334="office",E334="budget_probe",ISNUMBER(F334)),F334,"")</f>
        <v/>
      </c>
      <c r="R334">
        <f>IF(AND(B334="brand",E334="budget_probe",ISNUMBER(F334)),F334,"")</f>
        <v/>
      </c>
    </row>
    <row r="335">
      <c r="A335" s="91" t="n"/>
      <c r="B335" s="92" t="n"/>
      <c r="C335" s="92" t="n"/>
      <c r="D335" s="92" t="n"/>
      <c r="E335" s="92" t="n"/>
      <c r="F335" s="92" t="n"/>
      <c r="G335" s="92" t="n"/>
      <c r="H335" s="92" t="n"/>
      <c r="I335" s="92" t="n"/>
      <c r="K335">
        <f>IF(C335="","",IF(COUNTIFS(C$5:C335,C335,E$5:E335,E335)=1,1,0))</f>
        <v/>
      </c>
      <c r="L335">
        <f>IF(C335="",0,IF(AND(B335="brand",E335="budget_probe",N(F335)&gt;=Inputs!$C$114,H335="Y"),1,0))</f>
        <v/>
      </c>
      <c r="M335">
        <f>IF(L335=1,IF(COUNTIFS(C$5:C335,C335,L$5:L335,1)=1,1,0),0)</f>
        <v/>
      </c>
      <c r="N335">
        <f>IF(C335="",0,IF(AND(B335="office",E335="budget_probe",N(F335)&gt;=Inputs!$C$129),1,0))</f>
        <v/>
      </c>
      <c r="O335">
        <f>IF(N335=1,IF(COUNTIFS(C$5:C335,C335,N$5:N335,1)=1,1,0),0)</f>
        <v/>
      </c>
      <c r="P335">
        <f>IF(C335="",0,IF(AND(B335="brand",E335="renewal_answer",N(F335)&gt;=Inputs!$C$125),1,0))</f>
        <v/>
      </c>
      <c r="Q335">
        <f>IF(AND(B335="office",E335="budget_probe",ISNUMBER(F335)),F335,"")</f>
        <v/>
      </c>
      <c r="R335">
        <f>IF(AND(B335="brand",E335="budget_probe",ISNUMBER(F335)),F335,"")</f>
        <v/>
      </c>
    </row>
    <row r="336">
      <c r="A336" s="91" t="n"/>
      <c r="B336" s="92" t="n"/>
      <c r="C336" s="92" t="n"/>
      <c r="D336" s="92" t="n"/>
      <c r="E336" s="92" t="n"/>
      <c r="F336" s="92" t="n"/>
      <c r="G336" s="92" t="n"/>
      <c r="H336" s="92" t="n"/>
      <c r="I336" s="92" t="n"/>
      <c r="K336">
        <f>IF(C336="","",IF(COUNTIFS(C$5:C336,C336,E$5:E336,E336)=1,1,0))</f>
        <v/>
      </c>
      <c r="L336">
        <f>IF(C336="",0,IF(AND(B336="brand",E336="budget_probe",N(F336)&gt;=Inputs!$C$114,H336="Y"),1,0))</f>
        <v/>
      </c>
      <c r="M336">
        <f>IF(L336=1,IF(COUNTIFS(C$5:C336,C336,L$5:L336,1)=1,1,0),0)</f>
        <v/>
      </c>
      <c r="N336">
        <f>IF(C336="",0,IF(AND(B336="office",E336="budget_probe",N(F336)&gt;=Inputs!$C$129),1,0))</f>
        <v/>
      </c>
      <c r="O336">
        <f>IF(N336=1,IF(COUNTIFS(C$5:C336,C336,N$5:N336,1)=1,1,0),0)</f>
        <v/>
      </c>
      <c r="P336">
        <f>IF(C336="",0,IF(AND(B336="brand",E336="renewal_answer",N(F336)&gt;=Inputs!$C$125),1,0))</f>
        <v/>
      </c>
      <c r="Q336">
        <f>IF(AND(B336="office",E336="budget_probe",ISNUMBER(F336)),F336,"")</f>
        <v/>
      </c>
      <c r="R336">
        <f>IF(AND(B336="brand",E336="budget_probe",ISNUMBER(F336)),F336,"")</f>
        <v/>
      </c>
    </row>
    <row r="337">
      <c r="A337" s="91" t="n"/>
      <c r="B337" s="92" t="n"/>
      <c r="C337" s="92" t="n"/>
      <c r="D337" s="92" t="n"/>
      <c r="E337" s="92" t="n"/>
      <c r="F337" s="92" t="n"/>
      <c r="G337" s="92" t="n"/>
      <c r="H337" s="92" t="n"/>
      <c r="I337" s="92" t="n"/>
      <c r="K337">
        <f>IF(C337="","",IF(COUNTIFS(C$5:C337,C337,E$5:E337,E337)=1,1,0))</f>
        <v/>
      </c>
      <c r="L337">
        <f>IF(C337="",0,IF(AND(B337="brand",E337="budget_probe",N(F337)&gt;=Inputs!$C$114,H337="Y"),1,0))</f>
        <v/>
      </c>
      <c r="M337">
        <f>IF(L337=1,IF(COUNTIFS(C$5:C337,C337,L$5:L337,1)=1,1,0),0)</f>
        <v/>
      </c>
      <c r="N337">
        <f>IF(C337="",0,IF(AND(B337="office",E337="budget_probe",N(F337)&gt;=Inputs!$C$129),1,0))</f>
        <v/>
      </c>
      <c r="O337">
        <f>IF(N337=1,IF(COUNTIFS(C$5:C337,C337,N$5:N337,1)=1,1,0),0)</f>
        <v/>
      </c>
      <c r="P337">
        <f>IF(C337="",0,IF(AND(B337="brand",E337="renewal_answer",N(F337)&gt;=Inputs!$C$125),1,0))</f>
        <v/>
      </c>
      <c r="Q337">
        <f>IF(AND(B337="office",E337="budget_probe",ISNUMBER(F337)),F337,"")</f>
        <v/>
      </c>
      <c r="R337">
        <f>IF(AND(B337="brand",E337="budget_probe",ISNUMBER(F337)),F337,"")</f>
        <v/>
      </c>
    </row>
    <row r="338">
      <c r="A338" s="91" t="n"/>
      <c r="B338" s="92" t="n"/>
      <c r="C338" s="92" t="n"/>
      <c r="D338" s="92" t="n"/>
      <c r="E338" s="92" t="n"/>
      <c r="F338" s="92" t="n"/>
      <c r="G338" s="92" t="n"/>
      <c r="H338" s="92" t="n"/>
      <c r="I338" s="92" t="n"/>
      <c r="K338">
        <f>IF(C338="","",IF(COUNTIFS(C$5:C338,C338,E$5:E338,E338)=1,1,0))</f>
        <v/>
      </c>
      <c r="L338">
        <f>IF(C338="",0,IF(AND(B338="brand",E338="budget_probe",N(F338)&gt;=Inputs!$C$114,H338="Y"),1,0))</f>
        <v/>
      </c>
      <c r="M338">
        <f>IF(L338=1,IF(COUNTIFS(C$5:C338,C338,L$5:L338,1)=1,1,0),0)</f>
        <v/>
      </c>
      <c r="N338">
        <f>IF(C338="",0,IF(AND(B338="office",E338="budget_probe",N(F338)&gt;=Inputs!$C$129),1,0))</f>
        <v/>
      </c>
      <c r="O338">
        <f>IF(N338=1,IF(COUNTIFS(C$5:C338,C338,N$5:N338,1)=1,1,0),0)</f>
        <v/>
      </c>
      <c r="P338">
        <f>IF(C338="",0,IF(AND(B338="brand",E338="renewal_answer",N(F338)&gt;=Inputs!$C$125),1,0))</f>
        <v/>
      </c>
      <c r="Q338">
        <f>IF(AND(B338="office",E338="budget_probe",ISNUMBER(F338)),F338,"")</f>
        <v/>
      </c>
      <c r="R338">
        <f>IF(AND(B338="brand",E338="budget_probe",ISNUMBER(F338)),F338,"")</f>
        <v/>
      </c>
    </row>
    <row r="339">
      <c r="A339" s="91" t="n"/>
      <c r="B339" s="92" t="n"/>
      <c r="C339" s="92" t="n"/>
      <c r="D339" s="92" t="n"/>
      <c r="E339" s="92" t="n"/>
      <c r="F339" s="92" t="n"/>
      <c r="G339" s="92" t="n"/>
      <c r="H339" s="92" t="n"/>
      <c r="I339" s="92" t="n"/>
      <c r="K339">
        <f>IF(C339="","",IF(COUNTIFS(C$5:C339,C339,E$5:E339,E339)=1,1,0))</f>
        <v/>
      </c>
      <c r="L339">
        <f>IF(C339="",0,IF(AND(B339="brand",E339="budget_probe",N(F339)&gt;=Inputs!$C$114,H339="Y"),1,0))</f>
        <v/>
      </c>
      <c r="M339">
        <f>IF(L339=1,IF(COUNTIFS(C$5:C339,C339,L$5:L339,1)=1,1,0),0)</f>
        <v/>
      </c>
      <c r="N339">
        <f>IF(C339="",0,IF(AND(B339="office",E339="budget_probe",N(F339)&gt;=Inputs!$C$129),1,0))</f>
        <v/>
      </c>
      <c r="O339">
        <f>IF(N339=1,IF(COUNTIFS(C$5:C339,C339,N$5:N339,1)=1,1,0),0)</f>
        <v/>
      </c>
      <c r="P339">
        <f>IF(C339="",0,IF(AND(B339="brand",E339="renewal_answer",N(F339)&gt;=Inputs!$C$125),1,0))</f>
        <v/>
      </c>
      <c r="Q339">
        <f>IF(AND(B339="office",E339="budget_probe",ISNUMBER(F339)),F339,"")</f>
        <v/>
      </c>
      <c r="R339">
        <f>IF(AND(B339="brand",E339="budget_probe",ISNUMBER(F339)),F339,"")</f>
        <v/>
      </c>
    </row>
    <row r="340">
      <c r="A340" s="91" t="n"/>
      <c r="B340" s="92" t="n"/>
      <c r="C340" s="92" t="n"/>
      <c r="D340" s="92" t="n"/>
      <c r="E340" s="92" t="n"/>
      <c r="F340" s="92" t="n"/>
      <c r="G340" s="92" t="n"/>
      <c r="H340" s="92" t="n"/>
      <c r="I340" s="92" t="n"/>
      <c r="K340">
        <f>IF(C340="","",IF(COUNTIFS(C$5:C340,C340,E$5:E340,E340)=1,1,0))</f>
        <v/>
      </c>
      <c r="L340">
        <f>IF(C340="",0,IF(AND(B340="brand",E340="budget_probe",N(F340)&gt;=Inputs!$C$114,H340="Y"),1,0))</f>
        <v/>
      </c>
      <c r="M340">
        <f>IF(L340=1,IF(COUNTIFS(C$5:C340,C340,L$5:L340,1)=1,1,0),0)</f>
        <v/>
      </c>
      <c r="N340">
        <f>IF(C340="",0,IF(AND(B340="office",E340="budget_probe",N(F340)&gt;=Inputs!$C$129),1,0))</f>
        <v/>
      </c>
      <c r="O340">
        <f>IF(N340=1,IF(COUNTIFS(C$5:C340,C340,N$5:N340,1)=1,1,0),0)</f>
        <v/>
      </c>
      <c r="P340">
        <f>IF(C340="",0,IF(AND(B340="brand",E340="renewal_answer",N(F340)&gt;=Inputs!$C$125),1,0))</f>
        <v/>
      </c>
      <c r="Q340">
        <f>IF(AND(B340="office",E340="budget_probe",ISNUMBER(F340)),F340,"")</f>
        <v/>
      </c>
      <c r="R340">
        <f>IF(AND(B340="brand",E340="budget_probe",ISNUMBER(F340)),F340,"")</f>
        <v/>
      </c>
    </row>
    <row r="341">
      <c r="A341" s="91" t="n"/>
      <c r="B341" s="92" t="n"/>
      <c r="C341" s="92" t="n"/>
      <c r="D341" s="92" t="n"/>
      <c r="E341" s="92" t="n"/>
      <c r="F341" s="92" t="n"/>
      <c r="G341" s="92" t="n"/>
      <c r="H341" s="92" t="n"/>
      <c r="I341" s="92" t="n"/>
      <c r="K341">
        <f>IF(C341="","",IF(COUNTIFS(C$5:C341,C341,E$5:E341,E341)=1,1,0))</f>
        <v/>
      </c>
      <c r="L341">
        <f>IF(C341="",0,IF(AND(B341="brand",E341="budget_probe",N(F341)&gt;=Inputs!$C$114,H341="Y"),1,0))</f>
        <v/>
      </c>
      <c r="M341">
        <f>IF(L341=1,IF(COUNTIFS(C$5:C341,C341,L$5:L341,1)=1,1,0),0)</f>
        <v/>
      </c>
      <c r="N341">
        <f>IF(C341="",0,IF(AND(B341="office",E341="budget_probe",N(F341)&gt;=Inputs!$C$129),1,0))</f>
        <v/>
      </c>
      <c r="O341">
        <f>IF(N341=1,IF(COUNTIFS(C$5:C341,C341,N$5:N341,1)=1,1,0),0)</f>
        <v/>
      </c>
      <c r="P341">
        <f>IF(C341="",0,IF(AND(B341="brand",E341="renewal_answer",N(F341)&gt;=Inputs!$C$125),1,0))</f>
        <v/>
      </c>
      <c r="Q341">
        <f>IF(AND(B341="office",E341="budget_probe",ISNUMBER(F341)),F341,"")</f>
        <v/>
      </c>
      <c r="R341">
        <f>IF(AND(B341="brand",E341="budget_probe",ISNUMBER(F341)),F341,"")</f>
        <v/>
      </c>
    </row>
    <row r="342">
      <c r="A342" s="91" t="n"/>
      <c r="B342" s="92" t="n"/>
      <c r="C342" s="92" t="n"/>
      <c r="D342" s="92" t="n"/>
      <c r="E342" s="92" t="n"/>
      <c r="F342" s="92" t="n"/>
      <c r="G342" s="92" t="n"/>
      <c r="H342" s="92" t="n"/>
      <c r="I342" s="92" t="n"/>
      <c r="K342">
        <f>IF(C342="","",IF(COUNTIFS(C$5:C342,C342,E$5:E342,E342)=1,1,0))</f>
        <v/>
      </c>
      <c r="L342">
        <f>IF(C342="",0,IF(AND(B342="brand",E342="budget_probe",N(F342)&gt;=Inputs!$C$114,H342="Y"),1,0))</f>
        <v/>
      </c>
      <c r="M342">
        <f>IF(L342=1,IF(COUNTIFS(C$5:C342,C342,L$5:L342,1)=1,1,0),0)</f>
        <v/>
      </c>
      <c r="N342">
        <f>IF(C342="",0,IF(AND(B342="office",E342="budget_probe",N(F342)&gt;=Inputs!$C$129),1,0))</f>
        <v/>
      </c>
      <c r="O342">
        <f>IF(N342=1,IF(COUNTIFS(C$5:C342,C342,N$5:N342,1)=1,1,0),0)</f>
        <v/>
      </c>
      <c r="P342">
        <f>IF(C342="",0,IF(AND(B342="brand",E342="renewal_answer",N(F342)&gt;=Inputs!$C$125),1,0))</f>
        <v/>
      </c>
      <c r="Q342">
        <f>IF(AND(B342="office",E342="budget_probe",ISNUMBER(F342)),F342,"")</f>
        <v/>
      </c>
      <c r="R342">
        <f>IF(AND(B342="brand",E342="budget_probe",ISNUMBER(F342)),F342,"")</f>
        <v/>
      </c>
    </row>
    <row r="343">
      <c r="A343" s="91" t="n"/>
      <c r="B343" s="92" t="n"/>
      <c r="C343" s="92" t="n"/>
      <c r="D343" s="92" t="n"/>
      <c r="E343" s="92" t="n"/>
      <c r="F343" s="92" t="n"/>
      <c r="G343" s="92" t="n"/>
      <c r="H343" s="92" t="n"/>
      <c r="I343" s="92" t="n"/>
      <c r="K343">
        <f>IF(C343="","",IF(COUNTIFS(C$5:C343,C343,E$5:E343,E343)=1,1,0))</f>
        <v/>
      </c>
      <c r="L343">
        <f>IF(C343="",0,IF(AND(B343="brand",E343="budget_probe",N(F343)&gt;=Inputs!$C$114,H343="Y"),1,0))</f>
        <v/>
      </c>
      <c r="M343">
        <f>IF(L343=1,IF(COUNTIFS(C$5:C343,C343,L$5:L343,1)=1,1,0),0)</f>
        <v/>
      </c>
      <c r="N343">
        <f>IF(C343="",0,IF(AND(B343="office",E343="budget_probe",N(F343)&gt;=Inputs!$C$129),1,0))</f>
        <v/>
      </c>
      <c r="O343">
        <f>IF(N343=1,IF(COUNTIFS(C$5:C343,C343,N$5:N343,1)=1,1,0),0)</f>
        <v/>
      </c>
      <c r="P343">
        <f>IF(C343="",0,IF(AND(B343="brand",E343="renewal_answer",N(F343)&gt;=Inputs!$C$125),1,0))</f>
        <v/>
      </c>
      <c r="Q343">
        <f>IF(AND(B343="office",E343="budget_probe",ISNUMBER(F343)),F343,"")</f>
        <v/>
      </c>
      <c r="R343">
        <f>IF(AND(B343="brand",E343="budget_probe",ISNUMBER(F343)),F343,"")</f>
        <v/>
      </c>
    </row>
    <row r="344">
      <c r="A344" s="91" t="n"/>
      <c r="B344" s="92" t="n"/>
      <c r="C344" s="92" t="n"/>
      <c r="D344" s="92" t="n"/>
      <c r="E344" s="92" t="n"/>
      <c r="F344" s="92" t="n"/>
      <c r="G344" s="92" t="n"/>
      <c r="H344" s="92" t="n"/>
      <c r="I344" s="92" t="n"/>
      <c r="K344">
        <f>IF(C344="","",IF(COUNTIFS(C$5:C344,C344,E$5:E344,E344)=1,1,0))</f>
        <v/>
      </c>
      <c r="L344">
        <f>IF(C344="",0,IF(AND(B344="brand",E344="budget_probe",N(F344)&gt;=Inputs!$C$114,H344="Y"),1,0))</f>
        <v/>
      </c>
      <c r="M344">
        <f>IF(L344=1,IF(COUNTIFS(C$5:C344,C344,L$5:L344,1)=1,1,0),0)</f>
        <v/>
      </c>
      <c r="N344">
        <f>IF(C344="",0,IF(AND(B344="office",E344="budget_probe",N(F344)&gt;=Inputs!$C$129),1,0))</f>
        <v/>
      </c>
      <c r="O344">
        <f>IF(N344=1,IF(COUNTIFS(C$5:C344,C344,N$5:N344,1)=1,1,0),0)</f>
        <v/>
      </c>
      <c r="P344">
        <f>IF(C344="",0,IF(AND(B344="brand",E344="renewal_answer",N(F344)&gt;=Inputs!$C$125),1,0))</f>
        <v/>
      </c>
      <c r="Q344">
        <f>IF(AND(B344="office",E344="budget_probe",ISNUMBER(F344)),F344,"")</f>
        <v/>
      </c>
      <c r="R344">
        <f>IF(AND(B344="brand",E344="budget_probe",ISNUMBER(F344)),F344,"")</f>
        <v/>
      </c>
    </row>
    <row r="345">
      <c r="A345" s="91" t="n"/>
      <c r="B345" s="92" t="n"/>
      <c r="C345" s="92" t="n"/>
      <c r="D345" s="92" t="n"/>
      <c r="E345" s="92" t="n"/>
      <c r="F345" s="92" t="n"/>
      <c r="G345" s="92" t="n"/>
      <c r="H345" s="92" t="n"/>
      <c r="I345" s="92" t="n"/>
      <c r="K345">
        <f>IF(C345="","",IF(COUNTIFS(C$5:C345,C345,E$5:E345,E345)=1,1,0))</f>
        <v/>
      </c>
      <c r="L345">
        <f>IF(C345="",0,IF(AND(B345="brand",E345="budget_probe",N(F345)&gt;=Inputs!$C$114,H345="Y"),1,0))</f>
        <v/>
      </c>
      <c r="M345">
        <f>IF(L345=1,IF(COUNTIFS(C$5:C345,C345,L$5:L345,1)=1,1,0),0)</f>
        <v/>
      </c>
      <c r="N345">
        <f>IF(C345="",0,IF(AND(B345="office",E345="budget_probe",N(F345)&gt;=Inputs!$C$129),1,0))</f>
        <v/>
      </c>
      <c r="O345">
        <f>IF(N345=1,IF(COUNTIFS(C$5:C345,C345,N$5:N345,1)=1,1,0),0)</f>
        <v/>
      </c>
      <c r="P345">
        <f>IF(C345="",0,IF(AND(B345="brand",E345="renewal_answer",N(F345)&gt;=Inputs!$C$125),1,0))</f>
        <v/>
      </c>
      <c r="Q345">
        <f>IF(AND(B345="office",E345="budget_probe",ISNUMBER(F345)),F345,"")</f>
        <v/>
      </c>
      <c r="R345">
        <f>IF(AND(B345="brand",E345="budget_probe",ISNUMBER(F345)),F345,"")</f>
        <v/>
      </c>
    </row>
    <row r="346">
      <c r="A346" s="91" t="n"/>
      <c r="B346" s="92" t="n"/>
      <c r="C346" s="92" t="n"/>
      <c r="D346" s="92" t="n"/>
      <c r="E346" s="92" t="n"/>
      <c r="F346" s="92" t="n"/>
      <c r="G346" s="92" t="n"/>
      <c r="H346" s="92" t="n"/>
      <c r="I346" s="92" t="n"/>
      <c r="K346">
        <f>IF(C346="","",IF(COUNTIFS(C$5:C346,C346,E$5:E346,E346)=1,1,0))</f>
        <v/>
      </c>
      <c r="L346">
        <f>IF(C346="",0,IF(AND(B346="brand",E346="budget_probe",N(F346)&gt;=Inputs!$C$114,H346="Y"),1,0))</f>
        <v/>
      </c>
      <c r="M346">
        <f>IF(L346=1,IF(COUNTIFS(C$5:C346,C346,L$5:L346,1)=1,1,0),0)</f>
        <v/>
      </c>
      <c r="N346">
        <f>IF(C346="",0,IF(AND(B346="office",E346="budget_probe",N(F346)&gt;=Inputs!$C$129),1,0))</f>
        <v/>
      </c>
      <c r="O346">
        <f>IF(N346=1,IF(COUNTIFS(C$5:C346,C346,N$5:N346,1)=1,1,0),0)</f>
        <v/>
      </c>
      <c r="P346">
        <f>IF(C346="",0,IF(AND(B346="brand",E346="renewal_answer",N(F346)&gt;=Inputs!$C$125),1,0))</f>
        <v/>
      </c>
      <c r="Q346">
        <f>IF(AND(B346="office",E346="budget_probe",ISNUMBER(F346)),F346,"")</f>
        <v/>
      </c>
      <c r="R346">
        <f>IF(AND(B346="brand",E346="budget_probe",ISNUMBER(F346)),F346,"")</f>
        <v/>
      </c>
    </row>
    <row r="347">
      <c r="A347" s="91" t="n"/>
      <c r="B347" s="92" t="n"/>
      <c r="C347" s="92" t="n"/>
      <c r="D347" s="92" t="n"/>
      <c r="E347" s="92" t="n"/>
      <c r="F347" s="92" t="n"/>
      <c r="G347" s="92" t="n"/>
      <c r="H347" s="92" t="n"/>
      <c r="I347" s="92" t="n"/>
      <c r="K347">
        <f>IF(C347="","",IF(COUNTIFS(C$5:C347,C347,E$5:E347,E347)=1,1,0))</f>
        <v/>
      </c>
      <c r="L347">
        <f>IF(C347="",0,IF(AND(B347="brand",E347="budget_probe",N(F347)&gt;=Inputs!$C$114,H347="Y"),1,0))</f>
        <v/>
      </c>
      <c r="M347">
        <f>IF(L347=1,IF(COUNTIFS(C$5:C347,C347,L$5:L347,1)=1,1,0),0)</f>
        <v/>
      </c>
      <c r="N347">
        <f>IF(C347="",0,IF(AND(B347="office",E347="budget_probe",N(F347)&gt;=Inputs!$C$129),1,0))</f>
        <v/>
      </c>
      <c r="O347">
        <f>IF(N347=1,IF(COUNTIFS(C$5:C347,C347,N$5:N347,1)=1,1,0),0)</f>
        <v/>
      </c>
      <c r="P347">
        <f>IF(C347="",0,IF(AND(B347="brand",E347="renewal_answer",N(F347)&gt;=Inputs!$C$125),1,0))</f>
        <v/>
      </c>
      <c r="Q347">
        <f>IF(AND(B347="office",E347="budget_probe",ISNUMBER(F347)),F347,"")</f>
        <v/>
      </c>
      <c r="R347">
        <f>IF(AND(B347="brand",E347="budget_probe",ISNUMBER(F347)),F347,"")</f>
        <v/>
      </c>
    </row>
    <row r="348">
      <c r="A348" s="91" t="n"/>
      <c r="B348" s="92" t="n"/>
      <c r="C348" s="92" t="n"/>
      <c r="D348" s="92" t="n"/>
      <c r="E348" s="92" t="n"/>
      <c r="F348" s="92" t="n"/>
      <c r="G348" s="92" t="n"/>
      <c r="H348" s="92" t="n"/>
      <c r="I348" s="92" t="n"/>
      <c r="K348">
        <f>IF(C348="","",IF(COUNTIFS(C$5:C348,C348,E$5:E348,E348)=1,1,0))</f>
        <v/>
      </c>
      <c r="L348">
        <f>IF(C348="",0,IF(AND(B348="brand",E348="budget_probe",N(F348)&gt;=Inputs!$C$114,H348="Y"),1,0))</f>
        <v/>
      </c>
      <c r="M348">
        <f>IF(L348=1,IF(COUNTIFS(C$5:C348,C348,L$5:L348,1)=1,1,0),0)</f>
        <v/>
      </c>
      <c r="N348">
        <f>IF(C348="",0,IF(AND(B348="office",E348="budget_probe",N(F348)&gt;=Inputs!$C$129),1,0))</f>
        <v/>
      </c>
      <c r="O348">
        <f>IF(N348=1,IF(COUNTIFS(C$5:C348,C348,N$5:N348,1)=1,1,0),0)</f>
        <v/>
      </c>
      <c r="P348">
        <f>IF(C348="",0,IF(AND(B348="brand",E348="renewal_answer",N(F348)&gt;=Inputs!$C$125),1,0))</f>
        <v/>
      </c>
      <c r="Q348">
        <f>IF(AND(B348="office",E348="budget_probe",ISNUMBER(F348)),F348,"")</f>
        <v/>
      </c>
      <c r="R348">
        <f>IF(AND(B348="brand",E348="budget_probe",ISNUMBER(F348)),F348,"")</f>
        <v/>
      </c>
    </row>
    <row r="349">
      <c r="A349" s="91" t="n"/>
      <c r="B349" s="92" t="n"/>
      <c r="C349" s="92" t="n"/>
      <c r="D349" s="92" t="n"/>
      <c r="E349" s="92" t="n"/>
      <c r="F349" s="92" t="n"/>
      <c r="G349" s="92" t="n"/>
      <c r="H349" s="92" t="n"/>
      <c r="I349" s="92" t="n"/>
      <c r="K349">
        <f>IF(C349="","",IF(COUNTIFS(C$5:C349,C349,E$5:E349,E349)=1,1,0))</f>
        <v/>
      </c>
      <c r="L349">
        <f>IF(C349="",0,IF(AND(B349="brand",E349="budget_probe",N(F349)&gt;=Inputs!$C$114,H349="Y"),1,0))</f>
        <v/>
      </c>
      <c r="M349">
        <f>IF(L349=1,IF(COUNTIFS(C$5:C349,C349,L$5:L349,1)=1,1,0),0)</f>
        <v/>
      </c>
      <c r="N349">
        <f>IF(C349="",0,IF(AND(B349="office",E349="budget_probe",N(F349)&gt;=Inputs!$C$129),1,0))</f>
        <v/>
      </c>
      <c r="O349">
        <f>IF(N349=1,IF(COUNTIFS(C$5:C349,C349,N$5:N349,1)=1,1,0),0)</f>
        <v/>
      </c>
      <c r="P349">
        <f>IF(C349="",0,IF(AND(B349="brand",E349="renewal_answer",N(F349)&gt;=Inputs!$C$125),1,0))</f>
        <v/>
      </c>
      <c r="Q349">
        <f>IF(AND(B349="office",E349="budget_probe",ISNUMBER(F349)),F349,"")</f>
        <v/>
      </c>
      <c r="R349">
        <f>IF(AND(B349="brand",E349="budget_probe",ISNUMBER(F349)),F349,"")</f>
        <v/>
      </c>
    </row>
    <row r="350">
      <c r="A350" s="91" t="n"/>
      <c r="B350" s="92" t="n"/>
      <c r="C350" s="92" t="n"/>
      <c r="D350" s="92" t="n"/>
      <c r="E350" s="92" t="n"/>
      <c r="F350" s="92" t="n"/>
      <c r="G350" s="92" t="n"/>
      <c r="H350" s="92" t="n"/>
      <c r="I350" s="92" t="n"/>
      <c r="K350">
        <f>IF(C350="","",IF(COUNTIFS(C$5:C350,C350,E$5:E350,E350)=1,1,0))</f>
        <v/>
      </c>
      <c r="L350">
        <f>IF(C350="",0,IF(AND(B350="brand",E350="budget_probe",N(F350)&gt;=Inputs!$C$114,H350="Y"),1,0))</f>
        <v/>
      </c>
      <c r="M350">
        <f>IF(L350=1,IF(COUNTIFS(C$5:C350,C350,L$5:L350,1)=1,1,0),0)</f>
        <v/>
      </c>
      <c r="N350">
        <f>IF(C350="",0,IF(AND(B350="office",E350="budget_probe",N(F350)&gt;=Inputs!$C$129),1,0))</f>
        <v/>
      </c>
      <c r="O350">
        <f>IF(N350=1,IF(COUNTIFS(C$5:C350,C350,N$5:N350,1)=1,1,0),0)</f>
        <v/>
      </c>
      <c r="P350">
        <f>IF(C350="",0,IF(AND(B350="brand",E350="renewal_answer",N(F350)&gt;=Inputs!$C$125),1,0))</f>
        <v/>
      </c>
      <c r="Q350">
        <f>IF(AND(B350="office",E350="budget_probe",ISNUMBER(F350)),F350,"")</f>
        <v/>
      </c>
      <c r="R350">
        <f>IF(AND(B350="brand",E350="budget_probe",ISNUMBER(F350)),F350,"")</f>
        <v/>
      </c>
    </row>
    <row r="351">
      <c r="A351" s="91" t="n"/>
      <c r="B351" s="92" t="n"/>
      <c r="C351" s="92" t="n"/>
      <c r="D351" s="92" t="n"/>
      <c r="E351" s="92" t="n"/>
      <c r="F351" s="92" t="n"/>
      <c r="G351" s="92" t="n"/>
      <c r="H351" s="92" t="n"/>
      <c r="I351" s="92" t="n"/>
      <c r="K351">
        <f>IF(C351="","",IF(COUNTIFS(C$5:C351,C351,E$5:E351,E351)=1,1,0))</f>
        <v/>
      </c>
      <c r="L351">
        <f>IF(C351="",0,IF(AND(B351="brand",E351="budget_probe",N(F351)&gt;=Inputs!$C$114,H351="Y"),1,0))</f>
        <v/>
      </c>
      <c r="M351">
        <f>IF(L351=1,IF(COUNTIFS(C$5:C351,C351,L$5:L351,1)=1,1,0),0)</f>
        <v/>
      </c>
      <c r="N351">
        <f>IF(C351="",0,IF(AND(B351="office",E351="budget_probe",N(F351)&gt;=Inputs!$C$129),1,0))</f>
        <v/>
      </c>
      <c r="O351">
        <f>IF(N351=1,IF(COUNTIFS(C$5:C351,C351,N$5:N351,1)=1,1,0),0)</f>
        <v/>
      </c>
      <c r="P351">
        <f>IF(C351="",0,IF(AND(B351="brand",E351="renewal_answer",N(F351)&gt;=Inputs!$C$125),1,0))</f>
        <v/>
      </c>
      <c r="Q351">
        <f>IF(AND(B351="office",E351="budget_probe",ISNUMBER(F351)),F351,"")</f>
        <v/>
      </c>
      <c r="R351">
        <f>IF(AND(B351="brand",E351="budget_probe",ISNUMBER(F351)),F351,"")</f>
        <v/>
      </c>
    </row>
    <row r="352">
      <c r="A352" s="91" t="n"/>
      <c r="B352" s="92" t="n"/>
      <c r="C352" s="92" t="n"/>
      <c r="D352" s="92" t="n"/>
      <c r="E352" s="92" t="n"/>
      <c r="F352" s="92" t="n"/>
      <c r="G352" s="92" t="n"/>
      <c r="H352" s="92" t="n"/>
      <c r="I352" s="92" t="n"/>
      <c r="K352">
        <f>IF(C352="","",IF(COUNTIFS(C$5:C352,C352,E$5:E352,E352)=1,1,0))</f>
        <v/>
      </c>
      <c r="L352">
        <f>IF(C352="",0,IF(AND(B352="brand",E352="budget_probe",N(F352)&gt;=Inputs!$C$114,H352="Y"),1,0))</f>
        <v/>
      </c>
      <c r="M352">
        <f>IF(L352=1,IF(COUNTIFS(C$5:C352,C352,L$5:L352,1)=1,1,0),0)</f>
        <v/>
      </c>
      <c r="N352">
        <f>IF(C352="",0,IF(AND(B352="office",E352="budget_probe",N(F352)&gt;=Inputs!$C$129),1,0))</f>
        <v/>
      </c>
      <c r="O352">
        <f>IF(N352=1,IF(COUNTIFS(C$5:C352,C352,N$5:N352,1)=1,1,0),0)</f>
        <v/>
      </c>
      <c r="P352">
        <f>IF(C352="",0,IF(AND(B352="brand",E352="renewal_answer",N(F352)&gt;=Inputs!$C$125),1,0))</f>
        <v/>
      </c>
      <c r="Q352">
        <f>IF(AND(B352="office",E352="budget_probe",ISNUMBER(F352)),F352,"")</f>
        <v/>
      </c>
      <c r="R352">
        <f>IF(AND(B352="brand",E352="budget_probe",ISNUMBER(F352)),F352,"")</f>
        <v/>
      </c>
    </row>
    <row r="353">
      <c r="A353" s="91" t="n"/>
      <c r="B353" s="92" t="n"/>
      <c r="C353" s="92" t="n"/>
      <c r="D353" s="92" t="n"/>
      <c r="E353" s="92" t="n"/>
      <c r="F353" s="92" t="n"/>
      <c r="G353" s="92" t="n"/>
      <c r="H353" s="92" t="n"/>
      <c r="I353" s="92" t="n"/>
      <c r="K353">
        <f>IF(C353="","",IF(COUNTIFS(C$5:C353,C353,E$5:E353,E353)=1,1,0))</f>
        <v/>
      </c>
      <c r="L353">
        <f>IF(C353="",0,IF(AND(B353="brand",E353="budget_probe",N(F353)&gt;=Inputs!$C$114,H353="Y"),1,0))</f>
        <v/>
      </c>
      <c r="M353">
        <f>IF(L353=1,IF(COUNTIFS(C$5:C353,C353,L$5:L353,1)=1,1,0),0)</f>
        <v/>
      </c>
      <c r="N353">
        <f>IF(C353="",0,IF(AND(B353="office",E353="budget_probe",N(F353)&gt;=Inputs!$C$129),1,0))</f>
        <v/>
      </c>
      <c r="O353">
        <f>IF(N353=1,IF(COUNTIFS(C$5:C353,C353,N$5:N353,1)=1,1,0),0)</f>
        <v/>
      </c>
      <c r="P353">
        <f>IF(C353="",0,IF(AND(B353="brand",E353="renewal_answer",N(F353)&gt;=Inputs!$C$125),1,0))</f>
        <v/>
      </c>
      <c r="Q353">
        <f>IF(AND(B353="office",E353="budget_probe",ISNUMBER(F353)),F353,"")</f>
        <v/>
      </c>
      <c r="R353">
        <f>IF(AND(B353="brand",E353="budget_probe",ISNUMBER(F353)),F353,"")</f>
        <v/>
      </c>
    </row>
    <row r="354">
      <c r="A354" s="91" t="n"/>
      <c r="B354" s="92" t="n"/>
      <c r="C354" s="92" t="n"/>
      <c r="D354" s="92" t="n"/>
      <c r="E354" s="92" t="n"/>
      <c r="F354" s="92" t="n"/>
      <c r="G354" s="92" t="n"/>
      <c r="H354" s="92" t="n"/>
      <c r="I354" s="92" t="n"/>
      <c r="K354">
        <f>IF(C354="","",IF(COUNTIFS(C$5:C354,C354,E$5:E354,E354)=1,1,0))</f>
        <v/>
      </c>
      <c r="L354">
        <f>IF(C354="",0,IF(AND(B354="brand",E354="budget_probe",N(F354)&gt;=Inputs!$C$114,H354="Y"),1,0))</f>
        <v/>
      </c>
      <c r="M354">
        <f>IF(L354=1,IF(COUNTIFS(C$5:C354,C354,L$5:L354,1)=1,1,0),0)</f>
        <v/>
      </c>
      <c r="N354">
        <f>IF(C354="",0,IF(AND(B354="office",E354="budget_probe",N(F354)&gt;=Inputs!$C$129),1,0))</f>
        <v/>
      </c>
      <c r="O354">
        <f>IF(N354=1,IF(COUNTIFS(C$5:C354,C354,N$5:N354,1)=1,1,0),0)</f>
        <v/>
      </c>
      <c r="P354">
        <f>IF(C354="",0,IF(AND(B354="brand",E354="renewal_answer",N(F354)&gt;=Inputs!$C$125),1,0))</f>
        <v/>
      </c>
      <c r="Q354">
        <f>IF(AND(B354="office",E354="budget_probe",ISNUMBER(F354)),F354,"")</f>
        <v/>
      </c>
      <c r="R354">
        <f>IF(AND(B354="brand",E354="budget_probe",ISNUMBER(F354)),F354,"")</f>
        <v/>
      </c>
    </row>
    <row r="355">
      <c r="A355" s="91" t="n"/>
      <c r="B355" s="92" t="n"/>
      <c r="C355" s="92" t="n"/>
      <c r="D355" s="92" t="n"/>
      <c r="E355" s="92" t="n"/>
      <c r="F355" s="92" t="n"/>
      <c r="G355" s="92" t="n"/>
      <c r="H355" s="92" t="n"/>
      <c r="I355" s="92" t="n"/>
      <c r="K355">
        <f>IF(C355="","",IF(COUNTIFS(C$5:C355,C355,E$5:E355,E355)=1,1,0))</f>
        <v/>
      </c>
      <c r="L355">
        <f>IF(C355="",0,IF(AND(B355="brand",E355="budget_probe",N(F355)&gt;=Inputs!$C$114,H355="Y"),1,0))</f>
        <v/>
      </c>
      <c r="M355">
        <f>IF(L355=1,IF(COUNTIFS(C$5:C355,C355,L$5:L355,1)=1,1,0),0)</f>
        <v/>
      </c>
      <c r="N355">
        <f>IF(C355="",0,IF(AND(B355="office",E355="budget_probe",N(F355)&gt;=Inputs!$C$129),1,0))</f>
        <v/>
      </c>
      <c r="O355">
        <f>IF(N355=1,IF(COUNTIFS(C$5:C355,C355,N$5:N355,1)=1,1,0),0)</f>
        <v/>
      </c>
      <c r="P355">
        <f>IF(C355="",0,IF(AND(B355="brand",E355="renewal_answer",N(F355)&gt;=Inputs!$C$125),1,0))</f>
        <v/>
      </c>
      <c r="Q355">
        <f>IF(AND(B355="office",E355="budget_probe",ISNUMBER(F355)),F355,"")</f>
        <v/>
      </c>
      <c r="R355">
        <f>IF(AND(B355="brand",E355="budget_probe",ISNUMBER(F355)),F355,"")</f>
        <v/>
      </c>
    </row>
    <row r="356">
      <c r="A356" s="91" t="n"/>
      <c r="B356" s="92" t="n"/>
      <c r="C356" s="92" t="n"/>
      <c r="D356" s="92" t="n"/>
      <c r="E356" s="92" t="n"/>
      <c r="F356" s="92" t="n"/>
      <c r="G356" s="92" t="n"/>
      <c r="H356" s="92" t="n"/>
      <c r="I356" s="92" t="n"/>
      <c r="K356">
        <f>IF(C356="","",IF(COUNTIFS(C$5:C356,C356,E$5:E356,E356)=1,1,0))</f>
        <v/>
      </c>
      <c r="L356">
        <f>IF(C356="",0,IF(AND(B356="brand",E356="budget_probe",N(F356)&gt;=Inputs!$C$114,H356="Y"),1,0))</f>
        <v/>
      </c>
      <c r="M356">
        <f>IF(L356=1,IF(COUNTIFS(C$5:C356,C356,L$5:L356,1)=1,1,0),0)</f>
        <v/>
      </c>
      <c r="N356">
        <f>IF(C356="",0,IF(AND(B356="office",E356="budget_probe",N(F356)&gt;=Inputs!$C$129),1,0))</f>
        <v/>
      </c>
      <c r="O356">
        <f>IF(N356=1,IF(COUNTIFS(C$5:C356,C356,N$5:N356,1)=1,1,0),0)</f>
        <v/>
      </c>
      <c r="P356">
        <f>IF(C356="",0,IF(AND(B356="brand",E356="renewal_answer",N(F356)&gt;=Inputs!$C$125),1,0))</f>
        <v/>
      </c>
      <c r="Q356">
        <f>IF(AND(B356="office",E356="budget_probe",ISNUMBER(F356)),F356,"")</f>
        <v/>
      </c>
      <c r="R356">
        <f>IF(AND(B356="brand",E356="budget_probe",ISNUMBER(F356)),F356,"")</f>
        <v/>
      </c>
    </row>
    <row r="357">
      <c r="A357" s="91" t="n"/>
      <c r="B357" s="92" t="n"/>
      <c r="C357" s="92" t="n"/>
      <c r="D357" s="92" t="n"/>
      <c r="E357" s="92" t="n"/>
      <c r="F357" s="92" t="n"/>
      <c r="G357" s="92" t="n"/>
      <c r="H357" s="92" t="n"/>
      <c r="I357" s="92" t="n"/>
      <c r="K357">
        <f>IF(C357="","",IF(COUNTIFS(C$5:C357,C357,E$5:E357,E357)=1,1,0))</f>
        <v/>
      </c>
      <c r="L357">
        <f>IF(C357="",0,IF(AND(B357="brand",E357="budget_probe",N(F357)&gt;=Inputs!$C$114,H357="Y"),1,0))</f>
        <v/>
      </c>
      <c r="M357">
        <f>IF(L357=1,IF(COUNTIFS(C$5:C357,C357,L$5:L357,1)=1,1,0),0)</f>
        <v/>
      </c>
      <c r="N357">
        <f>IF(C357="",0,IF(AND(B357="office",E357="budget_probe",N(F357)&gt;=Inputs!$C$129),1,0))</f>
        <v/>
      </c>
      <c r="O357">
        <f>IF(N357=1,IF(COUNTIFS(C$5:C357,C357,N$5:N357,1)=1,1,0),0)</f>
        <v/>
      </c>
      <c r="P357">
        <f>IF(C357="",0,IF(AND(B357="brand",E357="renewal_answer",N(F357)&gt;=Inputs!$C$125),1,0))</f>
        <v/>
      </c>
      <c r="Q357">
        <f>IF(AND(B357="office",E357="budget_probe",ISNUMBER(F357)),F357,"")</f>
        <v/>
      </c>
      <c r="R357">
        <f>IF(AND(B357="brand",E357="budget_probe",ISNUMBER(F357)),F357,"")</f>
        <v/>
      </c>
    </row>
    <row r="358">
      <c r="A358" s="91" t="n"/>
      <c r="B358" s="92" t="n"/>
      <c r="C358" s="92" t="n"/>
      <c r="D358" s="92" t="n"/>
      <c r="E358" s="92" t="n"/>
      <c r="F358" s="92" t="n"/>
      <c r="G358" s="92" t="n"/>
      <c r="H358" s="92" t="n"/>
      <c r="I358" s="92" t="n"/>
      <c r="K358">
        <f>IF(C358="","",IF(COUNTIFS(C$5:C358,C358,E$5:E358,E358)=1,1,0))</f>
        <v/>
      </c>
      <c r="L358">
        <f>IF(C358="",0,IF(AND(B358="brand",E358="budget_probe",N(F358)&gt;=Inputs!$C$114,H358="Y"),1,0))</f>
        <v/>
      </c>
      <c r="M358">
        <f>IF(L358=1,IF(COUNTIFS(C$5:C358,C358,L$5:L358,1)=1,1,0),0)</f>
        <v/>
      </c>
      <c r="N358">
        <f>IF(C358="",0,IF(AND(B358="office",E358="budget_probe",N(F358)&gt;=Inputs!$C$129),1,0))</f>
        <v/>
      </c>
      <c r="O358">
        <f>IF(N358=1,IF(COUNTIFS(C$5:C358,C358,N$5:N358,1)=1,1,0),0)</f>
        <v/>
      </c>
      <c r="P358">
        <f>IF(C358="",0,IF(AND(B358="brand",E358="renewal_answer",N(F358)&gt;=Inputs!$C$125),1,0))</f>
        <v/>
      </c>
      <c r="Q358">
        <f>IF(AND(B358="office",E358="budget_probe",ISNUMBER(F358)),F358,"")</f>
        <v/>
      </c>
      <c r="R358">
        <f>IF(AND(B358="brand",E358="budget_probe",ISNUMBER(F358)),F358,"")</f>
        <v/>
      </c>
    </row>
    <row r="359">
      <c r="A359" s="91" t="n"/>
      <c r="B359" s="92" t="n"/>
      <c r="C359" s="92" t="n"/>
      <c r="D359" s="92" t="n"/>
      <c r="E359" s="92" t="n"/>
      <c r="F359" s="92" t="n"/>
      <c r="G359" s="92" t="n"/>
      <c r="H359" s="92" t="n"/>
      <c r="I359" s="92" t="n"/>
      <c r="K359">
        <f>IF(C359="","",IF(COUNTIFS(C$5:C359,C359,E$5:E359,E359)=1,1,0))</f>
        <v/>
      </c>
      <c r="L359">
        <f>IF(C359="",0,IF(AND(B359="brand",E359="budget_probe",N(F359)&gt;=Inputs!$C$114,H359="Y"),1,0))</f>
        <v/>
      </c>
      <c r="M359">
        <f>IF(L359=1,IF(COUNTIFS(C$5:C359,C359,L$5:L359,1)=1,1,0),0)</f>
        <v/>
      </c>
      <c r="N359">
        <f>IF(C359="",0,IF(AND(B359="office",E359="budget_probe",N(F359)&gt;=Inputs!$C$129),1,0))</f>
        <v/>
      </c>
      <c r="O359">
        <f>IF(N359=1,IF(COUNTIFS(C$5:C359,C359,N$5:N359,1)=1,1,0),0)</f>
        <v/>
      </c>
      <c r="P359">
        <f>IF(C359="",0,IF(AND(B359="brand",E359="renewal_answer",N(F359)&gt;=Inputs!$C$125),1,0))</f>
        <v/>
      </c>
      <c r="Q359">
        <f>IF(AND(B359="office",E359="budget_probe",ISNUMBER(F359)),F359,"")</f>
        <v/>
      </c>
      <c r="R359">
        <f>IF(AND(B359="brand",E359="budget_probe",ISNUMBER(F359)),F359,"")</f>
        <v/>
      </c>
    </row>
    <row r="360">
      <c r="A360" s="91" t="n"/>
      <c r="B360" s="92" t="n"/>
      <c r="C360" s="92" t="n"/>
      <c r="D360" s="92" t="n"/>
      <c r="E360" s="92" t="n"/>
      <c r="F360" s="92" t="n"/>
      <c r="G360" s="92" t="n"/>
      <c r="H360" s="92" t="n"/>
      <c r="I360" s="92" t="n"/>
      <c r="K360">
        <f>IF(C360="","",IF(COUNTIFS(C$5:C360,C360,E$5:E360,E360)=1,1,0))</f>
        <v/>
      </c>
      <c r="L360">
        <f>IF(C360="",0,IF(AND(B360="brand",E360="budget_probe",N(F360)&gt;=Inputs!$C$114,H360="Y"),1,0))</f>
        <v/>
      </c>
      <c r="M360">
        <f>IF(L360=1,IF(COUNTIFS(C$5:C360,C360,L$5:L360,1)=1,1,0),0)</f>
        <v/>
      </c>
      <c r="N360">
        <f>IF(C360="",0,IF(AND(B360="office",E360="budget_probe",N(F360)&gt;=Inputs!$C$129),1,0))</f>
        <v/>
      </c>
      <c r="O360">
        <f>IF(N360=1,IF(COUNTIFS(C$5:C360,C360,N$5:N360,1)=1,1,0),0)</f>
        <v/>
      </c>
      <c r="P360">
        <f>IF(C360="",0,IF(AND(B360="brand",E360="renewal_answer",N(F360)&gt;=Inputs!$C$125),1,0))</f>
        <v/>
      </c>
      <c r="Q360">
        <f>IF(AND(B360="office",E360="budget_probe",ISNUMBER(F360)),F360,"")</f>
        <v/>
      </c>
      <c r="R360">
        <f>IF(AND(B360="brand",E360="budget_probe",ISNUMBER(F360)),F360,"")</f>
        <v/>
      </c>
    </row>
    <row r="361">
      <c r="A361" s="91" t="n"/>
      <c r="B361" s="92" t="n"/>
      <c r="C361" s="92" t="n"/>
      <c r="D361" s="92" t="n"/>
      <c r="E361" s="92" t="n"/>
      <c r="F361" s="92" t="n"/>
      <c r="G361" s="92" t="n"/>
      <c r="H361" s="92" t="n"/>
      <c r="I361" s="92" t="n"/>
      <c r="K361">
        <f>IF(C361="","",IF(COUNTIFS(C$5:C361,C361,E$5:E361,E361)=1,1,0))</f>
        <v/>
      </c>
      <c r="L361">
        <f>IF(C361="",0,IF(AND(B361="brand",E361="budget_probe",N(F361)&gt;=Inputs!$C$114,H361="Y"),1,0))</f>
        <v/>
      </c>
      <c r="M361">
        <f>IF(L361=1,IF(COUNTIFS(C$5:C361,C361,L$5:L361,1)=1,1,0),0)</f>
        <v/>
      </c>
      <c r="N361">
        <f>IF(C361="",0,IF(AND(B361="office",E361="budget_probe",N(F361)&gt;=Inputs!$C$129),1,0))</f>
        <v/>
      </c>
      <c r="O361">
        <f>IF(N361=1,IF(COUNTIFS(C$5:C361,C361,N$5:N361,1)=1,1,0),0)</f>
        <v/>
      </c>
      <c r="P361">
        <f>IF(C361="",0,IF(AND(B361="brand",E361="renewal_answer",N(F361)&gt;=Inputs!$C$125),1,0))</f>
        <v/>
      </c>
      <c r="Q361">
        <f>IF(AND(B361="office",E361="budget_probe",ISNUMBER(F361)),F361,"")</f>
        <v/>
      </c>
      <c r="R361">
        <f>IF(AND(B361="brand",E361="budget_probe",ISNUMBER(F361)),F361,"")</f>
        <v/>
      </c>
    </row>
    <row r="362">
      <c r="A362" s="91" t="n"/>
      <c r="B362" s="92" t="n"/>
      <c r="C362" s="92" t="n"/>
      <c r="D362" s="92" t="n"/>
      <c r="E362" s="92" t="n"/>
      <c r="F362" s="92" t="n"/>
      <c r="G362" s="92" t="n"/>
      <c r="H362" s="92" t="n"/>
      <c r="I362" s="92" t="n"/>
      <c r="K362">
        <f>IF(C362="","",IF(COUNTIFS(C$5:C362,C362,E$5:E362,E362)=1,1,0))</f>
        <v/>
      </c>
      <c r="L362">
        <f>IF(C362="",0,IF(AND(B362="brand",E362="budget_probe",N(F362)&gt;=Inputs!$C$114,H362="Y"),1,0))</f>
        <v/>
      </c>
      <c r="M362">
        <f>IF(L362=1,IF(COUNTIFS(C$5:C362,C362,L$5:L362,1)=1,1,0),0)</f>
        <v/>
      </c>
      <c r="N362">
        <f>IF(C362="",0,IF(AND(B362="office",E362="budget_probe",N(F362)&gt;=Inputs!$C$129),1,0))</f>
        <v/>
      </c>
      <c r="O362">
        <f>IF(N362=1,IF(COUNTIFS(C$5:C362,C362,N$5:N362,1)=1,1,0),0)</f>
        <v/>
      </c>
      <c r="P362">
        <f>IF(C362="",0,IF(AND(B362="brand",E362="renewal_answer",N(F362)&gt;=Inputs!$C$125),1,0))</f>
        <v/>
      </c>
      <c r="Q362">
        <f>IF(AND(B362="office",E362="budget_probe",ISNUMBER(F362)),F362,"")</f>
        <v/>
      </c>
      <c r="R362">
        <f>IF(AND(B362="brand",E362="budget_probe",ISNUMBER(F362)),F362,"")</f>
        <v/>
      </c>
    </row>
    <row r="363">
      <c r="A363" s="91" t="n"/>
      <c r="B363" s="92" t="n"/>
      <c r="C363" s="92" t="n"/>
      <c r="D363" s="92" t="n"/>
      <c r="E363" s="92" t="n"/>
      <c r="F363" s="92" t="n"/>
      <c r="G363" s="92" t="n"/>
      <c r="H363" s="92" t="n"/>
      <c r="I363" s="92" t="n"/>
      <c r="K363">
        <f>IF(C363="","",IF(COUNTIFS(C$5:C363,C363,E$5:E363,E363)=1,1,0))</f>
        <v/>
      </c>
      <c r="L363">
        <f>IF(C363="",0,IF(AND(B363="brand",E363="budget_probe",N(F363)&gt;=Inputs!$C$114,H363="Y"),1,0))</f>
        <v/>
      </c>
      <c r="M363">
        <f>IF(L363=1,IF(COUNTIFS(C$5:C363,C363,L$5:L363,1)=1,1,0),0)</f>
        <v/>
      </c>
      <c r="N363">
        <f>IF(C363="",0,IF(AND(B363="office",E363="budget_probe",N(F363)&gt;=Inputs!$C$129),1,0))</f>
        <v/>
      </c>
      <c r="O363">
        <f>IF(N363=1,IF(COUNTIFS(C$5:C363,C363,N$5:N363,1)=1,1,0),0)</f>
        <v/>
      </c>
      <c r="P363">
        <f>IF(C363="",0,IF(AND(B363="brand",E363="renewal_answer",N(F363)&gt;=Inputs!$C$125),1,0))</f>
        <v/>
      </c>
      <c r="Q363">
        <f>IF(AND(B363="office",E363="budget_probe",ISNUMBER(F363)),F363,"")</f>
        <v/>
      </c>
      <c r="R363">
        <f>IF(AND(B363="brand",E363="budget_probe",ISNUMBER(F363)),F363,"")</f>
        <v/>
      </c>
    </row>
    <row r="364">
      <c r="A364" s="91" t="n"/>
      <c r="B364" s="92" t="n"/>
      <c r="C364" s="92" t="n"/>
      <c r="D364" s="92" t="n"/>
      <c r="E364" s="92" t="n"/>
      <c r="F364" s="92" t="n"/>
      <c r="G364" s="92" t="n"/>
      <c r="H364" s="92" t="n"/>
      <c r="I364" s="92" t="n"/>
      <c r="K364">
        <f>IF(C364="","",IF(COUNTIFS(C$5:C364,C364,E$5:E364,E364)=1,1,0))</f>
        <v/>
      </c>
      <c r="L364">
        <f>IF(C364="",0,IF(AND(B364="brand",E364="budget_probe",N(F364)&gt;=Inputs!$C$114,H364="Y"),1,0))</f>
        <v/>
      </c>
      <c r="M364">
        <f>IF(L364=1,IF(COUNTIFS(C$5:C364,C364,L$5:L364,1)=1,1,0),0)</f>
        <v/>
      </c>
      <c r="N364">
        <f>IF(C364="",0,IF(AND(B364="office",E364="budget_probe",N(F364)&gt;=Inputs!$C$129),1,0))</f>
        <v/>
      </c>
      <c r="O364">
        <f>IF(N364=1,IF(COUNTIFS(C$5:C364,C364,N$5:N364,1)=1,1,0),0)</f>
        <v/>
      </c>
      <c r="P364">
        <f>IF(C364="",0,IF(AND(B364="brand",E364="renewal_answer",N(F364)&gt;=Inputs!$C$125),1,0))</f>
        <v/>
      </c>
      <c r="Q364">
        <f>IF(AND(B364="office",E364="budget_probe",ISNUMBER(F364)),F364,"")</f>
        <v/>
      </c>
      <c r="R364">
        <f>IF(AND(B364="brand",E364="budget_probe",ISNUMBER(F364)),F364,"")</f>
        <v/>
      </c>
    </row>
    <row r="365">
      <c r="A365" s="91" t="n"/>
      <c r="B365" s="92" t="n"/>
      <c r="C365" s="92" t="n"/>
      <c r="D365" s="92" t="n"/>
      <c r="E365" s="92" t="n"/>
      <c r="F365" s="92" t="n"/>
      <c r="G365" s="92" t="n"/>
      <c r="H365" s="92" t="n"/>
      <c r="I365" s="92" t="n"/>
      <c r="K365">
        <f>IF(C365="","",IF(COUNTIFS(C$5:C365,C365,E$5:E365,E365)=1,1,0))</f>
        <v/>
      </c>
      <c r="L365">
        <f>IF(C365="",0,IF(AND(B365="brand",E365="budget_probe",N(F365)&gt;=Inputs!$C$114,H365="Y"),1,0))</f>
        <v/>
      </c>
      <c r="M365">
        <f>IF(L365=1,IF(COUNTIFS(C$5:C365,C365,L$5:L365,1)=1,1,0),0)</f>
        <v/>
      </c>
      <c r="N365">
        <f>IF(C365="",0,IF(AND(B365="office",E365="budget_probe",N(F365)&gt;=Inputs!$C$129),1,0))</f>
        <v/>
      </c>
      <c r="O365">
        <f>IF(N365=1,IF(COUNTIFS(C$5:C365,C365,N$5:N365,1)=1,1,0),0)</f>
        <v/>
      </c>
      <c r="P365">
        <f>IF(C365="",0,IF(AND(B365="brand",E365="renewal_answer",N(F365)&gt;=Inputs!$C$125),1,0))</f>
        <v/>
      </c>
      <c r="Q365">
        <f>IF(AND(B365="office",E365="budget_probe",ISNUMBER(F365)),F365,"")</f>
        <v/>
      </c>
      <c r="R365">
        <f>IF(AND(B365="brand",E365="budget_probe",ISNUMBER(F365)),F365,"")</f>
        <v/>
      </c>
    </row>
    <row r="366">
      <c r="A366" s="91" t="n"/>
      <c r="B366" s="92" t="n"/>
      <c r="C366" s="92" t="n"/>
      <c r="D366" s="92" t="n"/>
      <c r="E366" s="92" t="n"/>
      <c r="F366" s="92" t="n"/>
      <c r="G366" s="92" t="n"/>
      <c r="H366" s="92" t="n"/>
      <c r="I366" s="92" t="n"/>
      <c r="K366">
        <f>IF(C366="","",IF(COUNTIFS(C$5:C366,C366,E$5:E366,E366)=1,1,0))</f>
        <v/>
      </c>
      <c r="L366">
        <f>IF(C366="",0,IF(AND(B366="brand",E366="budget_probe",N(F366)&gt;=Inputs!$C$114,H366="Y"),1,0))</f>
        <v/>
      </c>
      <c r="M366">
        <f>IF(L366=1,IF(COUNTIFS(C$5:C366,C366,L$5:L366,1)=1,1,0),0)</f>
        <v/>
      </c>
      <c r="N366">
        <f>IF(C366="",0,IF(AND(B366="office",E366="budget_probe",N(F366)&gt;=Inputs!$C$129),1,0))</f>
        <v/>
      </c>
      <c r="O366">
        <f>IF(N366=1,IF(COUNTIFS(C$5:C366,C366,N$5:N366,1)=1,1,0),0)</f>
        <v/>
      </c>
      <c r="P366">
        <f>IF(C366="",0,IF(AND(B366="brand",E366="renewal_answer",N(F366)&gt;=Inputs!$C$125),1,0))</f>
        <v/>
      </c>
      <c r="Q366">
        <f>IF(AND(B366="office",E366="budget_probe",ISNUMBER(F366)),F366,"")</f>
        <v/>
      </c>
      <c r="R366">
        <f>IF(AND(B366="brand",E366="budget_probe",ISNUMBER(F366)),F366,"")</f>
        <v/>
      </c>
    </row>
    <row r="367">
      <c r="A367" s="91" t="n"/>
      <c r="B367" s="92" t="n"/>
      <c r="C367" s="92" t="n"/>
      <c r="D367" s="92" t="n"/>
      <c r="E367" s="92" t="n"/>
      <c r="F367" s="92" t="n"/>
      <c r="G367" s="92" t="n"/>
      <c r="H367" s="92" t="n"/>
      <c r="I367" s="92" t="n"/>
      <c r="K367">
        <f>IF(C367="","",IF(COUNTIFS(C$5:C367,C367,E$5:E367,E367)=1,1,0))</f>
        <v/>
      </c>
      <c r="L367">
        <f>IF(C367="",0,IF(AND(B367="brand",E367="budget_probe",N(F367)&gt;=Inputs!$C$114,H367="Y"),1,0))</f>
        <v/>
      </c>
      <c r="M367">
        <f>IF(L367=1,IF(COUNTIFS(C$5:C367,C367,L$5:L367,1)=1,1,0),0)</f>
        <v/>
      </c>
      <c r="N367">
        <f>IF(C367="",0,IF(AND(B367="office",E367="budget_probe",N(F367)&gt;=Inputs!$C$129),1,0))</f>
        <v/>
      </c>
      <c r="O367">
        <f>IF(N367=1,IF(COUNTIFS(C$5:C367,C367,N$5:N367,1)=1,1,0),0)</f>
        <v/>
      </c>
      <c r="P367">
        <f>IF(C367="",0,IF(AND(B367="brand",E367="renewal_answer",N(F367)&gt;=Inputs!$C$125),1,0))</f>
        <v/>
      </c>
      <c r="Q367">
        <f>IF(AND(B367="office",E367="budget_probe",ISNUMBER(F367)),F367,"")</f>
        <v/>
      </c>
      <c r="R367">
        <f>IF(AND(B367="brand",E367="budget_probe",ISNUMBER(F367)),F367,"")</f>
        <v/>
      </c>
    </row>
    <row r="368">
      <c r="A368" s="91" t="n"/>
      <c r="B368" s="92" t="n"/>
      <c r="C368" s="92" t="n"/>
      <c r="D368" s="92" t="n"/>
      <c r="E368" s="92" t="n"/>
      <c r="F368" s="92" t="n"/>
      <c r="G368" s="92" t="n"/>
      <c r="H368" s="92" t="n"/>
      <c r="I368" s="92" t="n"/>
      <c r="K368">
        <f>IF(C368="","",IF(COUNTIFS(C$5:C368,C368,E$5:E368,E368)=1,1,0))</f>
        <v/>
      </c>
      <c r="L368">
        <f>IF(C368="",0,IF(AND(B368="brand",E368="budget_probe",N(F368)&gt;=Inputs!$C$114,H368="Y"),1,0))</f>
        <v/>
      </c>
      <c r="M368">
        <f>IF(L368=1,IF(COUNTIFS(C$5:C368,C368,L$5:L368,1)=1,1,0),0)</f>
        <v/>
      </c>
      <c r="N368">
        <f>IF(C368="",0,IF(AND(B368="office",E368="budget_probe",N(F368)&gt;=Inputs!$C$129),1,0))</f>
        <v/>
      </c>
      <c r="O368">
        <f>IF(N368=1,IF(COUNTIFS(C$5:C368,C368,N$5:N368,1)=1,1,0),0)</f>
        <v/>
      </c>
      <c r="P368">
        <f>IF(C368="",0,IF(AND(B368="brand",E368="renewal_answer",N(F368)&gt;=Inputs!$C$125),1,0))</f>
        <v/>
      </c>
      <c r="Q368">
        <f>IF(AND(B368="office",E368="budget_probe",ISNUMBER(F368)),F368,"")</f>
        <v/>
      </c>
      <c r="R368">
        <f>IF(AND(B368="brand",E368="budget_probe",ISNUMBER(F368)),F368,"")</f>
        <v/>
      </c>
    </row>
    <row r="369">
      <c r="A369" s="91" t="n"/>
      <c r="B369" s="92" t="n"/>
      <c r="C369" s="92" t="n"/>
      <c r="D369" s="92" t="n"/>
      <c r="E369" s="92" t="n"/>
      <c r="F369" s="92" t="n"/>
      <c r="G369" s="92" t="n"/>
      <c r="H369" s="92" t="n"/>
      <c r="I369" s="92" t="n"/>
      <c r="K369">
        <f>IF(C369="","",IF(COUNTIFS(C$5:C369,C369,E$5:E369,E369)=1,1,0))</f>
        <v/>
      </c>
      <c r="L369">
        <f>IF(C369="",0,IF(AND(B369="brand",E369="budget_probe",N(F369)&gt;=Inputs!$C$114,H369="Y"),1,0))</f>
        <v/>
      </c>
      <c r="M369">
        <f>IF(L369=1,IF(COUNTIFS(C$5:C369,C369,L$5:L369,1)=1,1,0),0)</f>
        <v/>
      </c>
      <c r="N369">
        <f>IF(C369="",0,IF(AND(B369="office",E369="budget_probe",N(F369)&gt;=Inputs!$C$129),1,0))</f>
        <v/>
      </c>
      <c r="O369">
        <f>IF(N369=1,IF(COUNTIFS(C$5:C369,C369,N$5:N369,1)=1,1,0),0)</f>
        <v/>
      </c>
      <c r="P369">
        <f>IF(C369="",0,IF(AND(B369="brand",E369="renewal_answer",N(F369)&gt;=Inputs!$C$125),1,0))</f>
        <v/>
      </c>
      <c r="Q369">
        <f>IF(AND(B369="office",E369="budget_probe",ISNUMBER(F369)),F369,"")</f>
        <v/>
      </c>
      <c r="R369">
        <f>IF(AND(B369="brand",E369="budget_probe",ISNUMBER(F369)),F369,"")</f>
        <v/>
      </c>
    </row>
    <row r="370">
      <c r="A370" s="91" t="n"/>
      <c r="B370" s="92" t="n"/>
      <c r="C370" s="92" t="n"/>
      <c r="D370" s="92" t="n"/>
      <c r="E370" s="92" t="n"/>
      <c r="F370" s="92" t="n"/>
      <c r="G370" s="92" t="n"/>
      <c r="H370" s="92" t="n"/>
      <c r="I370" s="92" t="n"/>
      <c r="K370">
        <f>IF(C370="","",IF(COUNTIFS(C$5:C370,C370,E$5:E370,E370)=1,1,0))</f>
        <v/>
      </c>
      <c r="L370">
        <f>IF(C370="",0,IF(AND(B370="brand",E370="budget_probe",N(F370)&gt;=Inputs!$C$114,H370="Y"),1,0))</f>
        <v/>
      </c>
      <c r="M370">
        <f>IF(L370=1,IF(COUNTIFS(C$5:C370,C370,L$5:L370,1)=1,1,0),0)</f>
        <v/>
      </c>
      <c r="N370">
        <f>IF(C370="",0,IF(AND(B370="office",E370="budget_probe",N(F370)&gt;=Inputs!$C$129),1,0))</f>
        <v/>
      </c>
      <c r="O370">
        <f>IF(N370=1,IF(COUNTIFS(C$5:C370,C370,N$5:N370,1)=1,1,0),0)</f>
        <v/>
      </c>
      <c r="P370">
        <f>IF(C370="",0,IF(AND(B370="brand",E370="renewal_answer",N(F370)&gt;=Inputs!$C$125),1,0))</f>
        <v/>
      </c>
      <c r="Q370">
        <f>IF(AND(B370="office",E370="budget_probe",ISNUMBER(F370)),F370,"")</f>
        <v/>
      </c>
      <c r="R370">
        <f>IF(AND(B370="brand",E370="budget_probe",ISNUMBER(F370)),F370,"")</f>
        <v/>
      </c>
    </row>
    <row r="371">
      <c r="A371" s="91" t="n"/>
      <c r="B371" s="92" t="n"/>
      <c r="C371" s="92" t="n"/>
      <c r="D371" s="92" t="n"/>
      <c r="E371" s="92" t="n"/>
      <c r="F371" s="92" t="n"/>
      <c r="G371" s="92" t="n"/>
      <c r="H371" s="92" t="n"/>
      <c r="I371" s="92" t="n"/>
      <c r="K371">
        <f>IF(C371="","",IF(COUNTIFS(C$5:C371,C371,E$5:E371,E371)=1,1,0))</f>
        <v/>
      </c>
      <c r="L371">
        <f>IF(C371="",0,IF(AND(B371="brand",E371="budget_probe",N(F371)&gt;=Inputs!$C$114,H371="Y"),1,0))</f>
        <v/>
      </c>
      <c r="M371">
        <f>IF(L371=1,IF(COUNTIFS(C$5:C371,C371,L$5:L371,1)=1,1,0),0)</f>
        <v/>
      </c>
      <c r="N371">
        <f>IF(C371="",0,IF(AND(B371="office",E371="budget_probe",N(F371)&gt;=Inputs!$C$129),1,0))</f>
        <v/>
      </c>
      <c r="O371">
        <f>IF(N371=1,IF(COUNTIFS(C$5:C371,C371,N$5:N371,1)=1,1,0),0)</f>
        <v/>
      </c>
      <c r="P371">
        <f>IF(C371="",0,IF(AND(B371="brand",E371="renewal_answer",N(F371)&gt;=Inputs!$C$125),1,0))</f>
        <v/>
      </c>
      <c r="Q371">
        <f>IF(AND(B371="office",E371="budget_probe",ISNUMBER(F371)),F371,"")</f>
        <v/>
      </c>
      <c r="R371">
        <f>IF(AND(B371="brand",E371="budget_probe",ISNUMBER(F371)),F371,"")</f>
        <v/>
      </c>
    </row>
    <row r="372">
      <c r="A372" s="91" t="n"/>
      <c r="B372" s="92" t="n"/>
      <c r="C372" s="92" t="n"/>
      <c r="D372" s="92" t="n"/>
      <c r="E372" s="92" t="n"/>
      <c r="F372" s="92" t="n"/>
      <c r="G372" s="92" t="n"/>
      <c r="H372" s="92" t="n"/>
      <c r="I372" s="92" t="n"/>
      <c r="K372">
        <f>IF(C372="","",IF(COUNTIFS(C$5:C372,C372,E$5:E372,E372)=1,1,0))</f>
        <v/>
      </c>
      <c r="L372">
        <f>IF(C372="",0,IF(AND(B372="brand",E372="budget_probe",N(F372)&gt;=Inputs!$C$114,H372="Y"),1,0))</f>
        <v/>
      </c>
      <c r="M372">
        <f>IF(L372=1,IF(COUNTIFS(C$5:C372,C372,L$5:L372,1)=1,1,0),0)</f>
        <v/>
      </c>
      <c r="N372">
        <f>IF(C372="",0,IF(AND(B372="office",E372="budget_probe",N(F372)&gt;=Inputs!$C$129),1,0))</f>
        <v/>
      </c>
      <c r="O372">
        <f>IF(N372=1,IF(COUNTIFS(C$5:C372,C372,N$5:N372,1)=1,1,0),0)</f>
        <v/>
      </c>
      <c r="P372">
        <f>IF(C372="",0,IF(AND(B372="brand",E372="renewal_answer",N(F372)&gt;=Inputs!$C$125),1,0))</f>
        <v/>
      </c>
      <c r="Q372">
        <f>IF(AND(B372="office",E372="budget_probe",ISNUMBER(F372)),F372,"")</f>
        <v/>
      </c>
      <c r="R372">
        <f>IF(AND(B372="brand",E372="budget_probe",ISNUMBER(F372)),F372,"")</f>
        <v/>
      </c>
    </row>
    <row r="373">
      <c r="A373" s="91" t="n"/>
      <c r="B373" s="92" t="n"/>
      <c r="C373" s="92" t="n"/>
      <c r="D373" s="92" t="n"/>
      <c r="E373" s="92" t="n"/>
      <c r="F373" s="92" t="n"/>
      <c r="G373" s="92" t="n"/>
      <c r="H373" s="92" t="n"/>
      <c r="I373" s="92" t="n"/>
      <c r="K373">
        <f>IF(C373="","",IF(COUNTIFS(C$5:C373,C373,E$5:E373,E373)=1,1,0))</f>
        <v/>
      </c>
      <c r="L373">
        <f>IF(C373="",0,IF(AND(B373="brand",E373="budget_probe",N(F373)&gt;=Inputs!$C$114,H373="Y"),1,0))</f>
        <v/>
      </c>
      <c r="M373">
        <f>IF(L373=1,IF(COUNTIFS(C$5:C373,C373,L$5:L373,1)=1,1,0),0)</f>
        <v/>
      </c>
      <c r="N373">
        <f>IF(C373="",0,IF(AND(B373="office",E373="budget_probe",N(F373)&gt;=Inputs!$C$129),1,0))</f>
        <v/>
      </c>
      <c r="O373">
        <f>IF(N373=1,IF(COUNTIFS(C$5:C373,C373,N$5:N373,1)=1,1,0),0)</f>
        <v/>
      </c>
      <c r="P373">
        <f>IF(C373="",0,IF(AND(B373="brand",E373="renewal_answer",N(F373)&gt;=Inputs!$C$125),1,0))</f>
        <v/>
      </c>
      <c r="Q373">
        <f>IF(AND(B373="office",E373="budget_probe",ISNUMBER(F373)),F373,"")</f>
        <v/>
      </c>
      <c r="R373">
        <f>IF(AND(B373="brand",E373="budget_probe",ISNUMBER(F373)),F373,"")</f>
        <v/>
      </c>
    </row>
    <row r="374">
      <c r="A374" s="91" t="n"/>
      <c r="B374" s="92" t="n"/>
      <c r="C374" s="92" t="n"/>
      <c r="D374" s="92" t="n"/>
      <c r="E374" s="92" t="n"/>
      <c r="F374" s="92" t="n"/>
      <c r="G374" s="92" t="n"/>
      <c r="H374" s="92" t="n"/>
      <c r="I374" s="92" t="n"/>
      <c r="K374">
        <f>IF(C374="","",IF(COUNTIFS(C$5:C374,C374,E$5:E374,E374)=1,1,0))</f>
        <v/>
      </c>
      <c r="L374">
        <f>IF(C374="",0,IF(AND(B374="brand",E374="budget_probe",N(F374)&gt;=Inputs!$C$114,H374="Y"),1,0))</f>
        <v/>
      </c>
      <c r="M374">
        <f>IF(L374=1,IF(COUNTIFS(C$5:C374,C374,L$5:L374,1)=1,1,0),0)</f>
        <v/>
      </c>
      <c r="N374">
        <f>IF(C374="",0,IF(AND(B374="office",E374="budget_probe",N(F374)&gt;=Inputs!$C$129),1,0))</f>
        <v/>
      </c>
      <c r="O374">
        <f>IF(N374=1,IF(COUNTIFS(C$5:C374,C374,N$5:N374,1)=1,1,0),0)</f>
        <v/>
      </c>
      <c r="P374">
        <f>IF(C374="",0,IF(AND(B374="brand",E374="renewal_answer",N(F374)&gt;=Inputs!$C$125),1,0))</f>
        <v/>
      </c>
      <c r="Q374">
        <f>IF(AND(B374="office",E374="budget_probe",ISNUMBER(F374)),F374,"")</f>
        <v/>
      </c>
      <c r="R374">
        <f>IF(AND(B374="brand",E374="budget_probe",ISNUMBER(F374)),F374,"")</f>
        <v/>
      </c>
    </row>
    <row r="375">
      <c r="A375" s="91" t="n"/>
      <c r="B375" s="92" t="n"/>
      <c r="C375" s="92" t="n"/>
      <c r="D375" s="92" t="n"/>
      <c r="E375" s="92" t="n"/>
      <c r="F375" s="92" t="n"/>
      <c r="G375" s="92" t="n"/>
      <c r="H375" s="92" t="n"/>
      <c r="I375" s="92" t="n"/>
      <c r="K375">
        <f>IF(C375="","",IF(COUNTIFS(C$5:C375,C375,E$5:E375,E375)=1,1,0))</f>
        <v/>
      </c>
      <c r="L375">
        <f>IF(C375="",0,IF(AND(B375="brand",E375="budget_probe",N(F375)&gt;=Inputs!$C$114,H375="Y"),1,0))</f>
        <v/>
      </c>
      <c r="M375">
        <f>IF(L375=1,IF(COUNTIFS(C$5:C375,C375,L$5:L375,1)=1,1,0),0)</f>
        <v/>
      </c>
      <c r="N375">
        <f>IF(C375="",0,IF(AND(B375="office",E375="budget_probe",N(F375)&gt;=Inputs!$C$129),1,0))</f>
        <v/>
      </c>
      <c r="O375">
        <f>IF(N375=1,IF(COUNTIFS(C$5:C375,C375,N$5:N375,1)=1,1,0),0)</f>
        <v/>
      </c>
      <c r="P375">
        <f>IF(C375="",0,IF(AND(B375="brand",E375="renewal_answer",N(F375)&gt;=Inputs!$C$125),1,0))</f>
        <v/>
      </c>
      <c r="Q375">
        <f>IF(AND(B375="office",E375="budget_probe",ISNUMBER(F375)),F375,"")</f>
        <v/>
      </c>
      <c r="R375">
        <f>IF(AND(B375="brand",E375="budget_probe",ISNUMBER(F375)),F375,"")</f>
        <v/>
      </c>
    </row>
    <row r="376">
      <c r="A376" s="91" t="n"/>
      <c r="B376" s="92" t="n"/>
      <c r="C376" s="92" t="n"/>
      <c r="D376" s="92" t="n"/>
      <c r="E376" s="92" t="n"/>
      <c r="F376" s="92" t="n"/>
      <c r="G376" s="92" t="n"/>
      <c r="H376" s="92" t="n"/>
      <c r="I376" s="92" t="n"/>
      <c r="K376">
        <f>IF(C376="","",IF(COUNTIFS(C$5:C376,C376,E$5:E376,E376)=1,1,0))</f>
        <v/>
      </c>
      <c r="L376">
        <f>IF(C376="",0,IF(AND(B376="brand",E376="budget_probe",N(F376)&gt;=Inputs!$C$114,H376="Y"),1,0))</f>
        <v/>
      </c>
      <c r="M376">
        <f>IF(L376=1,IF(COUNTIFS(C$5:C376,C376,L$5:L376,1)=1,1,0),0)</f>
        <v/>
      </c>
      <c r="N376">
        <f>IF(C376="",0,IF(AND(B376="office",E376="budget_probe",N(F376)&gt;=Inputs!$C$129),1,0))</f>
        <v/>
      </c>
      <c r="O376">
        <f>IF(N376=1,IF(COUNTIFS(C$5:C376,C376,N$5:N376,1)=1,1,0),0)</f>
        <v/>
      </c>
      <c r="P376">
        <f>IF(C376="",0,IF(AND(B376="brand",E376="renewal_answer",N(F376)&gt;=Inputs!$C$125),1,0))</f>
        <v/>
      </c>
      <c r="Q376">
        <f>IF(AND(B376="office",E376="budget_probe",ISNUMBER(F376)),F376,"")</f>
        <v/>
      </c>
      <c r="R376">
        <f>IF(AND(B376="brand",E376="budget_probe",ISNUMBER(F376)),F376,"")</f>
        <v/>
      </c>
    </row>
    <row r="377">
      <c r="A377" s="91" t="n"/>
      <c r="B377" s="92" t="n"/>
      <c r="C377" s="92" t="n"/>
      <c r="D377" s="92" t="n"/>
      <c r="E377" s="92" t="n"/>
      <c r="F377" s="92" t="n"/>
      <c r="G377" s="92" t="n"/>
      <c r="H377" s="92" t="n"/>
      <c r="I377" s="92" t="n"/>
      <c r="K377">
        <f>IF(C377="","",IF(COUNTIFS(C$5:C377,C377,E$5:E377,E377)=1,1,0))</f>
        <v/>
      </c>
      <c r="L377">
        <f>IF(C377="",0,IF(AND(B377="brand",E377="budget_probe",N(F377)&gt;=Inputs!$C$114,H377="Y"),1,0))</f>
        <v/>
      </c>
      <c r="M377">
        <f>IF(L377=1,IF(COUNTIFS(C$5:C377,C377,L$5:L377,1)=1,1,0),0)</f>
        <v/>
      </c>
      <c r="N377">
        <f>IF(C377="",0,IF(AND(B377="office",E377="budget_probe",N(F377)&gt;=Inputs!$C$129),1,0))</f>
        <v/>
      </c>
      <c r="O377">
        <f>IF(N377=1,IF(COUNTIFS(C$5:C377,C377,N$5:N377,1)=1,1,0),0)</f>
        <v/>
      </c>
      <c r="P377">
        <f>IF(C377="",0,IF(AND(B377="brand",E377="renewal_answer",N(F377)&gt;=Inputs!$C$125),1,0))</f>
        <v/>
      </c>
      <c r="Q377">
        <f>IF(AND(B377="office",E377="budget_probe",ISNUMBER(F377)),F377,"")</f>
        <v/>
      </c>
      <c r="R377">
        <f>IF(AND(B377="brand",E377="budget_probe",ISNUMBER(F377)),F377,"")</f>
        <v/>
      </c>
    </row>
    <row r="378">
      <c r="A378" s="91" t="n"/>
      <c r="B378" s="92" t="n"/>
      <c r="C378" s="92" t="n"/>
      <c r="D378" s="92" t="n"/>
      <c r="E378" s="92" t="n"/>
      <c r="F378" s="92" t="n"/>
      <c r="G378" s="92" t="n"/>
      <c r="H378" s="92" t="n"/>
      <c r="I378" s="92" t="n"/>
      <c r="K378">
        <f>IF(C378="","",IF(COUNTIFS(C$5:C378,C378,E$5:E378,E378)=1,1,0))</f>
        <v/>
      </c>
      <c r="L378">
        <f>IF(C378="",0,IF(AND(B378="brand",E378="budget_probe",N(F378)&gt;=Inputs!$C$114,H378="Y"),1,0))</f>
        <v/>
      </c>
      <c r="M378">
        <f>IF(L378=1,IF(COUNTIFS(C$5:C378,C378,L$5:L378,1)=1,1,0),0)</f>
        <v/>
      </c>
      <c r="N378">
        <f>IF(C378="",0,IF(AND(B378="office",E378="budget_probe",N(F378)&gt;=Inputs!$C$129),1,0))</f>
        <v/>
      </c>
      <c r="O378">
        <f>IF(N378=1,IF(COUNTIFS(C$5:C378,C378,N$5:N378,1)=1,1,0),0)</f>
        <v/>
      </c>
      <c r="P378">
        <f>IF(C378="",0,IF(AND(B378="brand",E378="renewal_answer",N(F378)&gt;=Inputs!$C$125),1,0))</f>
        <v/>
      </c>
      <c r="Q378">
        <f>IF(AND(B378="office",E378="budget_probe",ISNUMBER(F378)),F378,"")</f>
        <v/>
      </c>
      <c r="R378">
        <f>IF(AND(B378="brand",E378="budget_probe",ISNUMBER(F378)),F378,"")</f>
        <v/>
      </c>
    </row>
    <row r="379">
      <c r="A379" s="91" t="n"/>
      <c r="B379" s="92" t="n"/>
      <c r="C379" s="92" t="n"/>
      <c r="D379" s="92" t="n"/>
      <c r="E379" s="92" t="n"/>
      <c r="F379" s="92" t="n"/>
      <c r="G379" s="92" t="n"/>
      <c r="H379" s="92" t="n"/>
      <c r="I379" s="92" t="n"/>
      <c r="K379">
        <f>IF(C379="","",IF(COUNTIFS(C$5:C379,C379,E$5:E379,E379)=1,1,0))</f>
        <v/>
      </c>
      <c r="L379">
        <f>IF(C379="",0,IF(AND(B379="brand",E379="budget_probe",N(F379)&gt;=Inputs!$C$114,H379="Y"),1,0))</f>
        <v/>
      </c>
      <c r="M379">
        <f>IF(L379=1,IF(COUNTIFS(C$5:C379,C379,L$5:L379,1)=1,1,0),0)</f>
        <v/>
      </c>
      <c r="N379">
        <f>IF(C379="",0,IF(AND(B379="office",E379="budget_probe",N(F379)&gt;=Inputs!$C$129),1,0))</f>
        <v/>
      </c>
      <c r="O379">
        <f>IF(N379=1,IF(COUNTIFS(C$5:C379,C379,N$5:N379,1)=1,1,0),0)</f>
        <v/>
      </c>
      <c r="P379">
        <f>IF(C379="",0,IF(AND(B379="brand",E379="renewal_answer",N(F379)&gt;=Inputs!$C$125),1,0))</f>
        <v/>
      </c>
      <c r="Q379">
        <f>IF(AND(B379="office",E379="budget_probe",ISNUMBER(F379)),F379,"")</f>
        <v/>
      </c>
      <c r="R379">
        <f>IF(AND(B379="brand",E379="budget_probe",ISNUMBER(F379)),F379,"")</f>
        <v/>
      </c>
    </row>
    <row r="380">
      <c r="A380" s="91" t="n"/>
      <c r="B380" s="92" t="n"/>
      <c r="C380" s="92" t="n"/>
      <c r="D380" s="92" t="n"/>
      <c r="E380" s="92" t="n"/>
      <c r="F380" s="92" t="n"/>
      <c r="G380" s="92" t="n"/>
      <c r="H380" s="92" t="n"/>
      <c r="I380" s="92" t="n"/>
      <c r="K380">
        <f>IF(C380="","",IF(COUNTIFS(C$5:C380,C380,E$5:E380,E380)=1,1,0))</f>
        <v/>
      </c>
      <c r="L380">
        <f>IF(C380="",0,IF(AND(B380="brand",E380="budget_probe",N(F380)&gt;=Inputs!$C$114,H380="Y"),1,0))</f>
        <v/>
      </c>
      <c r="M380">
        <f>IF(L380=1,IF(COUNTIFS(C$5:C380,C380,L$5:L380,1)=1,1,0),0)</f>
        <v/>
      </c>
      <c r="N380">
        <f>IF(C380="",0,IF(AND(B380="office",E380="budget_probe",N(F380)&gt;=Inputs!$C$129),1,0))</f>
        <v/>
      </c>
      <c r="O380">
        <f>IF(N380=1,IF(COUNTIFS(C$5:C380,C380,N$5:N380,1)=1,1,0),0)</f>
        <v/>
      </c>
      <c r="P380">
        <f>IF(C380="",0,IF(AND(B380="brand",E380="renewal_answer",N(F380)&gt;=Inputs!$C$125),1,0))</f>
        <v/>
      </c>
      <c r="Q380">
        <f>IF(AND(B380="office",E380="budget_probe",ISNUMBER(F380)),F380,"")</f>
        <v/>
      </c>
      <c r="R380">
        <f>IF(AND(B380="brand",E380="budget_probe",ISNUMBER(F380)),F380,"")</f>
        <v/>
      </c>
    </row>
    <row r="381">
      <c r="A381" s="91" t="n"/>
      <c r="B381" s="92" t="n"/>
      <c r="C381" s="92" t="n"/>
      <c r="D381" s="92" t="n"/>
      <c r="E381" s="92" t="n"/>
      <c r="F381" s="92" t="n"/>
      <c r="G381" s="92" t="n"/>
      <c r="H381" s="92" t="n"/>
      <c r="I381" s="92" t="n"/>
      <c r="K381">
        <f>IF(C381="","",IF(COUNTIFS(C$5:C381,C381,E$5:E381,E381)=1,1,0))</f>
        <v/>
      </c>
      <c r="L381">
        <f>IF(C381="",0,IF(AND(B381="brand",E381="budget_probe",N(F381)&gt;=Inputs!$C$114,H381="Y"),1,0))</f>
        <v/>
      </c>
      <c r="M381">
        <f>IF(L381=1,IF(COUNTIFS(C$5:C381,C381,L$5:L381,1)=1,1,0),0)</f>
        <v/>
      </c>
      <c r="N381">
        <f>IF(C381="",0,IF(AND(B381="office",E381="budget_probe",N(F381)&gt;=Inputs!$C$129),1,0))</f>
        <v/>
      </c>
      <c r="O381">
        <f>IF(N381=1,IF(COUNTIFS(C$5:C381,C381,N$5:N381,1)=1,1,0),0)</f>
        <v/>
      </c>
      <c r="P381">
        <f>IF(C381="",0,IF(AND(B381="brand",E381="renewal_answer",N(F381)&gt;=Inputs!$C$125),1,0))</f>
        <v/>
      </c>
      <c r="Q381">
        <f>IF(AND(B381="office",E381="budget_probe",ISNUMBER(F381)),F381,"")</f>
        <v/>
      </c>
      <c r="R381">
        <f>IF(AND(B381="brand",E381="budget_probe",ISNUMBER(F381)),F381,"")</f>
        <v/>
      </c>
    </row>
    <row r="382">
      <c r="A382" s="91" t="n"/>
      <c r="B382" s="92" t="n"/>
      <c r="C382" s="92" t="n"/>
      <c r="D382" s="92" t="n"/>
      <c r="E382" s="92" t="n"/>
      <c r="F382" s="92" t="n"/>
      <c r="G382" s="92" t="n"/>
      <c r="H382" s="92" t="n"/>
      <c r="I382" s="92" t="n"/>
      <c r="K382">
        <f>IF(C382="","",IF(COUNTIFS(C$5:C382,C382,E$5:E382,E382)=1,1,0))</f>
        <v/>
      </c>
      <c r="L382">
        <f>IF(C382="",0,IF(AND(B382="brand",E382="budget_probe",N(F382)&gt;=Inputs!$C$114,H382="Y"),1,0))</f>
        <v/>
      </c>
      <c r="M382">
        <f>IF(L382=1,IF(COUNTIFS(C$5:C382,C382,L$5:L382,1)=1,1,0),0)</f>
        <v/>
      </c>
      <c r="N382">
        <f>IF(C382="",0,IF(AND(B382="office",E382="budget_probe",N(F382)&gt;=Inputs!$C$129),1,0))</f>
        <v/>
      </c>
      <c r="O382">
        <f>IF(N382=1,IF(COUNTIFS(C$5:C382,C382,N$5:N382,1)=1,1,0),0)</f>
        <v/>
      </c>
      <c r="P382">
        <f>IF(C382="",0,IF(AND(B382="brand",E382="renewal_answer",N(F382)&gt;=Inputs!$C$125),1,0))</f>
        <v/>
      </c>
      <c r="Q382">
        <f>IF(AND(B382="office",E382="budget_probe",ISNUMBER(F382)),F382,"")</f>
        <v/>
      </c>
      <c r="R382">
        <f>IF(AND(B382="brand",E382="budget_probe",ISNUMBER(F382)),F382,"")</f>
        <v/>
      </c>
    </row>
    <row r="383">
      <c r="A383" s="91" t="n"/>
      <c r="B383" s="92" t="n"/>
      <c r="C383" s="92" t="n"/>
      <c r="D383" s="92" t="n"/>
      <c r="E383" s="92" t="n"/>
      <c r="F383" s="92" t="n"/>
      <c r="G383" s="92" t="n"/>
      <c r="H383" s="92" t="n"/>
      <c r="I383" s="92" t="n"/>
      <c r="K383">
        <f>IF(C383="","",IF(COUNTIFS(C$5:C383,C383,E$5:E383,E383)=1,1,0))</f>
        <v/>
      </c>
      <c r="L383">
        <f>IF(C383="",0,IF(AND(B383="brand",E383="budget_probe",N(F383)&gt;=Inputs!$C$114,H383="Y"),1,0))</f>
        <v/>
      </c>
      <c r="M383">
        <f>IF(L383=1,IF(COUNTIFS(C$5:C383,C383,L$5:L383,1)=1,1,0),0)</f>
        <v/>
      </c>
      <c r="N383">
        <f>IF(C383="",0,IF(AND(B383="office",E383="budget_probe",N(F383)&gt;=Inputs!$C$129),1,0))</f>
        <v/>
      </c>
      <c r="O383">
        <f>IF(N383=1,IF(COUNTIFS(C$5:C383,C383,N$5:N383,1)=1,1,0),0)</f>
        <v/>
      </c>
      <c r="P383">
        <f>IF(C383="",0,IF(AND(B383="brand",E383="renewal_answer",N(F383)&gt;=Inputs!$C$125),1,0))</f>
        <v/>
      </c>
      <c r="Q383">
        <f>IF(AND(B383="office",E383="budget_probe",ISNUMBER(F383)),F383,"")</f>
        <v/>
      </c>
      <c r="R383">
        <f>IF(AND(B383="brand",E383="budget_probe",ISNUMBER(F383)),F383,"")</f>
        <v/>
      </c>
    </row>
    <row r="384">
      <c r="A384" s="91" t="n"/>
      <c r="B384" s="92" t="n"/>
      <c r="C384" s="92" t="n"/>
      <c r="D384" s="92" t="n"/>
      <c r="E384" s="92" t="n"/>
      <c r="F384" s="92" t="n"/>
      <c r="G384" s="92" t="n"/>
      <c r="H384" s="92" t="n"/>
      <c r="I384" s="92" t="n"/>
      <c r="K384">
        <f>IF(C384="","",IF(COUNTIFS(C$5:C384,C384,E$5:E384,E384)=1,1,0))</f>
        <v/>
      </c>
      <c r="L384">
        <f>IF(C384="",0,IF(AND(B384="brand",E384="budget_probe",N(F384)&gt;=Inputs!$C$114,H384="Y"),1,0))</f>
        <v/>
      </c>
      <c r="M384">
        <f>IF(L384=1,IF(COUNTIFS(C$5:C384,C384,L$5:L384,1)=1,1,0),0)</f>
        <v/>
      </c>
      <c r="N384">
        <f>IF(C384="",0,IF(AND(B384="office",E384="budget_probe",N(F384)&gt;=Inputs!$C$129),1,0))</f>
        <v/>
      </c>
      <c r="O384">
        <f>IF(N384=1,IF(COUNTIFS(C$5:C384,C384,N$5:N384,1)=1,1,0),0)</f>
        <v/>
      </c>
      <c r="P384">
        <f>IF(C384="",0,IF(AND(B384="brand",E384="renewal_answer",N(F384)&gt;=Inputs!$C$125),1,0))</f>
        <v/>
      </c>
      <c r="Q384">
        <f>IF(AND(B384="office",E384="budget_probe",ISNUMBER(F384)),F384,"")</f>
        <v/>
      </c>
      <c r="R384">
        <f>IF(AND(B384="brand",E384="budget_probe",ISNUMBER(F384)),F384,"")</f>
        <v/>
      </c>
    </row>
    <row r="385">
      <c r="A385" s="91" t="n"/>
      <c r="B385" s="92" t="n"/>
      <c r="C385" s="92" t="n"/>
      <c r="D385" s="92" t="n"/>
      <c r="E385" s="92" t="n"/>
      <c r="F385" s="92" t="n"/>
      <c r="G385" s="92" t="n"/>
      <c r="H385" s="92" t="n"/>
      <c r="I385" s="92" t="n"/>
      <c r="K385">
        <f>IF(C385="","",IF(COUNTIFS(C$5:C385,C385,E$5:E385,E385)=1,1,0))</f>
        <v/>
      </c>
      <c r="L385">
        <f>IF(C385="",0,IF(AND(B385="brand",E385="budget_probe",N(F385)&gt;=Inputs!$C$114,H385="Y"),1,0))</f>
        <v/>
      </c>
      <c r="M385">
        <f>IF(L385=1,IF(COUNTIFS(C$5:C385,C385,L$5:L385,1)=1,1,0),0)</f>
        <v/>
      </c>
      <c r="N385">
        <f>IF(C385="",0,IF(AND(B385="office",E385="budget_probe",N(F385)&gt;=Inputs!$C$129),1,0))</f>
        <v/>
      </c>
      <c r="O385">
        <f>IF(N385=1,IF(COUNTIFS(C$5:C385,C385,N$5:N385,1)=1,1,0),0)</f>
        <v/>
      </c>
      <c r="P385">
        <f>IF(C385="",0,IF(AND(B385="brand",E385="renewal_answer",N(F385)&gt;=Inputs!$C$125),1,0))</f>
        <v/>
      </c>
      <c r="Q385">
        <f>IF(AND(B385="office",E385="budget_probe",ISNUMBER(F385)),F385,"")</f>
        <v/>
      </c>
      <c r="R385">
        <f>IF(AND(B385="brand",E385="budget_probe",ISNUMBER(F385)),F385,"")</f>
        <v/>
      </c>
    </row>
    <row r="386">
      <c r="A386" s="91" t="n"/>
      <c r="B386" s="92" t="n"/>
      <c r="C386" s="92" t="n"/>
      <c r="D386" s="92" t="n"/>
      <c r="E386" s="92" t="n"/>
      <c r="F386" s="92" t="n"/>
      <c r="G386" s="92" t="n"/>
      <c r="H386" s="92" t="n"/>
      <c r="I386" s="92" t="n"/>
      <c r="K386">
        <f>IF(C386="","",IF(COUNTIFS(C$5:C386,C386,E$5:E386,E386)=1,1,0))</f>
        <v/>
      </c>
      <c r="L386">
        <f>IF(C386="",0,IF(AND(B386="brand",E386="budget_probe",N(F386)&gt;=Inputs!$C$114,H386="Y"),1,0))</f>
        <v/>
      </c>
      <c r="M386">
        <f>IF(L386=1,IF(COUNTIFS(C$5:C386,C386,L$5:L386,1)=1,1,0),0)</f>
        <v/>
      </c>
      <c r="N386">
        <f>IF(C386="",0,IF(AND(B386="office",E386="budget_probe",N(F386)&gt;=Inputs!$C$129),1,0))</f>
        <v/>
      </c>
      <c r="O386">
        <f>IF(N386=1,IF(COUNTIFS(C$5:C386,C386,N$5:N386,1)=1,1,0),0)</f>
        <v/>
      </c>
      <c r="P386">
        <f>IF(C386="",0,IF(AND(B386="brand",E386="renewal_answer",N(F386)&gt;=Inputs!$C$125),1,0))</f>
        <v/>
      </c>
      <c r="Q386">
        <f>IF(AND(B386="office",E386="budget_probe",ISNUMBER(F386)),F386,"")</f>
        <v/>
      </c>
      <c r="R386">
        <f>IF(AND(B386="brand",E386="budget_probe",ISNUMBER(F386)),F386,"")</f>
        <v/>
      </c>
    </row>
    <row r="387">
      <c r="A387" s="91" t="n"/>
      <c r="B387" s="92" t="n"/>
      <c r="C387" s="92" t="n"/>
      <c r="D387" s="92" t="n"/>
      <c r="E387" s="92" t="n"/>
      <c r="F387" s="92" t="n"/>
      <c r="G387" s="92" t="n"/>
      <c r="H387" s="92" t="n"/>
      <c r="I387" s="92" t="n"/>
      <c r="K387">
        <f>IF(C387="","",IF(COUNTIFS(C$5:C387,C387,E$5:E387,E387)=1,1,0))</f>
        <v/>
      </c>
      <c r="L387">
        <f>IF(C387="",0,IF(AND(B387="brand",E387="budget_probe",N(F387)&gt;=Inputs!$C$114,H387="Y"),1,0))</f>
        <v/>
      </c>
      <c r="M387">
        <f>IF(L387=1,IF(COUNTIFS(C$5:C387,C387,L$5:L387,1)=1,1,0),0)</f>
        <v/>
      </c>
      <c r="N387">
        <f>IF(C387="",0,IF(AND(B387="office",E387="budget_probe",N(F387)&gt;=Inputs!$C$129),1,0))</f>
        <v/>
      </c>
      <c r="O387">
        <f>IF(N387=1,IF(COUNTIFS(C$5:C387,C387,N$5:N387,1)=1,1,0),0)</f>
        <v/>
      </c>
      <c r="P387">
        <f>IF(C387="",0,IF(AND(B387="brand",E387="renewal_answer",N(F387)&gt;=Inputs!$C$125),1,0))</f>
        <v/>
      </c>
      <c r="Q387">
        <f>IF(AND(B387="office",E387="budget_probe",ISNUMBER(F387)),F387,"")</f>
        <v/>
      </c>
      <c r="R387">
        <f>IF(AND(B387="brand",E387="budget_probe",ISNUMBER(F387)),F387,"")</f>
        <v/>
      </c>
    </row>
    <row r="388">
      <c r="A388" s="91" t="n"/>
      <c r="B388" s="92" t="n"/>
      <c r="C388" s="92" t="n"/>
      <c r="D388" s="92" t="n"/>
      <c r="E388" s="92" t="n"/>
      <c r="F388" s="92" t="n"/>
      <c r="G388" s="92" t="n"/>
      <c r="H388" s="92" t="n"/>
      <c r="I388" s="92" t="n"/>
      <c r="K388">
        <f>IF(C388="","",IF(COUNTIFS(C$5:C388,C388,E$5:E388,E388)=1,1,0))</f>
        <v/>
      </c>
      <c r="L388">
        <f>IF(C388="",0,IF(AND(B388="brand",E388="budget_probe",N(F388)&gt;=Inputs!$C$114,H388="Y"),1,0))</f>
        <v/>
      </c>
      <c r="M388">
        <f>IF(L388=1,IF(COUNTIFS(C$5:C388,C388,L$5:L388,1)=1,1,0),0)</f>
        <v/>
      </c>
      <c r="N388">
        <f>IF(C388="",0,IF(AND(B388="office",E388="budget_probe",N(F388)&gt;=Inputs!$C$129),1,0))</f>
        <v/>
      </c>
      <c r="O388">
        <f>IF(N388=1,IF(COUNTIFS(C$5:C388,C388,N$5:N388,1)=1,1,0),0)</f>
        <v/>
      </c>
      <c r="P388">
        <f>IF(C388="",0,IF(AND(B388="brand",E388="renewal_answer",N(F388)&gt;=Inputs!$C$125),1,0))</f>
        <v/>
      </c>
      <c r="Q388">
        <f>IF(AND(B388="office",E388="budget_probe",ISNUMBER(F388)),F388,"")</f>
        <v/>
      </c>
      <c r="R388">
        <f>IF(AND(B388="brand",E388="budget_probe",ISNUMBER(F388)),F388,"")</f>
        <v/>
      </c>
    </row>
    <row r="389">
      <c r="A389" s="91" t="n"/>
      <c r="B389" s="92" t="n"/>
      <c r="C389" s="92" t="n"/>
      <c r="D389" s="92" t="n"/>
      <c r="E389" s="92" t="n"/>
      <c r="F389" s="92" t="n"/>
      <c r="G389" s="92" t="n"/>
      <c r="H389" s="92" t="n"/>
      <c r="I389" s="92" t="n"/>
      <c r="K389">
        <f>IF(C389="","",IF(COUNTIFS(C$5:C389,C389,E$5:E389,E389)=1,1,0))</f>
        <v/>
      </c>
      <c r="L389">
        <f>IF(C389="",0,IF(AND(B389="brand",E389="budget_probe",N(F389)&gt;=Inputs!$C$114,H389="Y"),1,0))</f>
        <v/>
      </c>
      <c r="M389">
        <f>IF(L389=1,IF(COUNTIFS(C$5:C389,C389,L$5:L389,1)=1,1,0),0)</f>
        <v/>
      </c>
      <c r="N389">
        <f>IF(C389="",0,IF(AND(B389="office",E389="budget_probe",N(F389)&gt;=Inputs!$C$129),1,0))</f>
        <v/>
      </c>
      <c r="O389">
        <f>IF(N389=1,IF(COUNTIFS(C$5:C389,C389,N$5:N389,1)=1,1,0),0)</f>
        <v/>
      </c>
      <c r="P389">
        <f>IF(C389="",0,IF(AND(B389="brand",E389="renewal_answer",N(F389)&gt;=Inputs!$C$125),1,0))</f>
        <v/>
      </c>
      <c r="Q389">
        <f>IF(AND(B389="office",E389="budget_probe",ISNUMBER(F389)),F389,"")</f>
        <v/>
      </c>
      <c r="R389">
        <f>IF(AND(B389="brand",E389="budget_probe",ISNUMBER(F389)),F389,"")</f>
        <v/>
      </c>
    </row>
    <row r="390">
      <c r="A390" s="91" t="n"/>
      <c r="B390" s="92" t="n"/>
      <c r="C390" s="92" t="n"/>
      <c r="D390" s="92" t="n"/>
      <c r="E390" s="92" t="n"/>
      <c r="F390" s="92" t="n"/>
      <c r="G390" s="92" t="n"/>
      <c r="H390" s="92" t="n"/>
      <c r="I390" s="92" t="n"/>
      <c r="K390">
        <f>IF(C390="","",IF(COUNTIFS(C$5:C390,C390,E$5:E390,E390)=1,1,0))</f>
        <v/>
      </c>
      <c r="L390">
        <f>IF(C390="",0,IF(AND(B390="brand",E390="budget_probe",N(F390)&gt;=Inputs!$C$114,H390="Y"),1,0))</f>
        <v/>
      </c>
      <c r="M390">
        <f>IF(L390=1,IF(COUNTIFS(C$5:C390,C390,L$5:L390,1)=1,1,0),0)</f>
        <v/>
      </c>
      <c r="N390">
        <f>IF(C390="",0,IF(AND(B390="office",E390="budget_probe",N(F390)&gt;=Inputs!$C$129),1,0))</f>
        <v/>
      </c>
      <c r="O390">
        <f>IF(N390=1,IF(COUNTIFS(C$5:C390,C390,N$5:N390,1)=1,1,0),0)</f>
        <v/>
      </c>
      <c r="P390">
        <f>IF(C390="",0,IF(AND(B390="brand",E390="renewal_answer",N(F390)&gt;=Inputs!$C$125),1,0))</f>
        <v/>
      </c>
      <c r="Q390">
        <f>IF(AND(B390="office",E390="budget_probe",ISNUMBER(F390)),F390,"")</f>
        <v/>
      </c>
      <c r="R390">
        <f>IF(AND(B390="brand",E390="budget_probe",ISNUMBER(F390)),F390,"")</f>
        <v/>
      </c>
    </row>
    <row r="391">
      <c r="A391" s="91" t="n"/>
      <c r="B391" s="92" t="n"/>
      <c r="C391" s="92" t="n"/>
      <c r="D391" s="92" t="n"/>
      <c r="E391" s="92" t="n"/>
      <c r="F391" s="92" t="n"/>
      <c r="G391" s="92" t="n"/>
      <c r="H391" s="92" t="n"/>
      <c r="I391" s="92" t="n"/>
      <c r="K391">
        <f>IF(C391="","",IF(COUNTIFS(C$5:C391,C391,E$5:E391,E391)=1,1,0))</f>
        <v/>
      </c>
      <c r="L391">
        <f>IF(C391="",0,IF(AND(B391="brand",E391="budget_probe",N(F391)&gt;=Inputs!$C$114,H391="Y"),1,0))</f>
        <v/>
      </c>
      <c r="M391">
        <f>IF(L391=1,IF(COUNTIFS(C$5:C391,C391,L$5:L391,1)=1,1,0),0)</f>
        <v/>
      </c>
      <c r="N391">
        <f>IF(C391="",0,IF(AND(B391="office",E391="budget_probe",N(F391)&gt;=Inputs!$C$129),1,0))</f>
        <v/>
      </c>
      <c r="O391">
        <f>IF(N391=1,IF(COUNTIFS(C$5:C391,C391,N$5:N391,1)=1,1,0),0)</f>
        <v/>
      </c>
      <c r="P391">
        <f>IF(C391="",0,IF(AND(B391="brand",E391="renewal_answer",N(F391)&gt;=Inputs!$C$125),1,0))</f>
        <v/>
      </c>
      <c r="Q391">
        <f>IF(AND(B391="office",E391="budget_probe",ISNUMBER(F391)),F391,"")</f>
        <v/>
      </c>
      <c r="R391">
        <f>IF(AND(B391="brand",E391="budget_probe",ISNUMBER(F391)),F391,"")</f>
        <v/>
      </c>
    </row>
    <row r="392">
      <c r="A392" s="91" t="n"/>
      <c r="B392" s="92" t="n"/>
      <c r="C392" s="92" t="n"/>
      <c r="D392" s="92" t="n"/>
      <c r="E392" s="92" t="n"/>
      <c r="F392" s="92" t="n"/>
      <c r="G392" s="92" t="n"/>
      <c r="H392" s="92" t="n"/>
      <c r="I392" s="92" t="n"/>
      <c r="K392">
        <f>IF(C392="","",IF(COUNTIFS(C$5:C392,C392,E$5:E392,E392)=1,1,0))</f>
        <v/>
      </c>
      <c r="L392">
        <f>IF(C392="",0,IF(AND(B392="brand",E392="budget_probe",N(F392)&gt;=Inputs!$C$114,H392="Y"),1,0))</f>
        <v/>
      </c>
      <c r="M392">
        <f>IF(L392=1,IF(COUNTIFS(C$5:C392,C392,L$5:L392,1)=1,1,0),0)</f>
        <v/>
      </c>
      <c r="N392">
        <f>IF(C392="",0,IF(AND(B392="office",E392="budget_probe",N(F392)&gt;=Inputs!$C$129),1,0))</f>
        <v/>
      </c>
      <c r="O392">
        <f>IF(N392=1,IF(COUNTIFS(C$5:C392,C392,N$5:N392,1)=1,1,0),0)</f>
        <v/>
      </c>
      <c r="P392">
        <f>IF(C392="",0,IF(AND(B392="brand",E392="renewal_answer",N(F392)&gt;=Inputs!$C$125),1,0))</f>
        <v/>
      </c>
      <c r="Q392">
        <f>IF(AND(B392="office",E392="budget_probe",ISNUMBER(F392)),F392,"")</f>
        <v/>
      </c>
      <c r="R392">
        <f>IF(AND(B392="brand",E392="budget_probe",ISNUMBER(F392)),F392,"")</f>
        <v/>
      </c>
    </row>
    <row r="393">
      <c r="A393" s="91" t="n"/>
      <c r="B393" s="92" t="n"/>
      <c r="C393" s="92" t="n"/>
      <c r="D393" s="92" t="n"/>
      <c r="E393" s="92" t="n"/>
      <c r="F393" s="92" t="n"/>
      <c r="G393" s="92" t="n"/>
      <c r="H393" s="92" t="n"/>
      <c r="I393" s="92" t="n"/>
      <c r="K393">
        <f>IF(C393="","",IF(COUNTIFS(C$5:C393,C393,E$5:E393,E393)=1,1,0))</f>
        <v/>
      </c>
      <c r="L393">
        <f>IF(C393="",0,IF(AND(B393="brand",E393="budget_probe",N(F393)&gt;=Inputs!$C$114,H393="Y"),1,0))</f>
        <v/>
      </c>
      <c r="M393">
        <f>IF(L393=1,IF(COUNTIFS(C$5:C393,C393,L$5:L393,1)=1,1,0),0)</f>
        <v/>
      </c>
      <c r="N393">
        <f>IF(C393="",0,IF(AND(B393="office",E393="budget_probe",N(F393)&gt;=Inputs!$C$129),1,0))</f>
        <v/>
      </c>
      <c r="O393">
        <f>IF(N393=1,IF(COUNTIFS(C$5:C393,C393,N$5:N393,1)=1,1,0),0)</f>
        <v/>
      </c>
      <c r="P393">
        <f>IF(C393="",0,IF(AND(B393="brand",E393="renewal_answer",N(F393)&gt;=Inputs!$C$125),1,0))</f>
        <v/>
      </c>
      <c r="Q393">
        <f>IF(AND(B393="office",E393="budget_probe",ISNUMBER(F393)),F393,"")</f>
        <v/>
      </c>
      <c r="R393">
        <f>IF(AND(B393="brand",E393="budget_probe",ISNUMBER(F393)),F393,"")</f>
        <v/>
      </c>
    </row>
    <row r="394">
      <c r="A394" s="91" t="n"/>
      <c r="B394" s="92" t="n"/>
      <c r="C394" s="92" t="n"/>
      <c r="D394" s="92" t="n"/>
      <c r="E394" s="92" t="n"/>
      <c r="F394" s="92" t="n"/>
      <c r="G394" s="92" t="n"/>
      <c r="H394" s="92" t="n"/>
      <c r="I394" s="92" t="n"/>
      <c r="K394">
        <f>IF(C394="","",IF(COUNTIFS(C$5:C394,C394,E$5:E394,E394)=1,1,0))</f>
        <v/>
      </c>
      <c r="L394">
        <f>IF(C394="",0,IF(AND(B394="brand",E394="budget_probe",N(F394)&gt;=Inputs!$C$114,H394="Y"),1,0))</f>
        <v/>
      </c>
      <c r="M394">
        <f>IF(L394=1,IF(COUNTIFS(C$5:C394,C394,L$5:L394,1)=1,1,0),0)</f>
        <v/>
      </c>
      <c r="N394">
        <f>IF(C394="",0,IF(AND(B394="office",E394="budget_probe",N(F394)&gt;=Inputs!$C$129),1,0))</f>
        <v/>
      </c>
      <c r="O394">
        <f>IF(N394=1,IF(COUNTIFS(C$5:C394,C394,N$5:N394,1)=1,1,0),0)</f>
        <v/>
      </c>
      <c r="P394">
        <f>IF(C394="",0,IF(AND(B394="brand",E394="renewal_answer",N(F394)&gt;=Inputs!$C$125),1,0))</f>
        <v/>
      </c>
      <c r="Q394">
        <f>IF(AND(B394="office",E394="budget_probe",ISNUMBER(F394)),F394,"")</f>
        <v/>
      </c>
      <c r="R394">
        <f>IF(AND(B394="brand",E394="budget_probe",ISNUMBER(F394)),F394,"")</f>
        <v/>
      </c>
    </row>
    <row r="395">
      <c r="A395" s="91" t="n"/>
      <c r="B395" s="92" t="n"/>
      <c r="C395" s="92" t="n"/>
      <c r="D395" s="92" t="n"/>
      <c r="E395" s="92" t="n"/>
      <c r="F395" s="92" t="n"/>
      <c r="G395" s="92" t="n"/>
      <c r="H395" s="92" t="n"/>
      <c r="I395" s="92" t="n"/>
      <c r="K395">
        <f>IF(C395="","",IF(COUNTIFS(C$5:C395,C395,E$5:E395,E395)=1,1,0))</f>
        <v/>
      </c>
      <c r="L395">
        <f>IF(C395="",0,IF(AND(B395="brand",E395="budget_probe",N(F395)&gt;=Inputs!$C$114,H395="Y"),1,0))</f>
        <v/>
      </c>
      <c r="M395">
        <f>IF(L395=1,IF(COUNTIFS(C$5:C395,C395,L$5:L395,1)=1,1,0),0)</f>
        <v/>
      </c>
      <c r="N395">
        <f>IF(C395="",0,IF(AND(B395="office",E395="budget_probe",N(F395)&gt;=Inputs!$C$129),1,0))</f>
        <v/>
      </c>
      <c r="O395">
        <f>IF(N395=1,IF(COUNTIFS(C$5:C395,C395,N$5:N395,1)=1,1,0),0)</f>
        <v/>
      </c>
      <c r="P395">
        <f>IF(C395="",0,IF(AND(B395="brand",E395="renewal_answer",N(F395)&gt;=Inputs!$C$125),1,0))</f>
        <v/>
      </c>
      <c r="Q395">
        <f>IF(AND(B395="office",E395="budget_probe",ISNUMBER(F395)),F395,"")</f>
        <v/>
      </c>
      <c r="R395">
        <f>IF(AND(B395="brand",E395="budget_probe",ISNUMBER(F395)),F395,"")</f>
        <v/>
      </c>
    </row>
    <row r="396">
      <c r="A396" s="91" t="n"/>
      <c r="B396" s="92" t="n"/>
      <c r="C396" s="92" t="n"/>
      <c r="D396" s="92" t="n"/>
      <c r="E396" s="92" t="n"/>
      <c r="F396" s="92" t="n"/>
      <c r="G396" s="92" t="n"/>
      <c r="H396" s="92" t="n"/>
      <c r="I396" s="92" t="n"/>
      <c r="K396">
        <f>IF(C396="","",IF(COUNTIFS(C$5:C396,C396,E$5:E396,E396)=1,1,0))</f>
        <v/>
      </c>
      <c r="L396">
        <f>IF(C396="",0,IF(AND(B396="brand",E396="budget_probe",N(F396)&gt;=Inputs!$C$114,H396="Y"),1,0))</f>
        <v/>
      </c>
      <c r="M396">
        <f>IF(L396=1,IF(COUNTIFS(C$5:C396,C396,L$5:L396,1)=1,1,0),0)</f>
        <v/>
      </c>
      <c r="N396">
        <f>IF(C396="",0,IF(AND(B396="office",E396="budget_probe",N(F396)&gt;=Inputs!$C$129),1,0))</f>
        <v/>
      </c>
      <c r="O396">
        <f>IF(N396=1,IF(COUNTIFS(C$5:C396,C396,N$5:N396,1)=1,1,0),0)</f>
        <v/>
      </c>
      <c r="P396">
        <f>IF(C396="",0,IF(AND(B396="brand",E396="renewal_answer",N(F396)&gt;=Inputs!$C$125),1,0))</f>
        <v/>
      </c>
      <c r="Q396">
        <f>IF(AND(B396="office",E396="budget_probe",ISNUMBER(F396)),F396,"")</f>
        <v/>
      </c>
      <c r="R396">
        <f>IF(AND(B396="brand",E396="budget_probe",ISNUMBER(F396)),F396,"")</f>
        <v/>
      </c>
    </row>
    <row r="397">
      <c r="A397" s="91" t="n"/>
      <c r="B397" s="92" t="n"/>
      <c r="C397" s="92" t="n"/>
      <c r="D397" s="92" t="n"/>
      <c r="E397" s="92" t="n"/>
      <c r="F397" s="92" t="n"/>
      <c r="G397" s="92" t="n"/>
      <c r="H397" s="92" t="n"/>
      <c r="I397" s="92" t="n"/>
      <c r="K397">
        <f>IF(C397="","",IF(COUNTIFS(C$5:C397,C397,E$5:E397,E397)=1,1,0))</f>
        <v/>
      </c>
      <c r="L397">
        <f>IF(C397="",0,IF(AND(B397="brand",E397="budget_probe",N(F397)&gt;=Inputs!$C$114,H397="Y"),1,0))</f>
        <v/>
      </c>
      <c r="M397">
        <f>IF(L397=1,IF(COUNTIFS(C$5:C397,C397,L$5:L397,1)=1,1,0),0)</f>
        <v/>
      </c>
      <c r="N397">
        <f>IF(C397="",0,IF(AND(B397="office",E397="budget_probe",N(F397)&gt;=Inputs!$C$129),1,0))</f>
        <v/>
      </c>
      <c r="O397">
        <f>IF(N397=1,IF(COUNTIFS(C$5:C397,C397,N$5:N397,1)=1,1,0),0)</f>
        <v/>
      </c>
      <c r="P397">
        <f>IF(C397="",0,IF(AND(B397="brand",E397="renewal_answer",N(F397)&gt;=Inputs!$C$125),1,0))</f>
        <v/>
      </c>
      <c r="Q397">
        <f>IF(AND(B397="office",E397="budget_probe",ISNUMBER(F397)),F397,"")</f>
        <v/>
      </c>
      <c r="R397">
        <f>IF(AND(B397="brand",E397="budget_probe",ISNUMBER(F397)),F397,"")</f>
        <v/>
      </c>
    </row>
    <row r="398">
      <c r="A398" s="91" t="n"/>
      <c r="B398" s="92" t="n"/>
      <c r="C398" s="92" t="n"/>
      <c r="D398" s="92" t="n"/>
      <c r="E398" s="92" t="n"/>
      <c r="F398" s="92" t="n"/>
      <c r="G398" s="92" t="n"/>
      <c r="H398" s="92" t="n"/>
      <c r="I398" s="92" t="n"/>
      <c r="K398">
        <f>IF(C398="","",IF(COUNTIFS(C$5:C398,C398,E$5:E398,E398)=1,1,0))</f>
        <v/>
      </c>
      <c r="L398">
        <f>IF(C398="",0,IF(AND(B398="brand",E398="budget_probe",N(F398)&gt;=Inputs!$C$114,H398="Y"),1,0))</f>
        <v/>
      </c>
      <c r="M398">
        <f>IF(L398=1,IF(COUNTIFS(C$5:C398,C398,L$5:L398,1)=1,1,0),0)</f>
        <v/>
      </c>
      <c r="N398">
        <f>IF(C398="",0,IF(AND(B398="office",E398="budget_probe",N(F398)&gt;=Inputs!$C$129),1,0))</f>
        <v/>
      </c>
      <c r="O398">
        <f>IF(N398=1,IF(COUNTIFS(C$5:C398,C398,N$5:N398,1)=1,1,0),0)</f>
        <v/>
      </c>
      <c r="P398">
        <f>IF(C398="",0,IF(AND(B398="brand",E398="renewal_answer",N(F398)&gt;=Inputs!$C$125),1,0))</f>
        <v/>
      </c>
      <c r="Q398">
        <f>IF(AND(B398="office",E398="budget_probe",ISNUMBER(F398)),F398,"")</f>
        <v/>
      </c>
      <c r="R398">
        <f>IF(AND(B398="brand",E398="budget_probe",ISNUMBER(F398)),F398,"")</f>
        <v/>
      </c>
    </row>
    <row r="399">
      <c r="A399" s="91" t="n"/>
      <c r="B399" s="92" t="n"/>
      <c r="C399" s="92" t="n"/>
      <c r="D399" s="92" t="n"/>
      <c r="E399" s="92" t="n"/>
      <c r="F399" s="92" t="n"/>
      <c r="G399" s="92" t="n"/>
      <c r="H399" s="92" t="n"/>
      <c r="I399" s="92" t="n"/>
      <c r="K399">
        <f>IF(C399="","",IF(COUNTIFS(C$5:C399,C399,E$5:E399,E399)=1,1,0))</f>
        <v/>
      </c>
      <c r="L399">
        <f>IF(C399="",0,IF(AND(B399="brand",E399="budget_probe",N(F399)&gt;=Inputs!$C$114,H399="Y"),1,0))</f>
        <v/>
      </c>
      <c r="M399">
        <f>IF(L399=1,IF(COUNTIFS(C$5:C399,C399,L$5:L399,1)=1,1,0),0)</f>
        <v/>
      </c>
      <c r="N399">
        <f>IF(C399="",0,IF(AND(B399="office",E399="budget_probe",N(F399)&gt;=Inputs!$C$129),1,0))</f>
        <v/>
      </c>
      <c r="O399">
        <f>IF(N399=1,IF(COUNTIFS(C$5:C399,C399,N$5:N399,1)=1,1,0),0)</f>
        <v/>
      </c>
      <c r="P399">
        <f>IF(C399="",0,IF(AND(B399="brand",E399="renewal_answer",N(F399)&gt;=Inputs!$C$125),1,0))</f>
        <v/>
      </c>
      <c r="Q399">
        <f>IF(AND(B399="office",E399="budget_probe",ISNUMBER(F399)),F399,"")</f>
        <v/>
      </c>
      <c r="R399">
        <f>IF(AND(B399="brand",E399="budget_probe",ISNUMBER(F399)),F399,"")</f>
        <v/>
      </c>
    </row>
    <row r="400">
      <c r="A400" s="91" t="n"/>
      <c r="B400" s="92" t="n"/>
      <c r="C400" s="92" t="n"/>
      <c r="D400" s="92" t="n"/>
      <c r="E400" s="92" t="n"/>
      <c r="F400" s="92" t="n"/>
      <c r="G400" s="92" t="n"/>
      <c r="H400" s="92" t="n"/>
      <c r="I400" s="92" t="n"/>
      <c r="K400">
        <f>IF(C400="","",IF(COUNTIFS(C$5:C400,C400,E$5:E400,E400)=1,1,0))</f>
        <v/>
      </c>
      <c r="L400">
        <f>IF(C400="",0,IF(AND(B400="brand",E400="budget_probe",N(F400)&gt;=Inputs!$C$114,H400="Y"),1,0))</f>
        <v/>
      </c>
      <c r="M400">
        <f>IF(L400=1,IF(COUNTIFS(C$5:C400,C400,L$5:L400,1)=1,1,0),0)</f>
        <v/>
      </c>
      <c r="N400">
        <f>IF(C400="",0,IF(AND(B400="office",E400="budget_probe",N(F400)&gt;=Inputs!$C$129),1,0))</f>
        <v/>
      </c>
      <c r="O400">
        <f>IF(N400=1,IF(COUNTIFS(C$5:C400,C400,N$5:N400,1)=1,1,0),0)</f>
        <v/>
      </c>
      <c r="P400">
        <f>IF(C400="",0,IF(AND(B400="brand",E400="renewal_answer",N(F400)&gt;=Inputs!$C$125),1,0))</f>
        <v/>
      </c>
      <c r="Q400">
        <f>IF(AND(B400="office",E400="budget_probe",ISNUMBER(F400)),F400,"")</f>
        <v/>
      </c>
      <c r="R400">
        <f>IF(AND(B400="brand",E400="budget_probe",ISNUMBER(F400)),F400,"")</f>
        <v/>
      </c>
    </row>
    <row r="401">
      <c r="A401" s="91" t="n"/>
      <c r="B401" s="92" t="n"/>
      <c r="C401" s="92" t="n"/>
      <c r="D401" s="92" t="n"/>
      <c r="E401" s="92" t="n"/>
      <c r="F401" s="92" t="n"/>
      <c r="G401" s="92" t="n"/>
      <c r="H401" s="92" t="n"/>
      <c r="I401" s="92" t="n"/>
      <c r="K401">
        <f>IF(C401="","",IF(COUNTIFS(C$5:C401,C401,E$5:E401,E401)=1,1,0))</f>
        <v/>
      </c>
      <c r="L401">
        <f>IF(C401="",0,IF(AND(B401="brand",E401="budget_probe",N(F401)&gt;=Inputs!$C$114,H401="Y"),1,0))</f>
        <v/>
      </c>
      <c r="M401">
        <f>IF(L401=1,IF(COUNTIFS(C$5:C401,C401,L$5:L401,1)=1,1,0),0)</f>
        <v/>
      </c>
      <c r="N401">
        <f>IF(C401="",0,IF(AND(B401="office",E401="budget_probe",N(F401)&gt;=Inputs!$C$129),1,0))</f>
        <v/>
      </c>
      <c r="O401">
        <f>IF(N401=1,IF(COUNTIFS(C$5:C401,C401,N$5:N401,1)=1,1,0),0)</f>
        <v/>
      </c>
      <c r="P401">
        <f>IF(C401="",0,IF(AND(B401="brand",E401="renewal_answer",N(F401)&gt;=Inputs!$C$125),1,0))</f>
        <v/>
      </c>
      <c r="Q401">
        <f>IF(AND(B401="office",E401="budget_probe",ISNUMBER(F401)),F401,"")</f>
        <v/>
      </c>
      <c r="R401">
        <f>IF(AND(B401="brand",E401="budget_probe",ISNUMBER(F401)),F401,"")</f>
        <v/>
      </c>
    </row>
    <row r="402">
      <c r="A402" s="91" t="n"/>
      <c r="B402" s="92" t="n"/>
      <c r="C402" s="92" t="n"/>
      <c r="D402" s="92" t="n"/>
      <c r="E402" s="92" t="n"/>
      <c r="F402" s="92" t="n"/>
      <c r="G402" s="92" t="n"/>
      <c r="H402" s="92" t="n"/>
      <c r="I402" s="92" t="n"/>
      <c r="K402">
        <f>IF(C402="","",IF(COUNTIFS(C$5:C402,C402,E$5:E402,E402)=1,1,0))</f>
        <v/>
      </c>
      <c r="L402">
        <f>IF(C402="",0,IF(AND(B402="brand",E402="budget_probe",N(F402)&gt;=Inputs!$C$114,H402="Y"),1,0))</f>
        <v/>
      </c>
      <c r="M402">
        <f>IF(L402=1,IF(COUNTIFS(C$5:C402,C402,L$5:L402,1)=1,1,0),0)</f>
        <v/>
      </c>
      <c r="N402">
        <f>IF(C402="",0,IF(AND(B402="office",E402="budget_probe",N(F402)&gt;=Inputs!$C$129),1,0))</f>
        <v/>
      </c>
      <c r="O402">
        <f>IF(N402=1,IF(COUNTIFS(C$5:C402,C402,N$5:N402,1)=1,1,0),0)</f>
        <v/>
      </c>
      <c r="P402">
        <f>IF(C402="",0,IF(AND(B402="brand",E402="renewal_answer",N(F402)&gt;=Inputs!$C$125),1,0))</f>
        <v/>
      </c>
      <c r="Q402">
        <f>IF(AND(B402="office",E402="budget_probe",ISNUMBER(F402)),F402,"")</f>
        <v/>
      </c>
      <c r="R402">
        <f>IF(AND(B402="brand",E402="budget_probe",ISNUMBER(F402)),F402,"")</f>
        <v/>
      </c>
    </row>
    <row r="403">
      <c r="A403" s="91" t="n"/>
      <c r="B403" s="92" t="n"/>
      <c r="C403" s="92" t="n"/>
      <c r="D403" s="92" t="n"/>
      <c r="E403" s="92" t="n"/>
      <c r="F403" s="92" t="n"/>
      <c r="G403" s="92" t="n"/>
      <c r="H403" s="92" t="n"/>
      <c r="I403" s="92" t="n"/>
      <c r="K403">
        <f>IF(C403="","",IF(COUNTIFS(C$5:C403,C403,E$5:E403,E403)=1,1,0))</f>
        <v/>
      </c>
      <c r="L403">
        <f>IF(C403="",0,IF(AND(B403="brand",E403="budget_probe",N(F403)&gt;=Inputs!$C$114,H403="Y"),1,0))</f>
        <v/>
      </c>
      <c r="M403">
        <f>IF(L403=1,IF(COUNTIFS(C$5:C403,C403,L$5:L403,1)=1,1,0),0)</f>
        <v/>
      </c>
      <c r="N403">
        <f>IF(C403="",0,IF(AND(B403="office",E403="budget_probe",N(F403)&gt;=Inputs!$C$129),1,0))</f>
        <v/>
      </c>
      <c r="O403">
        <f>IF(N403=1,IF(COUNTIFS(C$5:C403,C403,N$5:N403,1)=1,1,0),0)</f>
        <v/>
      </c>
      <c r="P403">
        <f>IF(C403="",0,IF(AND(B403="brand",E403="renewal_answer",N(F403)&gt;=Inputs!$C$125),1,0))</f>
        <v/>
      </c>
      <c r="Q403">
        <f>IF(AND(B403="office",E403="budget_probe",ISNUMBER(F403)),F403,"")</f>
        <v/>
      </c>
      <c r="R403">
        <f>IF(AND(B403="brand",E403="budget_probe",ISNUMBER(F403)),F403,"")</f>
        <v/>
      </c>
    </row>
    <row r="404">
      <c r="A404" s="91" t="n"/>
      <c r="B404" s="92" t="n"/>
      <c r="C404" s="92" t="n"/>
      <c r="D404" s="92" t="n"/>
      <c r="E404" s="92" t="n"/>
      <c r="F404" s="92" t="n"/>
      <c r="G404" s="92" t="n"/>
      <c r="H404" s="92" t="n"/>
      <c r="I404" s="92" t="n"/>
      <c r="K404">
        <f>IF(C404="","",IF(COUNTIFS(C$5:C404,C404,E$5:E404,E404)=1,1,0))</f>
        <v/>
      </c>
      <c r="L404">
        <f>IF(C404="",0,IF(AND(B404="brand",E404="budget_probe",N(F404)&gt;=Inputs!$C$114,H404="Y"),1,0))</f>
        <v/>
      </c>
      <c r="M404">
        <f>IF(L404=1,IF(COUNTIFS(C$5:C404,C404,L$5:L404,1)=1,1,0),0)</f>
        <v/>
      </c>
      <c r="N404">
        <f>IF(C404="",0,IF(AND(B404="office",E404="budget_probe",N(F404)&gt;=Inputs!$C$129),1,0))</f>
        <v/>
      </c>
      <c r="O404">
        <f>IF(N404=1,IF(COUNTIFS(C$5:C404,C404,N$5:N404,1)=1,1,0),0)</f>
        <v/>
      </c>
      <c r="P404">
        <f>IF(C404="",0,IF(AND(B404="brand",E404="renewal_answer",N(F404)&gt;=Inputs!$C$125),1,0))</f>
        <v/>
      </c>
      <c r="Q404">
        <f>IF(AND(B404="office",E404="budget_probe",ISNUMBER(F404)),F404,"")</f>
        <v/>
      </c>
      <c r="R404">
        <f>IF(AND(B404="brand",E404="budget_probe",ISNUMBER(F404)),F404,"")</f>
        <v/>
      </c>
    </row>
    <row r="405">
      <c r="A405" s="91" t="n"/>
      <c r="B405" s="92" t="n"/>
      <c r="C405" s="92" t="n"/>
      <c r="D405" s="92" t="n"/>
      <c r="E405" s="92" t="n"/>
      <c r="F405" s="92" t="n"/>
      <c r="G405" s="92" t="n"/>
      <c r="H405" s="92" t="n"/>
      <c r="I405" s="92" t="n"/>
      <c r="K405">
        <f>IF(C405="","",IF(COUNTIFS(C$5:C405,C405,E$5:E405,E405)=1,1,0))</f>
        <v/>
      </c>
      <c r="L405">
        <f>IF(C405="",0,IF(AND(B405="brand",E405="budget_probe",N(F405)&gt;=Inputs!$C$114,H405="Y"),1,0))</f>
        <v/>
      </c>
      <c r="M405">
        <f>IF(L405=1,IF(COUNTIFS(C$5:C405,C405,L$5:L405,1)=1,1,0),0)</f>
        <v/>
      </c>
      <c r="N405">
        <f>IF(C405="",0,IF(AND(B405="office",E405="budget_probe",N(F405)&gt;=Inputs!$C$129),1,0))</f>
        <v/>
      </c>
      <c r="O405">
        <f>IF(N405=1,IF(COUNTIFS(C$5:C405,C405,N$5:N405,1)=1,1,0),0)</f>
        <v/>
      </c>
      <c r="P405">
        <f>IF(C405="",0,IF(AND(B405="brand",E405="renewal_answer",N(F405)&gt;=Inputs!$C$125),1,0))</f>
        <v/>
      </c>
      <c r="Q405">
        <f>IF(AND(B405="office",E405="budget_probe",ISNUMBER(F405)),F405,"")</f>
        <v/>
      </c>
      <c r="R405">
        <f>IF(AND(B405="brand",E405="budget_probe",ISNUMBER(F405)),F405,"")</f>
        <v/>
      </c>
    </row>
    <row r="406">
      <c r="A406" s="91" t="n"/>
      <c r="B406" s="92" t="n"/>
      <c r="C406" s="92" t="n"/>
      <c r="D406" s="92" t="n"/>
      <c r="E406" s="92" t="n"/>
      <c r="F406" s="92" t="n"/>
      <c r="G406" s="92" t="n"/>
      <c r="H406" s="92" t="n"/>
      <c r="I406" s="92" t="n"/>
      <c r="K406">
        <f>IF(C406="","",IF(COUNTIFS(C$5:C406,C406,E$5:E406,E406)=1,1,0))</f>
        <v/>
      </c>
      <c r="L406">
        <f>IF(C406="",0,IF(AND(B406="brand",E406="budget_probe",N(F406)&gt;=Inputs!$C$114,H406="Y"),1,0))</f>
        <v/>
      </c>
      <c r="M406">
        <f>IF(L406=1,IF(COUNTIFS(C$5:C406,C406,L$5:L406,1)=1,1,0),0)</f>
        <v/>
      </c>
      <c r="N406">
        <f>IF(C406="",0,IF(AND(B406="office",E406="budget_probe",N(F406)&gt;=Inputs!$C$129),1,0))</f>
        <v/>
      </c>
      <c r="O406">
        <f>IF(N406=1,IF(COUNTIFS(C$5:C406,C406,N$5:N406,1)=1,1,0),0)</f>
        <v/>
      </c>
      <c r="P406">
        <f>IF(C406="",0,IF(AND(B406="brand",E406="renewal_answer",N(F406)&gt;=Inputs!$C$125),1,0))</f>
        <v/>
      </c>
      <c r="Q406">
        <f>IF(AND(B406="office",E406="budget_probe",ISNUMBER(F406)),F406,"")</f>
        <v/>
      </c>
      <c r="R406">
        <f>IF(AND(B406="brand",E406="budget_probe",ISNUMBER(F406)),F406,"")</f>
        <v/>
      </c>
    </row>
    <row r="407">
      <c r="A407" s="91" t="n"/>
      <c r="B407" s="92" t="n"/>
      <c r="C407" s="92" t="n"/>
      <c r="D407" s="92" t="n"/>
      <c r="E407" s="92" t="n"/>
      <c r="F407" s="92" t="n"/>
      <c r="G407" s="92" t="n"/>
      <c r="H407" s="92" t="n"/>
      <c r="I407" s="92" t="n"/>
      <c r="K407">
        <f>IF(C407="","",IF(COUNTIFS(C$5:C407,C407,E$5:E407,E407)=1,1,0))</f>
        <v/>
      </c>
      <c r="L407">
        <f>IF(C407="",0,IF(AND(B407="brand",E407="budget_probe",N(F407)&gt;=Inputs!$C$114,H407="Y"),1,0))</f>
        <v/>
      </c>
      <c r="M407">
        <f>IF(L407=1,IF(COUNTIFS(C$5:C407,C407,L$5:L407,1)=1,1,0),0)</f>
        <v/>
      </c>
      <c r="N407">
        <f>IF(C407="",0,IF(AND(B407="office",E407="budget_probe",N(F407)&gt;=Inputs!$C$129),1,0))</f>
        <v/>
      </c>
      <c r="O407">
        <f>IF(N407=1,IF(COUNTIFS(C$5:C407,C407,N$5:N407,1)=1,1,0),0)</f>
        <v/>
      </c>
      <c r="P407">
        <f>IF(C407="",0,IF(AND(B407="brand",E407="renewal_answer",N(F407)&gt;=Inputs!$C$125),1,0))</f>
        <v/>
      </c>
      <c r="Q407">
        <f>IF(AND(B407="office",E407="budget_probe",ISNUMBER(F407)),F407,"")</f>
        <v/>
      </c>
      <c r="R407">
        <f>IF(AND(B407="brand",E407="budget_probe",ISNUMBER(F407)),F407,"")</f>
        <v/>
      </c>
    </row>
    <row r="408">
      <c r="A408" s="91" t="n"/>
      <c r="B408" s="92" t="n"/>
      <c r="C408" s="92" t="n"/>
      <c r="D408" s="92" t="n"/>
      <c r="E408" s="92" t="n"/>
      <c r="F408" s="92" t="n"/>
      <c r="G408" s="92" t="n"/>
      <c r="H408" s="92" t="n"/>
      <c r="I408" s="92" t="n"/>
      <c r="K408">
        <f>IF(C408="","",IF(COUNTIFS(C$5:C408,C408,E$5:E408,E408)=1,1,0))</f>
        <v/>
      </c>
      <c r="L408">
        <f>IF(C408="",0,IF(AND(B408="brand",E408="budget_probe",N(F408)&gt;=Inputs!$C$114,H408="Y"),1,0))</f>
        <v/>
      </c>
      <c r="M408">
        <f>IF(L408=1,IF(COUNTIFS(C$5:C408,C408,L$5:L408,1)=1,1,0),0)</f>
        <v/>
      </c>
      <c r="N408">
        <f>IF(C408="",0,IF(AND(B408="office",E408="budget_probe",N(F408)&gt;=Inputs!$C$129),1,0))</f>
        <v/>
      </c>
      <c r="O408">
        <f>IF(N408=1,IF(COUNTIFS(C$5:C408,C408,N$5:N408,1)=1,1,0),0)</f>
        <v/>
      </c>
      <c r="P408">
        <f>IF(C408="",0,IF(AND(B408="brand",E408="renewal_answer",N(F408)&gt;=Inputs!$C$125),1,0))</f>
        <v/>
      </c>
      <c r="Q408">
        <f>IF(AND(B408="office",E408="budget_probe",ISNUMBER(F408)),F408,"")</f>
        <v/>
      </c>
      <c r="R408">
        <f>IF(AND(B408="brand",E408="budget_probe",ISNUMBER(F408)),F408,"")</f>
        <v/>
      </c>
    </row>
    <row r="409">
      <c r="A409" s="91" t="n"/>
      <c r="B409" s="92" t="n"/>
      <c r="C409" s="92" t="n"/>
      <c r="D409" s="92" t="n"/>
      <c r="E409" s="92" t="n"/>
      <c r="F409" s="92" t="n"/>
      <c r="G409" s="92" t="n"/>
      <c r="H409" s="92" t="n"/>
      <c r="I409" s="92" t="n"/>
      <c r="K409">
        <f>IF(C409="","",IF(COUNTIFS(C$5:C409,C409,E$5:E409,E409)=1,1,0))</f>
        <v/>
      </c>
      <c r="L409">
        <f>IF(C409="",0,IF(AND(B409="brand",E409="budget_probe",N(F409)&gt;=Inputs!$C$114,H409="Y"),1,0))</f>
        <v/>
      </c>
      <c r="M409">
        <f>IF(L409=1,IF(COUNTIFS(C$5:C409,C409,L$5:L409,1)=1,1,0),0)</f>
        <v/>
      </c>
      <c r="N409">
        <f>IF(C409="",0,IF(AND(B409="office",E409="budget_probe",N(F409)&gt;=Inputs!$C$129),1,0))</f>
        <v/>
      </c>
      <c r="O409">
        <f>IF(N409=1,IF(COUNTIFS(C$5:C409,C409,N$5:N409,1)=1,1,0),0)</f>
        <v/>
      </c>
      <c r="P409">
        <f>IF(C409="",0,IF(AND(B409="brand",E409="renewal_answer",N(F409)&gt;=Inputs!$C$125),1,0))</f>
        <v/>
      </c>
      <c r="Q409">
        <f>IF(AND(B409="office",E409="budget_probe",ISNUMBER(F409)),F409,"")</f>
        <v/>
      </c>
      <c r="R409">
        <f>IF(AND(B409="brand",E409="budget_probe",ISNUMBER(F409)),F409,"")</f>
        <v/>
      </c>
    </row>
    <row r="410">
      <c r="A410" s="91" t="n"/>
      <c r="B410" s="92" t="n"/>
      <c r="C410" s="92" t="n"/>
      <c r="D410" s="92" t="n"/>
      <c r="E410" s="92" t="n"/>
      <c r="F410" s="92" t="n"/>
      <c r="G410" s="92" t="n"/>
      <c r="H410" s="92" t="n"/>
      <c r="I410" s="92" t="n"/>
      <c r="K410">
        <f>IF(C410="","",IF(COUNTIFS(C$5:C410,C410,E$5:E410,E410)=1,1,0))</f>
        <v/>
      </c>
      <c r="L410">
        <f>IF(C410="",0,IF(AND(B410="brand",E410="budget_probe",N(F410)&gt;=Inputs!$C$114,H410="Y"),1,0))</f>
        <v/>
      </c>
      <c r="M410">
        <f>IF(L410=1,IF(COUNTIFS(C$5:C410,C410,L$5:L410,1)=1,1,0),0)</f>
        <v/>
      </c>
      <c r="N410">
        <f>IF(C410="",0,IF(AND(B410="office",E410="budget_probe",N(F410)&gt;=Inputs!$C$129),1,0))</f>
        <v/>
      </c>
      <c r="O410">
        <f>IF(N410=1,IF(COUNTIFS(C$5:C410,C410,N$5:N410,1)=1,1,0),0)</f>
        <v/>
      </c>
      <c r="P410">
        <f>IF(C410="",0,IF(AND(B410="brand",E410="renewal_answer",N(F410)&gt;=Inputs!$C$125),1,0))</f>
        <v/>
      </c>
      <c r="Q410">
        <f>IF(AND(B410="office",E410="budget_probe",ISNUMBER(F410)),F410,"")</f>
        <v/>
      </c>
      <c r="R410">
        <f>IF(AND(B410="brand",E410="budget_probe",ISNUMBER(F410)),F410,"")</f>
        <v/>
      </c>
    </row>
    <row r="411">
      <c r="A411" s="91" t="n"/>
      <c r="B411" s="92" t="n"/>
      <c r="C411" s="92" t="n"/>
      <c r="D411" s="92" t="n"/>
      <c r="E411" s="92" t="n"/>
      <c r="F411" s="92" t="n"/>
      <c r="G411" s="92" t="n"/>
      <c r="H411" s="92" t="n"/>
      <c r="I411" s="92" t="n"/>
      <c r="K411">
        <f>IF(C411="","",IF(COUNTIFS(C$5:C411,C411,E$5:E411,E411)=1,1,0))</f>
        <v/>
      </c>
      <c r="L411">
        <f>IF(C411="",0,IF(AND(B411="brand",E411="budget_probe",N(F411)&gt;=Inputs!$C$114,H411="Y"),1,0))</f>
        <v/>
      </c>
      <c r="M411">
        <f>IF(L411=1,IF(COUNTIFS(C$5:C411,C411,L$5:L411,1)=1,1,0),0)</f>
        <v/>
      </c>
      <c r="N411">
        <f>IF(C411="",0,IF(AND(B411="office",E411="budget_probe",N(F411)&gt;=Inputs!$C$129),1,0))</f>
        <v/>
      </c>
      <c r="O411">
        <f>IF(N411=1,IF(COUNTIFS(C$5:C411,C411,N$5:N411,1)=1,1,0),0)</f>
        <v/>
      </c>
      <c r="P411">
        <f>IF(C411="",0,IF(AND(B411="brand",E411="renewal_answer",N(F411)&gt;=Inputs!$C$125),1,0))</f>
        <v/>
      </c>
      <c r="Q411">
        <f>IF(AND(B411="office",E411="budget_probe",ISNUMBER(F411)),F411,"")</f>
        <v/>
      </c>
      <c r="R411">
        <f>IF(AND(B411="brand",E411="budget_probe",ISNUMBER(F411)),F411,"")</f>
        <v/>
      </c>
    </row>
    <row r="412">
      <c r="A412" s="91" t="n"/>
      <c r="B412" s="92" t="n"/>
      <c r="C412" s="92" t="n"/>
      <c r="D412" s="92" t="n"/>
      <c r="E412" s="92" t="n"/>
      <c r="F412" s="92" t="n"/>
      <c r="G412" s="92" t="n"/>
      <c r="H412" s="92" t="n"/>
      <c r="I412" s="92" t="n"/>
      <c r="K412">
        <f>IF(C412="","",IF(COUNTIFS(C$5:C412,C412,E$5:E412,E412)=1,1,0))</f>
        <v/>
      </c>
      <c r="L412">
        <f>IF(C412="",0,IF(AND(B412="brand",E412="budget_probe",N(F412)&gt;=Inputs!$C$114,H412="Y"),1,0))</f>
        <v/>
      </c>
      <c r="M412">
        <f>IF(L412=1,IF(COUNTIFS(C$5:C412,C412,L$5:L412,1)=1,1,0),0)</f>
        <v/>
      </c>
      <c r="N412">
        <f>IF(C412="",0,IF(AND(B412="office",E412="budget_probe",N(F412)&gt;=Inputs!$C$129),1,0))</f>
        <v/>
      </c>
      <c r="O412">
        <f>IF(N412=1,IF(COUNTIFS(C$5:C412,C412,N$5:N412,1)=1,1,0),0)</f>
        <v/>
      </c>
      <c r="P412">
        <f>IF(C412="",0,IF(AND(B412="brand",E412="renewal_answer",N(F412)&gt;=Inputs!$C$125),1,0))</f>
        <v/>
      </c>
      <c r="Q412">
        <f>IF(AND(B412="office",E412="budget_probe",ISNUMBER(F412)),F412,"")</f>
        <v/>
      </c>
      <c r="R412">
        <f>IF(AND(B412="brand",E412="budget_probe",ISNUMBER(F412)),F412,"")</f>
        <v/>
      </c>
    </row>
    <row r="413">
      <c r="A413" s="91" t="n"/>
      <c r="B413" s="92" t="n"/>
      <c r="C413" s="92" t="n"/>
      <c r="D413" s="92" t="n"/>
      <c r="E413" s="92" t="n"/>
      <c r="F413" s="92" t="n"/>
      <c r="G413" s="92" t="n"/>
      <c r="H413" s="92" t="n"/>
      <c r="I413" s="92" t="n"/>
      <c r="K413">
        <f>IF(C413="","",IF(COUNTIFS(C$5:C413,C413,E$5:E413,E413)=1,1,0))</f>
        <v/>
      </c>
      <c r="L413">
        <f>IF(C413="",0,IF(AND(B413="brand",E413="budget_probe",N(F413)&gt;=Inputs!$C$114,H413="Y"),1,0))</f>
        <v/>
      </c>
      <c r="M413">
        <f>IF(L413=1,IF(COUNTIFS(C$5:C413,C413,L$5:L413,1)=1,1,0),0)</f>
        <v/>
      </c>
      <c r="N413">
        <f>IF(C413="",0,IF(AND(B413="office",E413="budget_probe",N(F413)&gt;=Inputs!$C$129),1,0))</f>
        <v/>
      </c>
      <c r="O413">
        <f>IF(N413=1,IF(COUNTIFS(C$5:C413,C413,N$5:N413,1)=1,1,0),0)</f>
        <v/>
      </c>
      <c r="P413">
        <f>IF(C413="",0,IF(AND(B413="brand",E413="renewal_answer",N(F413)&gt;=Inputs!$C$125),1,0))</f>
        <v/>
      </c>
      <c r="Q413">
        <f>IF(AND(B413="office",E413="budget_probe",ISNUMBER(F413)),F413,"")</f>
        <v/>
      </c>
      <c r="R413">
        <f>IF(AND(B413="brand",E413="budget_probe",ISNUMBER(F413)),F413,"")</f>
        <v/>
      </c>
    </row>
    <row r="414">
      <c r="A414" s="91" t="n"/>
      <c r="B414" s="92" t="n"/>
      <c r="C414" s="92" t="n"/>
      <c r="D414" s="92" t="n"/>
      <c r="E414" s="92" t="n"/>
      <c r="F414" s="92" t="n"/>
      <c r="G414" s="92" t="n"/>
      <c r="H414" s="92" t="n"/>
      <c r="I414" s="92" t="n"/>
      <c r="K414">
        <f>IF(C414="","",IF(COUNTIFS(C$5:C414,C414,E$5:E414,E414)=1,1,0))</f>
        <v/>
      </c>
      <c r="L414">
        <f>IF(C414="",0,IF(AND(B414="brand",E414="budget_probe",N(F414)&gt;=Inputs!$C$114,H414="Y"),1,0))</f>
        <v/>
      </c>
      <c r="M414">
        <f>IF(L414=1,IF(COUNTIFS(C$5:C414,C414,L$5:L414,1)=1,1,0),0)</f>
        <v/>
      </c>
      <c r="N414">
        <f>IF(C414="",0,IF(AND(B414="office",E414="budget_probe",N(F414)&gt;=Inputs!$C$129),1,0))</f>
        <v/>
      </c>
      <c r="O414">
        <f>IF(N414=1,IF(COUNTIFS(C$5:C414,C414,N$5:N414,1)=1,1,0),0)</f>
        <v/>
      </c>
      <c r="P414">
        <f>IF(C414="",0,IF(AND(B414="brand",E414="renewal_answer",N(F414)&gt;=Inputs!$C$125),1,0))</f>
        <v/>
      </c>
      <c r="Q414">
        <f>IF(AND(B414="office",E414="budget_probe",ISNUMBER(F414)),F414,"")</f>
        <v/>
      </c>
      <c r="R414">
        <f>IF(AND(B414="brand",E414="budget_probe",ISNUMBER(F414)),F414,"")</f>
        <v/>
      </c>
    </row>
    <row r="415">
      <c r="A415" s="91" t="n"/>
      <c r="B415" s="92" t="n"/>
      <c r="C415" s="92" t="n"/>
      <c r="D415" s="92" t="n"/>
      <c r="E415" s="92" t="n"/>
      <c r="F415" s="92" t="n"/>
      <c r="G415" s="92" t="n"/>
      <c r="H415" s="92" t="n"/>
      <c r="I415" s="92" t="n"/>
      <c r="K415">
        <f>IF(C415="","",IF(COUNTIFS(C$5:C415,C415,E$5:E415,E415)=1,1,0))</f>
        <v/>
      </c>
      <c r="L415">
        <f>IF(C415="",0,IF(AND(B415="brand",E415="budget_probe",N(F415)&gt;=Inputs!$C$114,H415="Y"),1,0))</f>
        <v/>
      </c>
      <c r="M415">
        <f>IF(L415=1,IF(COUNTIFS(C$5:C415,C415,L$5:L415,1)=1,1,0),0)</f>
        <v/>
      </c>
      <c r="N415">
        <f>IF(C415="",0,IF(AND(B415="office",E415="budget_probe",N(F415)&gt;=Inputs!$C$129),1,0))</f>
        <v/>
      </c>
      <c r="O415">
        <f>IF(N415=1,IF(COUNTIFS(C$5:C415,C415,N$5:N415,1)=1,1,0),0)</f>
        <v/>
      </c>
      <c r="P415">
        <f>IF(C415="",0,IF(AND(B415="brand",E415="renewal_answer",N(F415)&gt;=Inputs!$C$125),1,0))</f>
        <v/>
      </c>
      <c r="Q415">
        <f>IF(AND(B415="office",E415="budget_probe",ISNUMBER(F415)),F415,"")</f>
        <v/>
      </c>
      <c r="R415">
        <f>IF(AND(B415="brand",E415="budget_probe",ISNUMBER(F415)),F415,"")</f>
        <v/>
      </c>
    </row>
    <row r="416">
      <c r="A416" s="91" t="n"/>
      <c r="B416" s="92" t="n"/>
      <c r="C416" s="92" t="n"/>
      <c r="D416" s="92" t="n"/>
      <c r="E416" s="92" t="n"/>
      <c r="F416" s="92" t="n"/>
      <c r="G416" s="92" t="n"/>
      <c r="H416" s="92" t="n"/>
      <c r="I416" s="92" t="n"/>
      <c r="K416">
        <f>IF(C416="","",IF(COUNTIFS(C$5:C416,C416,E$5:E416,E416)=1,1,0))</f>
        <v/>
      </c>
      <c r="L416">
        <f>IF(C416="",0,IF(AND(B416="brand",E416="budget_probe",N(F416)&gt;=Inputs!$C$114,H416="Y"),1,0))</f>
        <v/>
      </c>
      <c r="M416">
        <f>IF(L416=1,IF(COUNTIFS(C$5:C416,C416,L$5:L416,1)=1,1,0),0)</f>
        <v/>
      </c>
      <c r="N416">
        <f>IF(C416="",0,IF(AND(B416="office",E416="budget_probe",N(F416)&gt;=Inputs!$C$129),1,0))</f>
        <v/>
      </c>
      <c r="O416">
        <f>IF(N416=1,IF(COUNTIFS(C$5:C416,C416,N$5:N416,1)=1,1,0),0)</f>
        <v/>
      </c>
      <c r="P416">
        <f>IF(C416="",0,IF(AND(B416="brand",E416="renewal_answer",N(F416)&gt;=Inputs!$C$125),1,0))</f>
        <v/>
      </c>
      <c r="Q416">
        <f>IF(AND(B416="office",E416="budget_probe",ISNUMBER(F416)),F416,"")</f>
        <v/>
      </c>
      <c r="R416">
        <f>IF(AND(B416="brand",E416="budget_probe",ISNUMBER(F416)),F416,"")</f>
        <v/>
      </c>
    </row>
    <row r="417">
      <c r="A417" s="91" t="n"/>
      <c r="B417" s="92" t="n"/>
      <c r="C417" s="92" t="n"/>
      <c r="D417" s="92" t="n"/>
      <c r="E417" s="92" t="n"/>
      <c r="F417" s="92" t="n"/>
      <c r="G417" s="92" t="n"/>
      <c r="H417" s="92" t="n"/>
      <c r="I417" s="92" t="n"/>
      <c r="K417">
        <f>IF(C417="","",IF(COUNTIFS(C$5:C417,C417,E$5:E417,E417)=1,1,0))</f>
        <v/>
      </c>
      <c r="L417">
        <f>IF(C417="",0,IF(AND(B417="brand",E417="budget_probe",N(F417)&gt;=Inputs!$C$114,H417="Y"),1,0))</f>
        <v/>
      </c>
      <c r="M417">
        <f>IF(L417=1,IF(COUNTIFS(C$5:C417,C417,L$5:L417,1)=1,1,0),0)</f>
        <v/>
      </c>
      <c r="N417">
        <f>IF(C417="",0,IF(AND(B417="office",E417="budget_probe",N(F417)&gt;=Inputs!$C$129),1,0))</f>
        <v/>
      </c>
      <c r="O417">
        <f>IF(N417=1,IF(COUNTIFS(C$5:C417,C417,N$5:N417,1)=1,1,0),0)</f>
        <v/>
      </c>
      <c r="P417">
        <f>IF(C417="",0,IF(AND(B417="brand",E417="renewal_answer",N(F417)&gt;=Inputs!$C$125),1,0))</f>
        <v/>
      </c>
      <c r="Q417">
        <f>IF(AND(B417="office",E417="budget_probe",ISNUMBER(F417)),F417,"")</f>
        <v/>
      </c>
      <c r="R417">
        <f>IF(AND(B417="brand",E417="budget_probe",ISNUMBER(F417)),F417,"")</f>
        <v/>
      </c>
    </row>
    <row r="418">
      <c r="A418" s="91" t="n"/>
      <c r="B418" s="92" t="n"/>
      <c r="C418" s="92" t="n"/>
      <c r="D418" s="92" t="n"/>
      <c r="E418" s="92" t="n"/>
      <c r="F418" s="92" t="n"/>
      <c r="G418" s="92" t="n"/>
      <c r="H418" s="92" t="n"/>
      <c r="I418" s="92" t="n"/>
      <c r="K418">
        <f>IF(C418="","",IF(COUNTIFS(C$5:C418,C418,E$5:E418,E418)=1,1,0))</f>
        <v/>
      </c>
      <c r="L418">
        <f>IF(C418="",0,IF(AND(B418="brand",E418="budget_probe",N(F418)&gt;=Inputs!$C$114,H418="Y"),1,0))</f>
        <v/>
      </c>
      <c r="M418">
        <f>IF(L418=1,IF(COUNTIFS(C$5:C418,C418,L$5:L418,1)=1,1,0),0)</f>
        <v/>
      </c>
      <c r="N418">
        <f>IF(C418="",0,IF(AND(B418="office",E418="budget_probe",N(F418)&gt;=Inputs!$C$129),1,0))</f>
        <v/>
      </c>
      <c r="O418">
        <f>IF(N418=1,IF(COUNTIFS(C$5:C418,C418,N$5:N418,1)=1,1,0),0)</f>
        <v/>
      </c>
      <c r="P418">
        <f>IF(C418="",0,IF(AND(B418="brand",E418="renewal_answer",N(F418)&gt;=Inputs!$C$125),1,0))</f>
        <v/>
      </c>
      <c r="Q418">
        <f>IF(AND(B418="office",E418="budget_probe",ISNUMBER(F418)),F418,"")</f>
        <v/>
      </c>
      <c r="R418">
        <f>IF(AND(B418="brand",E418="budget_probe",ISNUMBER(F418)),F418,"")</f>
        <v/>
      </c>
    </row>
    <row r="419">
      <c r="A419" s="91" t="n"/>
      <c r="B419" s="92" t="n"/>
      <c r="C419" s="92" t="n"/>
      <c r="D419" s="92" t="n"/>
      <c r="E419" s="92" t="n"/>
      <c r="F419" s="92" t="n"/>
      <c r="G419" s="92" t="n"/>
      <c r="H419" s="92" t="n"/>
      <c r="I419" s="92" t="n"/>
      <c r="K419">
        <f>IF(C419="","",IF(COUNTIFS(C$5:C419,C419,E$5:E419,E419)=1,1,0))</f>
        <v/>
      </c>
      <c r="L419">
        <f>IF(C419="",0,IF(AND(B419="brand",E419="budget_probe",N(F419)&gt;=Inputs!$C$114,H419="Y"),1,0))</f>
        <v/>
      </c>
      <c r="M419">
        <f>IF(L419=1,IF(COUNTIFS(C$5:C419,C419,L$5:L419,1)=1,1,0),0)</f>
        <v/>
      </c>
      <c r="N419">
        <f>IF(C419="",0,IF(AND(B419="office",E419="budget_probe",N(F419)&gt;=Inputs!$C$129),1,0))</f>
        <v/>
      </c>
      <c r="O419">
        <f>IF(N419=1,IF(COUNTIFS(C$5:C419,C419,N$5:N419,1)=1,1,0),0)</f>
        <v/>
      </c>
      <c r="P419">
        <f>IF(C419="",0,IF(AND(B419="brand",E419="renewal_answer",N(F419)&gt;=Inputs!$C$125),1,0))</f>
        <v/>
      </c>
      <c r="Q419">
        <f>IF(AND(B419="office",E419="budget_probe",ISNUMBER(F419)),F419,"")</f>
        <v/>
      </c>
      <c r="R419">
        <f>IF(AND(B419="brand",E419="budget_probe",ISNUMBER(F419)),F419,"")</f>
        <v/>
      </c>
    </row>
    <row r="420">
      <c r="A420" s="91" t="n"/>
      <c r="B420" s="92" t="n"/>
      <c r="C420" s="92" t="n"/>
      <c r="D420" s="92" t="n"/>
      <c r="E420" s="92" t="n"/>
      <c r="F420" s="92" t="n"/>
      <c r="G420" s="92" t="n"/>
      <c r="H420" s="92" t="n"/>
      <c r="I420" s="92" t="n"/>
      <c r="K420">
        <f>IF(C420="","",IF(COUNTIFS(C$5:C420,C420,E$5:E420,E420)=1,1,0))</f>
        <v/>
      </c>
      <c r="L420">
        <f>IF(C420="",0,IF(AND(B420="brand",E420="budget_probe",N(F420)&gt;=Inputs!$C$114,H420="Y"),1,0))</f>
        <v/>
      </c>
      <c r="M420">
        <f>IF(L420=1,IF(COUNTIFS(C$5:C420,C420,L$5:L420,1)=1,1,0),0)</f>
        <v/>
      </c>
      <c r="N420">
        <f>IF(C420="",0,IF(AND(B420="office",E420="budget_probe",N(F420)&gt;=Inputs!$C$129),1,0))</f>
        <v/>
      </c>
      <c r="O420">
        <f>IF(N420=1,IF(COUNTIFS(C$5:C420,C420,N$5:N420,1)=1,1,0),0)</f>
        <v/>
      </c>
      <c r="P420">
        <f>IF(C420="",0,IF(AND(B420="brand",E420="renewal_answer",N(F420)&gt;=Inputs!$C$125),1,0))</f>
        <v/>
      </c>
      <c r="Q420">
        <f>IF(AND(B420="office",E420="budget_probe",ISNUMBER(F420)),F420,"")</f>
        <v/>
      </c>
      <c r="R420">
        <f>IF(AND(B420="brand",E420="budget_probe",ISNUMBER(F420)),F420,"")</f>
        <v/>
      </c>
    </row>
    <row r="421">
      <c r="A421" s="91" t="n"/>
      <c r="B421" s="92" t="n"/>
      <c r="C421" s="92" t="n"/>
      <c r="D421" s="92" t="n"/>
      <c r="E421" s="92" t="n"/>
      <c r="F421" s="92" t="n"/>
      <c r="G421" s="92" t="n"/>
      <c r="H421" s="92" t="n"/>
      <c r="I421" s="92" t="n"/>
      <c r="K421">
        <f>IF(C421="","",IF(COUNTIFS(C$5:C421,C421,E$5:E421,E421)=1,1,0))</f>
        <v/>
      </c>
      <c r="L421">
        <f>IF(C421="",0,IF(AND(B421="brand",E421="budget_probe",N(F421)&gt;=Inputs!$C$114,H421="Y"),1,0))</f>
        <v/>
      </c>
      <c r="M421">
        <f>IF(L421=1,IF(COUNTIFS(C$5:C421,C421,L$5:L421,1)=1,1,0),0)</f>
        <v/>
      </c>
      <c r="N421">
        <f>IF(C421="",0,IF(AND(B421="office",E421="budget_probe",N(F421)&gt;=Inputs!$C$129),1,0))</f>
        <v/>
      </c>
      <c r="O421">
        <f>IF(N421=1,IF(COUNTIFS(C$5:C421,C421,N$5:N421,1)=1,1,0),0)</f>
        <v/>
      </c>
      <c r="P421">
        <f>IF(C421="",0,IF(AND(B421="brand",E421="renewal_answer",N(F421)&gt;=Inputs!$C$125),1,0))</f>
        <v/>
      </c>
      <c r="Q421">
        <f>IF(AND(B421="office",E421="budget_probe",ISNUMBER(F421)),F421,"")</f>
        <v/>
      </c>
      <c r="R421">
        <f>IF(AND(B421="brand",E421="budget_probe",ISNUMBER(F421)),F421,"")</f>
        <v/>
      </c>
    </row>
    <row r="422">
      <c r="A422" s="91" t="n"/>
      <c r="B422" s="92" t="n"/>
      <c r="C422" s="92" t="n"/>
      <c r="D422" s="92" t="n"/>
      <c r="E422" s="92" t="n"/>
      <c r="F422" s="92" t="n"/>
      <c r="G422" s="92" t="n"/>
      <c r="H422" s="92" t="n"/>
      <c r="I422" s="92" t="n"/>
      <c r="K422">
        <f>IF(C422="","",IF(COUNTIFS(C$5:C422,C422,E$5:E422,E422)=1,1,0))</f>
        <v/>
      </c>
      <c r="L422">
        <f>IF(C422="",0,IF(AND(B422="brand",E422="budget_probe",N(F422)&gt;=Inputs!$C$114,H422="Y"),1,0))</f>
        <v/>
      </c>
      <c r="M422">
        <f>IF(L422=1,IF(COUNTIFS(C$5:C422,C422,L$5:L422,1)=1,1,0),0)</f>
        <v/>
      </c>
      <c r="N422">
        <f>IF(C422="",0,IF(AND(B422="office",E422="budget_probe",N(F422)&gt;=Inputs!$C$129),1,0))</f>
        <v/>
      </c>
      <c r="O422">
        <f>IF(N422=1,IF(COUNTIFS(C$5:C422,C422,N$5:N422,1)=1,1,0),0)</f>
        <v/>
      </c>
      <c r="P422">
        <f>IF(C422="",0,IF(AND(B422="brand",E422="renewal_answer",N(F422)&gt;=Inputs!$C$125),1,0))</f>
        <v/>
      </c>
      <c r="Q422">
        <f>IF(AND(B422="office",E422="budget_probe",ISNUMBER(F422)),F422,"")</f>
        <v/>
      </c>
      <c r="R422">
        <f>IF(AND(B422="brand",E422="budget_probe",ISNUMBER(F422)),F422,"")</f>
        <v/>
      </c>
    </row>
    <row r="423">
      <c r="A423" s="91" t="n"/>
      <c r="B423" s="92" t="n"/>
      <c r="C423" s="92" t="n"/>
      <c r="D423" s="92" t="n"/>
      <c r="E423" s="92" t="n"/>
      <c r="F423" s="92" t="n"/>
      <c r="G423" s="92" t="n"/>
      <c r="H423" s="92" t="n"/>
      <c r="I423" s="92" t="n"/>
      <c r="K423">
        <f>IF(C423="","",IF(COUNTIFS(C$5:C423,C423,E$5:E423,E423)=1,1,0))</f>
        <v/>
      </c>
      <c r="L423">
        <f>IF(C423="",0,IF(AND(B423="brand",E423="budget_probe",N(F423)&gt;=Inputs!$C$114,H423="Y"),1,0))</f>
        <v/>
      </c>
      <c r="M423">
        <f>IF(L423=1,IF(COUNTIFS(C$5:C423,C423,L$5:L423,1)=1,1,0),0)</f>
        <v/>
      </c>
      <c r="N423">
        <f>IF(C423="",0,IF(AND(B423="office",E423="budget_probe",N(F423)&gt;=Inputs!$C$129),1,0))</f>
        <v/>
      </c>
      <c r="O423">
        <f>IF(N423=1,IF(COUNTIFS(C$5:C423,C423,N$5:N423,1)=1,1,0),0)</f>
        <v/>
      </c>
      <c r="P423">
        <f>IF(C423="",0,IF(AND(B423="brand",E423="renewal_answer",N(F423)&gt;=Inputs!$C$125),1,0))</f>
        <v/>
      </c>
      <c r="Q423">
        <f>IF(AND(B423="office",E423="budget_probe",ISNUMBER(F423)),F423,"")</f>
        <v/>
      </c>
      <c r="R423">
        <f>IF(AND(B423="brand",E423="budget_probe",ISNUMBER(F423)),F423,"")</f>
        <v/>
      </c>
    </row>
    <row r="424">
      <c r="A424" s="91" t="n"/>
      <c r="B424" s="92" t="n"/>
      <c r="C424" s="92" t="n"/>
      <c r="D424" s="92" t="n"/>
      <c r="E424" s="92" t="n"/>
      <c r="F424" s="92" t="n"/>
      <c r="G424" s="92" t="n"/>
      <c r="H424" s="92" t="n"/>
      <c r="I424" s="92" t="n"/>
      <c r="K424">
        <f>IF(C424="","",IF(COUNTIFS(C$5:C424,C424,E$5:E424,E424)=1,1,0))</f>
        <v/>
      </c>
      <c r="L424">
        <f>IF(C424="",0,IF(AND(B424="brand",E424="budget_probe",N(F424)&gt;=Inputs!$C$114,H424="Y"),1,0))</f>
        <v/>
      </c>
      <c r="M424">
        <f>IF(L424=1,IF(COUNTIFS(C$5:C424,C424,L$5:L424,1)=1,1,0),0)</f>
        <v/>
      </c>
      <c r="N424">
        <f>IF(C424="",0,IF(AND(B424="office",E424="budget_probe",N(F424)&gt;=Inputs!$C$129),1,0))</f>
        <v/>
      </c>
      <c r="O424">
        <f>IF(N424=1,IF(COUNTIFS(C$5:C424,C424,N$5:N424,1)=1,1,0),0)</f>
        <v/>
      </c>
      <c r="P424">
        <f>IF(C424="",0,IF(AND(B424="brand",E424="renewal_answer",N(F424)&gt;=Inputs!$C$125),1,0))</f>
        <v/>
      </c>
      <c r="Q424">
        <f>IF(AND(B424="office",E424="budget_probe",ISNUMBER(F424)),F424,"")</f>
        <v/>
      </c>
      <c r="R424">
        <f>IF(AND(B424="brand",E424="budget_probe",ISNUMBER(F424)),F424,"")</f>
        <v/>
      </c>
    </row>
    <row r="425">
      <c r="A425" s="91" t="n"/>
      <c r="B425" s="92" t="n"/>
      <c r="C425" s="92" t="n"/>
      <c r="D425" s="92" t="n"/>
      <c r="E425" s="92" t="n"/>
      <c r="F425" s="92" t="n"/>
      <c r="G425" s="92" t="n"/>
      <c r="H425" s="92" t="n"/>
      <c r="I425" s="92" t="n"/>
      <c r="K425">
        <f>IF(C425="","",IF(COUNTIFS(C$5:C425,C425,E$5:E425,E425)=1,1,0))</f>
        <v/>
      </c>
      <c r="L425">
        <f>IF(C425="",0,IF(AND(B425="brand",E425="budget_probe",N(F425)&gt;=Inputs!$C$114,H425="Y"),1,0))</f>
        <v/>
      </c>
      <c r="M425">
        <f>IF(L425=1,IF(COUNTIFS(C$5:C425,C425,L$5:L425,1)=1,1,0),0)</f>
        <v/>
      </c>
      <c r="N425">
        <f>IF(C425="",0,IF(AND(B425="office",E425="budget_probe",N(F425)&gt;=Inputs!$C$129),1,0))</f>
        <v/>
      </c>
      <c r="O425">
        <f>IF(N425=1,IF(COUNTIFS(C$5:C425,C425,N$5:N425,1)=1,1,0),0)</f>
        <v/>
      </c>
      <c r="P425">
        <f>IF(C425="",0,IF(AND(B425="brand",E425="renewal_answer",N(F425)&gt;=Inputs!$C$125),1,0))</f>
        <v/>
      </c>
      <c r="Q425">
        <f>IF(AND(B425="office",E425="budget_probe",ISNUMBER(F425)),F425,"")</f>
        <v/>
      </c>
      <c r="R425">
        <f>IF(AND(B425="brand",E425="budget_probe",ISNUMBER(F425)),F425,"")</f>
        <v/>
      </c>
    </row>
    <row r="426">
      <c r="A426" s="91" t="n"/>
      <c r="B426" s="92" t="n"/>
      <c r="C426" s="92" t="n"/>
      <c r="D426" s="92" t="n"/>
      <c r="E426" s="92" t="n"/>
      <c r="F426" s="92" t="n"/>
      <c r="G426" s="92" t="n"/>
      <c r="H426" s="92" t="n"/>
      <c r="I426" s="92" t="n"/>
      <c r="K426">
        <f>IF(C426="","",IF(COUNTIFS(C$5:C426,C426,E$5:E426,E426)=1,1,0))</f>
        <v/>
      </c>
      <c r="L426">
        <f>IF(C426="",0,IF(AND(B426="brand",E426="budget_probe",N(F426)&gt;=Inputs!$C$114,H426="Y"),1,0))</f>
        <v/>
      </c>
      <c r="M426">
        <f>IF(L426=1,IF(COUNTIFS(C$5:C426,C426,L$5:L426,1)=1,1,0),0)</f>
        <v/>
      </c>
      <c r="N426">
        <f>IF(C426="",0,IF(AND(B426="office",E426="budget_probe",N(F426)&gt;=Inputs!$C$129),1,0))</f>
        <v/>
      </c>
      <c r="O426">
        <f>IF(N426=1,IF(COUNTIFS(C$5:C426,C426,N$5:N426,1)=1,1,0),0)</f>
        <v/>
      </c>
      <c r="P426">
        <f>IF(C426="",0,IF(AND(B426="brand",E426="renewal_answer",N(F426)&gt;=Inputs!$C$125),1,0))</f>
        <v/>
      </c>
      <c r="Q426">
        <f>IF(AND(B426="office",E426="budget_probe",ISNUMBER(F426)),F426,"")</f>
        <v/>
      </c>
      <c r="R426">
        <f>IF(AND(B426="brand",E426="budget_probe",ISNUMBER(F426)),F426,"")</f>
        <v/>
      </c>
    </row>
    <row r="427">
      <c r="A427" s="91" t="n"/>
      <c r="B427" s="92" t="n"/>
      <c r="C427" s="92" t="n"/>
      <c r="D427" s="92" t="n"/>
      <c r="E427" s="92" t="n"/>
      <c r="F427" s="92" t="n"/>
      <c r="G427" s="92" t="n"/>
      <c r="H427" s="92" t="n"/>
      <c r="I427" s="92" t="n"/>
      <c r="K427">
        <f>IF(C427="","",IF(COUNTIFS(C$5:C427,C427,E$5:E427,E427)=1,1,0))</f>
        <v/>
      </c>
      <c r="L427">
        <f>IF(C427="",0,IF(AND(B427="brand",E427="budget_probe",N(F427)&gt;=Inputs!$C$114,H427="Y"),1,0))</f>
        <v/>
      </c>
      <c r="M427">
        <f>IF(L427=1,IF(COUNTIFS(C$5:C427,C427,L$5:L427,1)=1,1,0),0)</f>
        <v/>
      </c>
      <c r="N427">
        <f>IF(C427="",0,IF(AND(B427="office",E427="budget_probe",N(F427)&gt;=Inputs!$C$129),1,0))</f>
        <v/>
      </c>
      <c r="O427">
        <f>IF(N427=1,IF(COUNTIFS(C$5:C427,C427,N$5:N427,1)=1,1,0),0)</f>
        <v/>
      </c>
      <c r="P427">
        <f>IF(C427="",0,IF(AND(B427="brand",E427="renewal_answer",N(F427)&gt;=Inputs!$C$125),1,0))</f>
        <v/>
      </c>
      <c r="Q427">
        <f>IF(AND(B427="office",E427="budget_probe",ISNUMBER(F427)),F427,"")</f>
        <v/>
      </c>
      <c r="R427">
        <f>IF(AND(B427="brand",E427="budget_probe",ISNUMBER(F427)),F427,"")</f>
        <v/>
      </c>
    </row>
    <row r="428">
      <c r="A428" s="91" t="n"/>
      <c r="B428" s="92" t="n"/>
      <c r="C428" s="92" t="n"/>
      <c r="D428" s="92" t="n"/>
      <c r="E428" s="92" t="n"/>
      <c r="F428" s="92" t="n"/>
      <c r="G428" s="92" t="n"/>
      <c r="H428" s="92" t="n"/>
      <c r="I428" s="92" t="n"/>
      <c r="K428">
        <f>IF(C428="","",IF(COUNTIFS(C$5:C428,C428,E$5:E428,E428)=1,1,0))</f>
        <v/>
      </c>
      <c r="L428">
        <f>IF(C428="",0,IF(AND(B428="brand",E428="budget_probe",N(F428)&gt;=Inputs!$C$114,H428="Y"),1,0))</f>
        <v/>
      </c>
      <c r="M428">
        <f>IF(L428=1,IF(COUNTIFS(C$5:C428,C428,L$5:L428,1)=1,1,0),0)</f>
        <v/>
      </c>
      <c r="N428">
        <f>IF(C428="",0,IF(AND(B428="office",E428="budget_probe",N(F428)&gt;=Inputs!$C$129),1,0))</f>
        <v/>
      </c>
      <c r="O428">
        <f>IF(N428=1,IF(COUNTIFS(C$5:C428,C428,N$5:N428,1)=1,1,0),0)</f>
        <v/>
      </c>
      <c r="P428">
        <f>IF(C428="",0,IF(AND(B428="brand",E428="renewal_answer",N(F428)&gt;=Inputs!$C$125),1,0))</f>
        <v/>
      </c>
      <c r="Q428">
        <f>IF(AND(B428="office",E428="budget_probe",ISNUMBER(F428)),F428,"")</f>
        <v/>
      </c>
      <c r="R428">
        <f>IF(AND(B428="brand",E428="budget_probe",ISNUMBER(F428)),F428,"")</f>
        <v/>
      </c>
    </row>
    <row r="429">
      <c r="A429" s="91" t="n"/>
      <c r="B429" s="92" t="n"/>
      <c r="C429" s="92" t="n"/>
      <c r="D429" s="92" t="n"/>
      <c r="E429" s="92" t="n"/>
      <c r="F429" s="92" t="n"/>
      <c r="G429" s="92" t="n"/>
      <c r="H429" s="92" t="n"/>
      <c r="I429" s="92" t="n"/>
      <c r="K429">
        <f>IF(C429="","",IF(COUNTIFS(C$5:C429,C429,E$5:E429,E429)=1,1,0))</f>
        <v/>
      </c>
      <c r="L429">
        <f>IF(C429="",0,IF(AND(B429="brand",E429="budget_probe",N(F429)&gt;=Inputs!$C$114,H429="Y"),1,0))</f>
        <v/>
      </c>
      <c r="M429">
        <f>IF(L429=1,IF(COUNTIFS(C$5:C429,C429,L$5:L429,1)=1,1,0),0)</f>
        <v/>
      </c>
      <c r="N429">
        <f>IF(C429="",0,IF(AND(B429="office",E429="budget_probe",N(F429)&gt;=Inputs!$C$129),1,0))</f>
        <v/>
      </c>
      <c r="O429">
        <f>IF(N429=1,IF(COUNTIFS(C$5:C429,C429,N$5:N429,1)=1,1,0),0)</f>
        <v/>
      </c>
      <c r="P429">
        <f>IF(C429="",0,IF(AND(B429="brand",E429="renewal_answer",N(F429)&gt;=Inputs!$C$125),1,0))</f>
        <v/>
      </c>
      <c r="Q429">
        <f>IF(AND(B429="office",E429="budget_probe",ISNUMBER(F429)),F429,"")</f>
        <v/>
      </c>
      <c r="R429">
        <f>IF(AND(B429="brand",E429="budget_probe",ISNUMBER(F429)),F429,"")</f>
        <v/>
      </c>
    </row>
    <row r="430">
      <c r="A430" s="91" t="n"/>
      <c r="B430" s="92" t="n"/>
      <c r="C430" s="92" t="n"/>
      <c r="D430" s="92" t="n"/>
      <c r="E430" s="92" t="n"/>
      <c r="F430" s="92" t="n"/>
      <c r="G430" s="92" t="n"/>
      <c r="H430" s="92" t="n"/>
      <c r="I430" s="92" t="n"/>
      <c r="K430">
        <f>IF(C430="","",IF(COUNTIFS(C$5:C430,C430,E$5:E430,E430)=1,1,0))</f>
        <v/>
      </c>
      <c r="L430">
        <f>IF(C430="",0,IF(AND(B430="brand",E430="budget_probe",N(F430)&gt;=Inputs!$C$114,H430="Y"),1,0))</f>
        <v/>
      </c>
      <c r="M430">
        <f>IF(L430=1,IF(COUNTIFS(C$5:C430,C430,L$5:L430,1)=1,1,0),0)</f>
        <v/>
      </c>
      <c r="N430">
        <f>IF(C430="",0,IF(AND(B430="office",E430="budget_probe",N(F430)&gt;=Inputs!$C$129),1,0))</f>
        <v/>
      </c>
      <c r="O430">
        <f>IF(N430=1,IF(COUNTIFS(C$5:C430,C430,N$5:N430,1)=1,1,0),0)</f>
        <v/>
      </c>
      <c r="P430">
        <f>IF(C430="",0,IF(AND(B430="brand",E430="renewal_answer",N(F430)&gt;=Inputs!$C$125),1,0))</f>
        <v/>
      </c>
      <c r="Q430">
        <f>IF(AND(B430="office",E430="budget_probe",ISNUMBER(F430)),F430,"")</f>
        <v/>
      </c>
      <c r="R430">
        <f>IF(AND(B430="brand",E430="budget_probe",ISNUMBER(F430)),F430,"")</f>
        <v/>
      </c>
    </row>
    <row r="431">
      <c r="A431" s="91" t="n"/>
      <c r="B431" s="92" t="n"/>
      <c r="C431" s="92" t="n"/>
      <c r="D431" s="92" t="n"/>
      <c r="E431" s="92" t="n"/>
      <c r="F431" s="92" t="n"/>
      <c r="G431" s="92" t="n"/>
      <c r="H431" s="92" t="n"/>
      <c r="I431" s="92" t="n"/>
      <c r="K431">
        <f>IF(C431="","",IF(COUNTIFS(C$5:C431,C431,E$5:E431,E431)=1,1,0))</f>
        <v/>
      </c>
      <c r="L431">
        <f>IF(C431="",0,IF(AND(B431="brand",E431="budget_probe",N(F431)&gt;=Inputs!$C$114,H431="Y"),1,0))</f>
        <v/>
      </c>
      <c r="M431">
        <f>IF(L431=1,IF(COUNTIFS(C$5:C431,C431,L$5:L431,1)=1,1,0),0)</f>
        <v/>
      </c>
      <c r="N431">
        <f>IF(C431="",0,IF(AND(B431="office",E431="budget_probe",N(F431)&gt;=Inputs!$C$129),1,0))</f>
        <v/>
      </c>
      <c r="O431">
        <f>IF(N431=1,IF(COUNTIFS(C$5:C431,C431,N$5:N431,1)=1,1,0),0)</f>
        <v/>
      </c>
      <c r="P431">
        <f>IF(C431="",0,IF(AND(B431="brand",E431="renewal_answer",N(F431)&gt;=Inputs!$C$125),1,0))</f>
        <v/>
      </c>
      <c r="Q431">
        <f>IF(AND(B431="office",E431="budget_probe",ISNUMBER(F431)),F431,"")</f>
        <v/>
      </c>
      <c r="R431">
        <f>IF(AND(B431="brand",E431="budget_probe",ISNUMBER(F431)),F431,"")</f>
        <v/>
      </c>
    </row>
    <row r="432">
      <c r="A432" s="91" t="n"/>
      <c r="B432" s="92" t="n"/>
      <c r="C432" s="92" t="n"/>
      <c r="D432" s="92" t="n"/>
      <c r="E432" s="92" t="n"/>
      <c r="F432" s="92" t="n"/>
      <c r="G432" s="92" t="n"/>
      <c r="H432" s="92" t="n"/>
      <c r="I432" s="92" t="n"/>
      <c r="K432">
        <f>IF(C432="","",IF(COUNTIFS(C$5:C432,C432,E$5:E432,E432)=1,1,0))</f>
        <v/>
      </c>
      <c r="L432">
        <f>IF(C432="",0,IF(AND(B432="brand",E432="budget_probe",N(F432)&gt;=Inputs!$C$114,H432="Y"),1,0))</f>
        <v/>
      </c>
      <c r="M432">
        <f>IF(L432=1,IF(COUNTIFS(C$5:C432,C432,L$5:L432,1)=1,1,0),0)</f>
        <v/>
      </c>
      <c r="N432">
        <f>IF(C432="",0,IF(AND(B432="office",E432="budget_probe",N(F432)&gt;=Inputs!$C$129),1,0))</f>
        <v/>
      </c>
      <c r="O432">
        <f>IF(N432=1,IF(COUNTIFS(C$5:C432,C432,N$5:N432,1)=1,1,0),0)</f>
        <v/>
      </c>
      <c r="P432">
        <f>IF(C432="",0,IF(AND(B432="brand",E432="renewal_answer",N(F432)&gt;=Inputs!$C$125),1,0))</f>
        <v/>
      </c>
      <c r="Q432">
        <f>IF(AND(B432="office",E432="budget_probe",ISNUMBER(F432)),F432,"")</f>
        <v/>
      </c>
      <c r="R432">
        <f>IF(AND(B432="brand",E432="budget_probe",ISNUMBER(F432)),F432,"")</f>
        <v/>
      </c>
    </row>
    <row r="433">
      <c r="A433" s="91" t="n"/>
      <c r="B433" s="92" t="n"/>
      <c r="C433" s="92" t="n"/>
      <c r="D433" s="92" t="n"/>
      <c r="E433" s="92" t="n"/>
      <c r="F433" s="92" t="n"/>
      <c r="G433" s="92" t="n"/>
      <c r="H433" s="92" t="n"/>
      <c r="I433" s="92" t="n"/>
      <c r="K433">
        <f>IF(C433="","",IF(COUNTIFS(C$5:C433,C433,E$5:E433,E433)=1,1,0))</f>
        <v/>
      </c>
      <c r="L433">
        <f>IF(C433="",0,IF(AND(B433="brand",E433="budget_probe",N(F433)&gt;=Inputs!$C$114,H433="Y"),1,0))</f>
        <v/>
      </c>
      <c r="M433">
        <f>IF(L433=1,IF(COUNTIFS(C$5:C433,C433,L$5:L433,1)=1,1,0),0)</f>
        <v/>
      </c>
      <c r="N433">
        <f>IF(C433="",0,IF(AND(B433="office",E433="budget_probe",N(F433)&gt;=Inputs!$C$129),1,0))</f>
        <v/>
      </c>
      <c r="O433">
        <f>IF(N433=1,IF(COUNTIFS(C$5:C433,C433,N$5:N433,1)=1,1,0),0)</f>
        <v/>
      </c>
      <c r="P433">
        <f>IF(C433="",0,IF(AND(B433="brand",E433="renewal_answer",N(F433)&gt;=Inputs!$C$125),1,0))</f>
        <v/>
      </c>
      <c r="Q433">
        <f>IF(AND(B433="office",E433="budget_probe",ISNUMBER(F433)),F433,"")</f>
        <v/>
      </c>
      <c r="R433">
        <f>IF(AND(B433="brand",E433="budget_probe",ISNUMBER(F433)),F433,"")</f>
        <v/>
      </c>
    </row>
    <row r="434">
      <c r="A434" s="91" t="n"/>
      <c r="B434" s="92" t="n"/>
      <c r="C434" s="92" t="n"/>
      <c r="D434" s="92" t="n"/>
      <c r="E434" s="92" t="n"/>
      <c r="F434" s="92" t="n"/>
      <c r="G434" s="92" t="n"/>
      <c r="H434" s="92" t="n"/>
      <c r="I434" s="92" t="n"/>
      <c r="K434">
        <f>IF(C434="","",IF(COUNTIFS(C$5:C434,C434,E$5:E434,E434)=1,1,0))</f>
        <v/>
      </c>
      <c r="L434">
        <f>IF(C434="",0,IF(AND(B434="brand",E434="budget_probe",N(F434)&gt;=Inputs!$C$114,H434="Y"),1,0))</f>
        <v/>
      </c>
      <c r="M434">
        <f>IF(L434=1,IF(COUNTIFS(C$5:C434,C434,L$5:L434,1)=1,1,0),0)</f>
        <v/>
      </c>
      <c r="N434">
        <f>IF(C434="",0,IF(AND(B434="office",E434="budget_probe",N(F434)&gt;=Inputs!$C$129),1,0))</f>
        <v/>
      </c>
      <c r="O434">
        <f>IF(N434=1,IF(COUNTIFS(C$5:C434,C434,N$5:N434,1)=1,1,0),0)</f>
        <v/>
      </c>
      <c r="P434">
        <f>IF(C434="",0,IF(AND(B434="brand",E434="renewal_answer",N(F434)&gt;=Inputs!$C$125),1,0))</f>
        <v/>
      </c>
      <c r="Q434">
        <f>IF(AND(B434="office",E434="budget_probe",ISNUMBER(F434)),F434,"")</f>
        <v/>
      </c>
      <c r="R434">
        <f>IF(AND(B434="brand",E434="budget_probe",ISNUMBER(F434)),F434,"")</f>
        <v/>
      </c>
    </row>
    <row r="435">
      <c r="A435" s="91" t="n"/>
      <c r="B435" s="92" t="n"/>
      <c r="C435" s="92" t="n"/>
      <c r="D435" s="92" t="n"/>
      <c r="E435" s="92" t="n"/>
      <c r="F435" s="92" t="n"/>
      <c r="G435" s="92" t="n"/>
      <c r="H435" s="92" t="n"/>
      <c r="I435" s="92" t="n"/>
      <c r="K435">
        <f>IF(C435="","",IF(COUNTIFS(C$5:C435,C435,E$5:E435,E435)=1,1,0))</f>
        <v/>
      </c>
      <c r="L435">
        <f>IF(C435="",0,IF(AND(B435="brand",E435="budget_probe",N(F435)&gt;=Inputs!$C$114,H435="Y"),1,0))</f>
        <v/>
      </c>
      <c r="M435">
        <f>IF(L435=1,IF(COUNTIFS(C$5:C435,C435,L$5:L435,1)=1,1,0),0)</f>
        <v/>
      </c>
      <c r="N435">
        <f>IF(C435="",0,IF(AND(B435="office",E435="budget_probe",N(F435)&gt;=Inputs!$C$129),1,0))</f>
        <v/>
      </c>
      <c r="O435">
        <f>IF(N435=1,IF(COUNTIFS(C$5:C435,C435,N$5:N435,1)=1,1,0),0)</f>
        <v/>
      </c>
      <c r="P435">
        <f>IF(C435="",0,IF(AND(B435="brand",E435="renewal_answer",N(F435)&gt;=Inputs!$C$125),1,0))</f>
        <v/>
      </c>
      <c r="Q435">
        <f>IF(AND(B435="office",E435="budget_probe",ISNUMBER(F435)),F435,"")</f>
        <v/>
      </c>
      <c r="R435">
        <f>IF(AND(B435="brand",E435="budget_probe",ISNUMBER(F435)),F435,"")</f>
        <v/>
      </c>
    </row>
    <row r="436">
      <c r="A436" s="91" t="n"/>
      <c r="B436" s="92" t="n"/>
      <c r="C436" s="92" t="n"/>
      <c r="D436" s="92" t="n"/>
      <c r="E436" s="92" t="n"/>
      <c r="F436" s="92" t="n"/>
      <c r="G436" s="92" t="n"/>
      <c r="H436" s="92" t="n"/>
      <c r="I436" s="92" t="n"/>
      <c r="K436">
        <f>IF(C436="","",IF(COUNTIFS(C$5:C436,C436,E$5:E436,E436)=1,1,0))</f>
        <v/>
      </c>
      <c r="L436">
        <f>IF(C436="",0,IF(AND(B436="brand",E436="budget_probe",N(F436)&gt;=Inputs!$C$114,H436="Y"),1,0))</f>
        <v/>
      </c>
      <c r="M436">
        <f>IF(L436=1,IF(COUNTIFS(C$5:C436,C436,L$5:L436,1)=1,1,0),0)</f>
        <v/>
      </c>
      <c r="N436">
        <f>IF(C436="",0,IF(AND(B436="office",E436="budget_probe",N(F436)&gt;=Inputs!$C$129),1,0))</f>
        <v/>
      </c>
      <c r="O436">
        <f>IF(N436=1,IF(COUNTIFS(C$5:C436,C436,N$5:N436,1)=1,1,0),0)</f>
        <v/>
      </c>
      <c r="P436">
        <f>IF(C436="",0,IF(AND(B436="brand",E436="renewal_answer",N(F436)&gt;=Inputs!$C$125),1,0))</f>
        <v/>
      </c>
      <c r="Q436">
        <f>IF(AND(B436="office",E436="budget_probe",ISNUMBER(F436)),F436,"")</f>
        <v/>
      </c>
      <c r="R436">
        <f>IF(AND(B436="brand",E436="budget_probe",ISNUMBER(F436)),F436,"")</f>
        <v/>
      </c>
    </row>
    <row r="437">
      <c r="A437" s="91" t="n"/>
      <c r="B437" s="92" t="n"/>
      <c r="C437" s="92" t="n"/>
      <c r="D437" s="92" t="n"/>
      <c r="E437" s="92" t="n"/>
      <c r="F437" s="92" t="n"/>
      <c r="G437" s="92" t="n"/>
      <c r="H437" s="92" t="n"/>
      <c r="I437" s="92" t="n"/>
      <c r="K437">
        <f>IF(C437="","",IF(COUNTIFS(C$5:C437,C437,E$5:E437,E437)=1,1,0))</f>
        <v/>
      </c>
      <c r="L437">
        <f>IF(C437="",0,IF(AND(B437="brand",E437="budget_probe",N(F437)&gt;=Inputs!$C$114,H437="Y"),1,0))</f>
        <v/>
      </c>
      <c r="M437">
        <f>IF(L437=1,IF(COUNTIFS(C$5:C437,C437,L$5:L437,1)=1,1,0),0)</f>
        <v/>
      </c>
      <c r="N437">
        <f>IF(C437="",0,IF(AND(B437="office",E437="budget_probe",N(F437)&gt;=Inputs!$C$129),1,0))</f>
        <v/>
      </c>
      <c r="O437">
        <f>IF(N437=1,IF(COUNTIFS(C$5:C437,C437,N$5:N437,1)=1,1,0),0)</f>
        <v/>
      </c>
      <c r="P437">
        <f>IF(C437="",0,IF(AND(B437="brand",E437="renewal_answer",N(F437)&gt;=Inputs!$C$125),1,0))</f>
        <v/>
      </c>
      <c r="Q437">
        <f>IF(AND(B437="office",E437="budget_probe",ISNUMBER(F437)),F437,"")</f>
        <v/>
      </c>
      <c r="R437">
        <f>IF(AND(B437="brand",E437="budget_probe",ISNUMBER(F437)),F437,"")</f>
        <v/>
      </c>
    </row>
    <row r="438">
      <c r="A438" s="91" t="n"/>
      <c r="B438" s="92" t="n"/>
      <c r="C438" s="92" t="n"/>
      <c r="D438" s="92" t="n"/>
      <c r="E438" s="92" t="n"/>
      <c r="F438" s="92" t="n"/>
      <c r="G438" s="92" t="n"/>
      <c r="H438" s="92" t="n"/>
      <c r="I438" s="92" t="n"/>
      <c r="K438">
        <f>IF(C438="","",IF(COUNTIFS(C$5:C438,C438,E$5:E438,E438)=1,1,0))</f>
        <v/>
      </c>
      <c r="L438">
        <f>IF(C438="",0,IF(AND(B438="brand",E438="budget_probe",N(F438)&gt;=Inputs!$C$114,H438="Y"),1,0))</f>
        <v/>
      </c>
      <c r="M438">
        <f>IF(L438=1,IF(COUNTIFS(C$5:C438,C438,L$5:L438,1)=1,1,0),0)</f>
        <v/>
      </c>
      <c r="N438">
        <f>IF(C438="",0,IF(AND(B438="office",E438="budget_probe",N(F438)&gt;=Inputs!$C$129),1,0))</f>
        <v/>
      </c>
      <c r="O438">
        <f>IF(N438=1,IF(COUNTIFS(C$5:C438,C438,N$5:N438,1)=1,1,0),0)</f>
        <v/>
      </c>
      <c r="P438">
        <f>IF(C438="",0,IF(AND(B438="brand",E438="renewal_answer",N(F438)&gt;=Inputs!$C$125),1,0))</f>
        <v/>
      </c>
      <c r="Q438">
        <f>IF(AND(B438="office",E438="budget_probe",ISNUMBER(F438)),F438,"")</f>
        <v/>
      </c>
      <c r="R438">
        <f>IF(AND(B438="brand",E438="budget_probe",ISNUMBER(F438)),F438,"")</f>
        <v/>
      </c>
    </row>
    <row r="439">
      <c r="A439" s="91" t="n"/>
      <c r="B439" s="92" t="n"/>
      <c r="C439" s="92" t="n"/>
      <c r="D439" s="92" t="n"/>
      <c r="E439" s="92" t="n"/>
      <c r="F439" s="92" t="n"/>
      <c r="G439" s="92" t="n"/>
      <c r="H439" s="92" t="n"/>
      <c r="I439" s="92" t="n"/>
      <c r="K439">
        <f>IF(C439="","",IF(COUNTIFS(C$5:C439,C439,E$5:E439,E439)=1,1,0))</f>
        <v/>
      </c>
      <c r="L439">
        <f>IF(C439="",0,IF(AND(B439="brand",E439="budget_probe",N(F439)&gt;=Inputs!$C$114,H439="Y"),1,0))</f>
        <v/>
      </c>
      <c r="M439">
        <f>IF(L439=1,IF(COUNTIFS(C$5:C439,C439,L$5:L439,1)=1,1,0),0)</f>
        <v/>
      </c>
      <c r="N439">
        <f>IF(C439="",0,IF(AND(B439="office",E439="budget_probe",N(F439)&gt;=Inputs!$C$129),1,0))</f>
        <v/>
      </c>
      <c r="O439">
        <f>IF(N439=1,IF(COUNTIFS(C$5:C439,C439,N$5:N439,1)=1,1,0),0)</f>
        <v/>
      </c>
      <c r="P439">
        <f>IF(C439="",0,IF(AND(B439="brand",E439="renewal_answer",N(F439)&gt;=Inputs!$C$125),1,0))</f>
        <v/>
      </c>
      <c r="Q439">
        <f>IF(AND(B439="office",E439="budget_probe",ISNUMBER(F439)),F439,"")</f>
        <v/>
      </c>
      <c r="R439">
        <f>IF(AND(B439="brand",E439="budget_probe",ISNUMBER(F439)),F439,"")</f>
        <v/>
      </c>
    </row>
    <row r="440">
      <c r="A440" s="91" t="n"/>
      <c r="B440" s="92" t="n"/>
      <c r="C440" s="92" t="n"/>
      <c r="D440" s="92" t="n"/>
      <c r="E440" s="92" t="n"/>
      <c r="F440" s="92" t="n"/>
      <c r="G440" s="92" t="n"/>
      <c r="H440" s="92" t="n"/>
      <c r="I440" s="92" t="n"/>
      <c r="K440">
        <f>IF(C440="","",IF(COUNTIFS(C$5:C440,C440,E$5:E440,E440)=1,1,0))</f>
        <v/>
      </c>
      <c r="L440">
        <f>IF(C440="",0,IF(AND(B440="brand",E440="budget_probe",N(F440)&gt;=Inputs!$C$114,H440="Y"),1,0))</f>
        <v/>
      </c>
      <c r="M440">
        <f>IF(L440=1,IF(COUNTIFS(C$5:C440,C440,L$5:L440,1)=1,1,0),0)</f>
        <v/>
      </c>
      <c r="N440">
        <f>IF(C440="",0,IF(AND(B440="office",E440="budget_probe",N(F440)&gt;=Inputs!$C$129),1,0))</f>
        <v/>
      </c>
      <c r="O440">
        <f>IF(N440=1,IF(COUNTIFS(C$5:C440,C440,N$5:N440,1)=1,1,0),0)</f>
        <v/>
      </c>
      <c r="P440">
        <f>IF(C440="",0,IF(AND(B440="brand",E440="renewal_answer",N(F440)&gt;=Inputs!$C$125),1,0))</f>
        <v/>
      </c>
      <c r="Q440">
        <f>IF(AND(B440="office",E440="budget_probe",ISNUMBER(F440)),F440,"")</f>
        <v/>
      </c>
      <c r="R440">
        <f>IF(AND(B440="brand",E440="budget_probe",ISNUMBER(F440)),F440,"")</f>
        <v/>
      </c>
    </row>
    <row r="441">
      <c r="A441" s="91" t="n"/>
      <c r="B441" s="92" t="n"/>
      <c r="C441" s="92" t="n"/>
      <c r="D441" s="92" t="n"/>
      <c r="E441" s="92" t="n"/>
      <c r="F441" s="92" t="n"/>
      <c r="G441" s="92" t="n"/>
      <c r="H441" s="92" t="n"/>
      <c r="I441" s="92" t="n"/>
      <c r="K441">
        <f>IF(C441="","",IF(COUNTIFS(C$5:C441,C441,E$5:E441,E441)=1,1,0))</f>
        <v/>
      </c>
      <c r="L441">
        <f>IF(C441="",0,IF(AND(B441="brand",E441="budget_probe",N(F441)&gt;=Inputs!$C$114,H441="Y"),1,0))</f>
        <v/>
      </c>
      <c r="M441">
        <f>IF(L441=1,IF(COUNTIFS(C$5:C441,C441,L$5:L441,1)=1,1,0),0)</f>
        <v/>
      </c>
      <c r="N441">
        <f>IF(C441="",0,IF(AND(B441="office",E441="budget_probe",N(F441)&gt;=Inputs!$C$129),1,0))</f>
        <v/>
      </c>
      <c r="O441">
        <f>IF(N441=1,IF(COUNTIFS(C$5:C441,C441,N$5:N441,1)=1,1,0),0)</f>
        <v/>
      </c>
      <c r="P441">
        <f>IF(C441="",0,IF(AND(B441="brand",E441="renewal_answer",N(F441)&gt;=Inputs!$C$125),1,0))</f>
        <v/>
      </c>
      <c r="Q441">
        <f>IF(AND(B441="office",E441="budget_probe",ISNUMBER(F441)),F441,"")</f>
        <v/>
      </c>
      <c r="R441">
        <f>IF(AND(B441="brand",E441="budget_probe",ISNUMBER(F441)),F441,"")</f>
        <v/>
      </c>
    </row>
    <row r="442">
      <c r="A442" s="91" t="n"/>
      <c r="B442" s="92" t="n"/>
      <c r="C442" s="92" t="n"/>
      <c r="D442" s="92" t="n"/>
      <c r="E442" s="92" t="n"/>
      <c r="F442" s="92" t="n"/>
      <c r="G442" s="92" t="n"/>
      <c r="H442" s="92" t="n"/>
      <c r="I442" s="92" t="n"/>
      <c r="K442">
        <f>IF(C442="","",IF(COUNTIFS(C$5:C442,C442,E$5:E442,E442)=1,1,0))</f>
        <v/>
      </c>
      <c r="L442">
        <f>IF(C442="",0,IF(AND(B442="brand",E442="budget_probe",N(F442)&gt;=Inputs!$C$114,H442="Y"),1,0))</f>
        <v/>
      </c>
      <c r="M442">
        <f>IF(L442=1,IF(COUNTIFS(C$5:C442,C442,L$5:L442,1)=1,1,0),0)</f>
        <v/>
      </c>
      <c r="N442">
        <f>IF(C442="",0,IF(AND(B442="office",E442="budget_probe",N(F442)&gt;=Inputs!$C$129),1,0))</f>
        <v/>
      </c>
      <c r="O442">
        <f>IF(N442=1,IF(COUNTIFS(C$5:C442,C442,N$5:N442,1)=1,1,0),0)</f>
        <v/>
      </c>
      <c r="P442">
        <f>IF(C442="",0,IF(AND(B442="brand",E442="renewal_answer",N(F442)&gt;=Inputs!$C$125),1,0))</f>
        <v/>
      </c>
      <c r="Q442">
        <f>IF(AND(B442="office",E442="budget_probe",ISNUMBER(F442)),F442,"")</f>
        <v/>
      </c>
      <c r="R442">
        <f>IF(AND(B442="brand",E442="budget_probe",ISNUMBER(F442)),F442,"")</f>
        <v/>
      </c>
    </row>
    <row r="443">
      <c r="A443" s="91" t="n"/>
      <c r="B443" s="92" t="n"/>
      <c r="C443" s="92" t="n"/>
      <c r="D443" s="92" t="n"/>
      <c r="E443" s="92" t="n"/>
      <c r="F443" s="92" t="n"/>
      <c r="G443" s="92" t="n"/>
      <c r="H443" s="92" t="n"/>
      <c r="I443" s="92" t="n"/>
      <c r="K443">
        <f>IF(C443="","",IF(COUNTIFS(C$5:C443,C443,E$5:E443,E443)=1,1,0))</f>
        <v/>
      </c>
      <c r="L443">
        <f>IF(C443="",0,IF(AND(B443="brand",E443="budget_probe",N(F443)&gt;=Inputs!$C$114,H443="Y"),1,0))</f>
        <v/>
      </c>
      <c r="M443">
        <f>IF(L443=1,IF(COUNTIFS(C$5:C443,C443,L$5:L443,1)=1,1,0),0)</f>
        <v/>
      </c>
      <c r="N443">
        <f>IF(C443="",0,IF(AND(B443="office",E443="budget_probe",N(F443)&gt;=Inputs!$C$129),1,0))</f>
        <v/>
      </c>
      <c r="O443">
        <f>IF(N443=1,IF(COUNTIFS(C$5:C443,C443,N$5:N443,1)=1,1,0),0)</f>
        <v/>
      </c>
      <c r="P443">
        <f>IF(C443="",0,IF(AND(B443="brand",E443="renewal_answer",N(F443)&gt;=Inputs!$C$125),1,0))</f>
        <v/>
      </c>
      <c r="Q443">
        <f>IF(AND(B443="office",E443="budget_probe",ISNUMBER(F443)),F443,"")</f>
        <v/>
      </c>
      <c r="R443">
        <f>IF(AND(B443="brand",E443="budget_probe",ISNUMBER(F443)),F443,"")</f>
        <v/>
      </c>
    </row>
    <row r="444">
      <c r="A444" s="91" t="n"/>
      <c r="B444" s="92" t="n"/>
      <c r="C444" s="92" t="n"/>
      <c r="D444" s="92" t="n"/>
      <c r="E444" s="92" t="n"/>
      <c r="F444" s="92" t="n"/>
      <c r="G444" s="92" t="n"/>
      <c r="H444" s="92" t="n"/>
      <c r="I444" s="92" t="n"/>
      <c r="K444">
        <f>IF(C444="","",IF(COUNTIFS(C$5:C444,C444,E$5:E444,E444)=1,1,0))</f>
        <v/>
      </c>
      <c r="L444">
        <f>IF(C444="",0,IF(AND(B444="brand",E444="budget_probe",N(F444)&gt;=Inputs!$C$114,H444="Y"),1,0))</f>
        <v/>
      </c>
      <c r="M444">
        <f>IF(L444=1,IF(COUNTIFS(C$5:C444,C444,L$5:L444,1)=1,1,0),0)</f>
        <v/>
      </c>
      <c r="N444">
        <f>IF(C444="",0,IF(AND(B444="office",E444="budget_probe",N(F444)&gt;=Inputs!$C$129),1,0))</f>
        <v/>
      </c>
      <c r="O444">
        <f>IF(N444=1,IF(COUNTIFS(C$5:C444,C444,N$5:N444,1)=1,1,0),0)</f>
        <v/>
      </c>
      <c r="P444">
        <f>IF(C444="",0,IF(AND(B444="brand",E444="renewal_answer",N(F444)&gt;=Inputs!$C$125),1,0))</f>
        <v/>
      </c>
      <c r="Q444">
        <f>IF(AND(B444="office",E444="budget_probe",ISNUMBER(F444)),F444,"")</f>
        <v/>
      </c>
      <c r="R444">
        <f>IF(AND(B444="brand",E444="budget_probe",ISNUMBER(F444)),F444,"")</f>
        <v/>
      </c>
    </row>
    <row r="445">
      <c r="A445" s="91" t="n"/>
      <c r="B445" s="92" t="n"/>
      <c r="C445" s="92" t="n"/>
      <c r="D445" s="92" t="n"/>
      <c r="E445" s="92" t="n"/>
      <c r="F445" s="92" t="n"/>
      <c r="G445" s="92" t="n"/>
      <c r="H445" s="92" t="n"/>
      <c r="I445" s="92" t="n"/>
      <c r="K445">
        <f>IF(C445="","",IF(COUNTIFS(C$5:C445,C445,E$5:E445,E445)=1,1,0))</f>
        <v/>
      </c>
      <c r="L445">
        <f>IF(C445="",0,IF(AND(B445="brand",E445="budget_probe",N(F445)&gt;=Inputs!$C$114,H445="Y"),1,0))</f>
        <v/>
      </c>
      <c r="M445">
        <f>IF(L445=1,IF(COUNTIFS(C$5:C445,C445,L$5:L445,1)=1,1,0),0)</f>
        <v/>
      </c>
      <c r="N445">
        <f>IF(C445="",0,IF(AND(B445="office",E445="budget_probe",N(F445)&gt;=Inputs!$C$129),1,0))</f>
        <v/>
      </c>
      <c r="O445">
        <f>IF(N445=1,IF(COUNTIFS(C$5:C445,C445,N$5:N445,1)=1,1,0),0)</f>
        <v/>
      </c>
      <c r="P445">
        <f>IF(C445="",0,IF(AND(B445="brand",E445="renewal_answer",N(F445)&gt;=Inputs!$C$125),1,0))</f>
        <v/>
      </c>
      <c r="Q445">
        <f>IF(AND(B445="office",E445="budget_probe",ISNUMBER(F445)),F445,"")</f>
        <v/>
      </c>
      <c r="R445">
        <f>IF(AND(B445="brand",E445="budget_probe",ISNUMBER(F445)),F445,"")</f>
        <v/>
      </c>
    </row>
    <row r="446">
      <c r="A446" s="91" t="n"/>
      <c r="B446" s="92" t="n"/>
      <c r="C446" s="92" t="n"/>
      <c r="D446" s="92" t="n"/>
      <c r="E446" s="92" t="n"/>
      <c r="F446" s="92" t="n"/>
      <c r="G446" s="92" t="n"/>
      <c r="H446" s="92" t="n"/>
      <c r="I446" s="92" t="n"/>
      <c r="K446">
        <f>IF(C446="","",IF(COUNTIFS(C$5:C446,C446,E$5:E446,E446)=1,1,0))</f>
        <v/>
      </c>
      <c r="L446">
        <f>IF(C446="",0,IF(AND(B446="brand",E446="budget_probe",N(F446)&gt;=Inputs!$C$114,H446="Y"),1,0))</f>
        <v/>
      </c>
      <c r="M446">
        <f>IF(L446=1,IF(COUNTIFS(C$5:C446,C446,L$5:L446,1)=1,1,0),0)</f>
        <v/>
      </c>
      <c r="N446">
        <f>IF(C446="",0,IF(AND(B446="office",E446="budget_probe",N(F446)&gt;=Inputs!$C$129),1,0))</f>
        <v/>
      </c>
      <c r="O446">
        <f>IF(N446=1,IF(COUNTIFS(C$5:C446,C446,N$5:N446,1)=1,1,0),0)</f>
        <v/>
      </c>
      <c r="P446">
        <f>IF(C446="",0,IF(AND(B446="brand",E446="renewal_answer",N(F446)&gt;=Inputs!$C$125),1,0))</f>
        <v/>
      </c>
      <c r="Q446">
        <f>IF(AND(B446="office",E446="budget_probe",ISNUMBER(F446)),F446,"")</f>
        <v/>
      </c>
      <c r="R446">
        <f>IF(AND(B446="brand",E446="budget_probe",ISNUMBER(F446)),F446,"")</f>
        <v/>
      </c>
    </row>
    <row r="447">
      <c r="A447" s="91" t="n"/>
      <c r="B447" s="92" t="n"/>
      <c r="C447" s="92" t="n"/>
      <c r="D447" s="92" t="n"/>
      <c r="E447" s="92" t="n"/>
      <c r="F447" s="92" t="n"/>
      <c r="G447" s="92" t="n"/>
      <c r="H447" s="92" t="n"/>
      <c r="I447" s="92" t="n"/>
      <c r="K447">
        <f>IF(C447="","",IF(COUNTIFS(C$5:C447,C447,E$5:E447,E447)=1,1,0))</f>
        <v/>
      </c>
      <c r="L447">
        <f>IF(C447="",0,IF(AND(B447="brand",E447="budget_probe",N(F447)&gt;=Inputs!$C$114,H447="Y"),1,0))</f>
        <v/>
      </c>
      <c r="M447">
        <f>IF(L447=1,IF(COUNTIFS(C$5:C447,C447,L$5:L447,1)=1,1,0),0)</f>
        <v/>
      </c>
      <c r="N447">
        <f>IF(C447="",0,IF(AND(B447="office",E447="budget_probe",N(F447)&gt;=Inputs!$C$129),1,0))</f>
        <v/>
      </c>
      <c r="O447">
        <f>IF(N447=1,IF(COUNTIFS(C$5:C447,C447,N$5:N447,1)=1,1,0),0)</f>
        <v/>
      </c>
      <c r="P447">
        <f>IF(C447="",0,IF(AND(B447="brand",E447="renewal_answer",N(F447)&gt;=Inputs!$C$125),1,0))</f>
        <v/>
      </c>
      <c r="Q447">
        <f>IF(AND(B447="office",E447="budget_probe",ISNUMBER(F447)),F447,"")</f>
        <v/>
      </c>
      <c r="R447">
        <f>IF(AND(B447="brand",E447="budget_probe",ISNUMBER(F447)),F447,"")</f>
        <v/>
      </c>
    </row>
    <row r="448">
      <c r="A448" s="91" t="n"/>
      <c r="B448" s="92" t="n"/>
      <c r="C448" s="92" t="n"/>
      <c r="D448" s="92" t="n"/>
      <c r="E448" s="92" t="n"/>
      <c r="F448" s="92" t="n"/>
      <c r="G448" s="92" t="n"/>
      <c r="H448" s="92" t="n"/>
      <c r="I448" s="92" t="n"/>
      <c r="K448">
        <f>IF(C448="","",IF(COUNTIFS(C$5:C448,C448,E$5:E448,E448)=1,1,0))</f>
        <v/>
      </c>
      <c r="L448">
        <f>IF(C448="",0,IF(AND(B448="brand",E448="budget_probe",N(F448)&gt;=Inputs!$C$114,H448="Y"),1,0))</f>
        <v/>
      </c>
      <c r="M448">
        <f>IF(L448=1,IF(COUNTIFS(C$5:C448,C448,L$5:L448,1)=1,1,0),0)</f>
        <v/>
      </c>
      <c r="N448">
        <f>IF(C448="",0,IF(AND(B448="office",E448="budget_probe",N(F448)&gt;=Inputs!$C$129),1,0))</f>
        <v/>
      </c>
      <c r="O448">
        <f>IF(N448=1,IF(COUNTIFS(C$5:C448,C448,N$5:N448,1)=1,1,0),0)</f>
        <v/>
      </c>
      <c r="P448">
        <f>IF(C448="",0,IF(AND(B448="brand",E448="renewal_answer",N(F448)&gt;=Inputs!$C$125),1,0))</f>
        <v/>
      </c>
      <c r="Q448">
        <f>IF(AND(B448="office",E448="budget_probe",ISNUMBER(F448)),F448,"")</f>
        <v/>
      </c>
      <c r="R448">
        <f>IF(AND(B448="brand",E448="budget_probe",ISNUMBER(F448)),F448,"")</f>
        <v/>
      </c>
    </row>
    <row r="449">
      <c r="A449" s="91" t="n"/>
      <c r="B449" s="92" t="n"/>
      <c r="C449" s="92" t="n"/>
      <c r="D449" s="92" t="n"/>
      <c r="E449" s="92" t="n"/>
      <c r="F449" s="92" t="n"/>
      <c r="G449" s="92" t="n"/>
      <c r="H449" s="92" t="n"/>
      <c r="I449" s="92" t="n"/>
      <c r="K449">
        <f>IF(C449="","",IF(COUNTIFS(C$5:C449,C449,E$5:E449,E449)=1,1,0))</f>
        <v/>
      </c>
      <c r="L449">
        <f>IF(C449="",0,IF(AND(B449="brand",E449="budget_probe",N(F449)&gt;=Inputs!$C$114,H449="Y"),1,0))</f>
        <v/>
      </c>
      <c r="M449">
        <f>IF(L449=1,IF(COUNTIFS(C$5:C449,C449,L$5:L449,1)=1,1,0),0)</f>
        <v/>
      </c>
      <c r="N449">
        <f>IF(C449="",0,IF(AND(B449="office",E449="budget_probe",N(F449)&gt;=Inputs!$C$129),1,0))</f>
        <v/>
      </c>
      <c r="O449">
        <f>IF(N449=1,IF(COUNTIFS(C$5:C449,C449,N$5:N449,1)=1,1,0),0)</f>
        <v/>
      </c>
      <c r="P449">
        <f>IF(C449="",0,IF(AND(B449="brand",E449="renewal_answer",N(F449)&gt;=Inputs!$C$125),1,0))</f>
        <v/>
      </c>
      <c r="Q449">
        <f>IF(AND(B449="office",E449="budget_probe",ISNUMBER(F449)),F449,"")</f>
        <v/>
      </c>
      <c r="R449">
        <f>IF(AND(B449="brand",E449="budget_probe",ISNUMBER(F449)),F449,"")</f>
        <v/>
      </c>
    </row>
    <row r="450">
      <c r="A450" s="91" t="n"/>
      <c r="B450" s="92" t="n"/>
      <c r="C450" s="92" t="n"/>
      <c r="D450" s="92" t="n"/>
      <c r="E450" s="92" t="n"/>
      <c r="F450" s="92" t="n"/>
      <c r="G450" s="92" t="n"/>
      <c r="H450" s="92" t="n"/>
      <c r="I450" s="92" t="n"/>
      <c r="K450">
        <f>IF(C450="","",IF(COUNTIFS(C$5:C450,C450,E$5:E450,E450)=1,1,0))</f>
        <v/>
      </c>
      <c r="L450">
        <f>IF(C450="",0,IF(AND(B450="brand",E450="budget_probe",N(F450)&gt;=Inputs!$C$114,H450="Y"),1,0))</f>
        <v/>
      </c>
      <c r="M450">
        <f>IF(L450=1,IF(COUNTIFS(C$5:C450,C450,L$5:L450,1)=1,1,0),0)</f>
        <v/>
      </c>
      <c r="N450">
        <f>IF(C450="",0,IF(AND(B450="office",E450="budget_probe",N(F450)&gt;=Inputs!$C$129),1,0))</f>
        <v/>
      </c>
      <c r="O450">
        <f>IF(N450=1,IF(COUNTIFS(C$5:C450,C450,N$5:N450,1)=1,1,0),0)</f>
        <v/>
      </c>
      <c r="P450">
        <f>IF(C450="",0,IF(AND(B450="brand",E450="renewal_answer",N(F450)&gt;=Inputs!$C$125),1,0))</f>
        <v/>
      </c>
      <c r="Q450">
        <f>IF(AND(B450="office",E450="budget_probe",ISNUMBER(F450)),F450,"")</f>
        <v/>
      </c>
      <c r="R450">
        <f>IF(AND(B450="brand",E450="budget_probe",ISNUMBER(F450)),F450,"")</f>
        <v/>
      </c>
    </row>
    <row r="451">
      <c r="A451" s="91" t="n"/>
      <c r="B451" s="92" t="n"/>
      <c r="C451" s="92" t="n"/>
      <c r="D451" s="92" t="n"/>
      <c r="E451" s="92" t="n"/>
      <c r="F451" s="92" t="n"/>
      <c r="G451" s="92" t="n"/>
      <c r="H451" s="92" t="n"/>
      <c r="I451" s="92" t="n"/>
      <c r="K451">
        <f>IF(C451="","",IF(COUNTIFS(C$5:C451,C451,E$5:E451,E451)=1,1,0))</f>
        <v/>
      </c>
      <c r="L451">
        <f>IF(C451="",0,IF(AND(B451="brand",E451="budget_probe",N(F451)&gt;=Inputs!$C$114,H451="Y"),1,0))</f>
        <v/>
      </c>
      <c r="M451">
        <f>IF(L451=1,IF(COUNTIFS(C$5:C451,C451,L$5:L451,1)=1,1,0),0)</f>
        <v/>
      </c>
      <c r="N451">
        <f>IF(C451="",0,IF(AND(B451="office",E451="budget_probe",N(F451)&gt;=Inputs!$C$129),1,0))</f>
        <v/>
      </c>
      <c r="O451">
        <f>IF(N451=1,IF(COUNTIFS(C$5:C451,C451,N$5:N451,1)=1,1,0),0)</f>
        <v/>
      </c>
      <c r="P451">
        <f>IF(C451="",0,IF(AND(B451="brand",E451="renewal_answer",N(F451)&gt;=Inputs!$C$125),1,0))</f>
        <v/>
      </c>
      <c r="Q451">
        <f>IF(AND(B451="office",E451="budget_probe",ISNUMBER(F451)),F451,"")</f>
        <v/>
      </c>
      <c r="R451">
        <f>IF(AND(B451="brand",E451="budget_probe",ISNUMBER(F451)),F451,"")</f>
        <v/>
      </c>
    </row>
    <row r="452">
      <c r="A452" s="91" t="n"/>
      <c r="B452" s="92" t="n"/>
      <c r="C452" s="92" t="n"/>
      <c r="D452" s="92" t="n"/>
      <c r="E452" s="92" t="n"/>
      <c r="F452" s="92" t="n"/>
      <c r="G452" s="92" t="n"/>
      <c r="H452" s="92" t="n"/>
      <c r="I452" s="92" t="n"/>
      <c r="K452">
        <f>IF(C452="","",IF(COUNTIFS(C$5:C452,C452,E$5:E452,E452)=1,1,0))</f>
        <v/>
      </c>
      <c r="L452">
        <f>IF(C452="",0,IF(AND(B452="brand",E452="budget_probe",N(F452)&gt;=Inputs!$C$114,H452="Y"),1,0))</f>
        <v/>
      </c>
      <c r="M452">
        <f>IF(L452=1,IF(COUNTIFS(C$5:C452,C452,L$5:L452,1)=1,1,0),0)</f>
        <v/>
      </c>
      <c r="N452">
        <f>IF(C452="",0,IF(AND(B452="office",E452="budget_probe",N(F452)&gt;=Inputs!$C$129),1,0))</f>
        <v/>
      </c>
      <c r="O452">
        <f>IF(N452=1,IF(COUNTIFS(C$5:C452,C452,N$5:N452,1)=1,1,0),0)</f>
        <v/>
      </c>
      <c r="P452">
        <f>IF(C452="",0,IF(AND(B452="brand",E452="renewal_answer",N(F452)&gt;=Inputs!$C$125),1,0))</f>
        <v/>
      </c>
      <c r="Q452">
        <f>IF(AND(B452="office",E452="budget_probe",ISNUMBER(F452)),F452,"")</f>
        <v/>
      </c>
      <c r="R452">
        <f>IF(AND(B452="brand",E452="budget_probe",ISNUMBER(F452)),F452,"")</f>
        <v/>
      </c>
    </row>
    <row r="453">
      <c r="A453" s="91" t="n"/>
      <c r="B453" s="92" t="n"/>
      <c r="C453" s="92" t="n"/>
      <c r="D453" s="92" t="n"/>
      <c r="E453" s="92" t="n"/>
      <c r="F453" s="92" t="n"/>
      <c r="G453" s="92" t="n"/>
      <c r="H453" s="92" t="n"/>
      <c r="I453" s="92" t="n"/>
      <c r="K453">
        <f>IF(C453="","",IF(COUNTIFS(C$5:C453,C453,E$5:E453,E453)=1,1,0))</f>
        <v/>
      </c>
      <c r="L453">
        <f>IF(C453="",0,IF(AND(B453="brand",E453="budget_probe",N(F453)&gt;=Inputs!$C$114,H453="Y"),1,0))</f>
        <v/>
      </c>
      <c r="M453">
        <f>IF(L453=1,IF(COUNTIFS(C$5:C453,C453,L$5:L453,1)=1,1,0),0)</f>
        <v/>
      </c>
      <c r="N453">
        <f>IF(C453="",0,IF(AND(B453="office",E453="budget_probe",N(F453)&gt;=Inputs!$C$129),1,0))</f>
        <v/>
      </c>
      <c r="O453">
        <f>IF(N453=1,IF(COUNTIFS(C$5:C453,C453,N$5:N453,1)=1,1,0),0)</f>
        <v/>
      </c>
      <c r="P453">
        <f>IF(C453="",0,IF(AND(B453="brand",E453="renewal_answer",N(F453)&gt;=Inputs!$C$125),1,0))</f>
        <v/>
      </c>
      <c r="Q453">
        <f>IF(AND(B453="office",E453="budget_probe",ISNUMBER(F453)),F453,"")</f>
        <v/>
      </c>
      <c r="R453">
        <f>IF(AND(B453="brand",E453="budget_probe",ISNUMBER(F453)),F453,"")</f>
        <v/>
      </c>
    </row>
    <row r="454">
      <c r="A454" s="91" t="n"/>
      <c r="B454" s="92" t="n"/>
      <c r="C454" s="92" t="n"/>
      <c r="D454" s="92" t="n"/>
      <c r="E454" s="92" t="n"/>
      <c r="F454" s="92" t="n"/>
      <c r="G454" s="92" t="n"/>
      <c r="H454" s="92" t="n"/>
      <c r="I454" s="92" t="n"/>
      <c r="K454">
        <f>IF(C454="","",IF(COUNTIFS(C$5:C454,C454,E$5:E454,E454)=1,1,0))</f>
        <v/>
      </c>
      <c r="L454">
        <f>IF(C454="",0,IF(AND(B454="brand",E454="budget_probe",N(F454)&gt;=Inputs!$C$114,H454="Y"),1,0))</f>
        <v/>
      </c>
      <c r="M454">
        <f>IF(L454=1,IF(COUNTIFS(C$5:C454,C454,L$5:L454,1)=1,1,0),0)</f>
        <v/>
      </c>
      <c r="N454">
        <f>IF(C454="",0,IF(AND(B454="office",E454="budget_probe",N(F454)&gt;=Inputs!$C$129),1,0))</f>
        <v/>
      </c>
      <c r="O454">
        <f>IF(N454=1,IF(COUNTIFS(C$5:C454,C454,N$5:N454,1)=1,1,0),0)</f>
        <v/>
      </c>
      <c r="P454">
        <f>IF(C454="",0,IF(AND(B454="brand",E454="renewal_answer",N(F454)&gt;=Inputs!$C$125),1,0))</f>
        <v/>
      </c>
      <c r="Q454">
        <f>IF(AND(B454="office",E454="budget_probe",ISNUMBER(F454)),F454,"")</f>
        <v/>
      </c>
      <c r="R454">
        <f>IF(AND(B454="brand",E454="budget_probe",ISNUMBER(F454)),F454,"")</f>
        <v/>
      </c>
    </row>
    <row r="455">
      <c r="A455" s="91" t="n"/>
      <c r="B455" s="92" t="n"/>
      <c r="C455" s="92" t="n"/>
      <c r="D455" s="92" t="n"/>
      <c r="E455" s="92" t="n"/>
      <c r="F455" s="92" t="n"/>
      <c r="G455" s="92" t="n"/>
      <c r="H455" s="92" t="n"/>
      <c r="I455" s="92" t="n"/>
      <c r="K455">
        <f>IF(C455="","",IF(COUNTIFS(C$5:C455,C455,E$5:E455,E455)=1,1,0))</f>
        <v/>
      </c>
      <c r="L455">
        <f>IF(C455="",0,IF(AND(B455="brand",E455="budget_probe",N(F455)&gt;=Inputs!$C$114,H455="Y"),1,0))</f>
        <v/>
      </c>
      <c r="M455">
        <f>IF(L455=1,IF(COUNTIFS(C$5:C455,C455,L$5:L455,1)=1,1,0),0)</f>
        <v/>
      </c>
      <c r="N455">
        <f>IF(C455="",0,IF(AND(B455="office",E455="budget_probe",N(F455)&gt;=Inputs!$C$129),1,0))</f>
        <v/>
      </c>
      <c r="O455">
        <f>IF(N455=1,IF(COUNTIFS(C$5:C455,C455,N$5:N455,1)=1,1,0),0)</f>
        <v/>
      </c>
      <c r="P455">
        <f>IF(C455="",0,IF(AND(B455="brand",E455="renewal_answer",N(F455)&gt;=Inputs!$C$125),1,0))</f>
        <v/>
      </c>
      <c r="Q455">
        <f>IF(AND(B455="office",E455="budget_probe",ISNUMBER(F455)),F455,"")</f>
        <v/>
      </c>
      <c r="R455">
        <f>IF(AND(B455="brand",E455="budget_probe",ISNUMBER(F455)),F455,"")</f>
        <v/>
      </c>
    </row>
    <row r="456">
      <c r="A456" s="91" t="n"/>
      <c r="B456" s="92" t="n"/>
      <c r="C456" s="92" t="n"/>
      <c r="D456" s="92" t="n"/>
      <c r="E456" s="92" t="n"/>
      <c r="F456" s="92" t="n"/>
      <c r="G456" s="92" t="n"/>
      <c r="H456" s="92" t="n"/>
      <c r="I456" s="92" t="n"/>
      <c r="K456">
        <f>IF(C456="","",IF(COUNTIFS(C$5:C456,C456,E$5:E456,E456)=1,1,0))</f>
        <v/>
      </c>
      <c r="L456">
        <f>IF(C456="",0,IF(AND(B456="brand",E456="budget_probe",N(F456)&gt;=Inputs!$C$114,H456="Y"),1,0))</f>
        <v/>
      </c>
      <c r="M456">
        <f>IF(L456=1,IF(COUNTIFS(C$5:C456,C456,L$5:L456,1)=1,1,0),0)</f>
        <v/>
      </c>
      <c r="N456">
        <f>IF(C456="",0,IF(AND(B456="office",E456="budget_probe",N(F456)&gt;=Inputs!$C$129),1,0))</f>
        <v/>
      </c>
      <c r="O456">
        <f>IF(N456=1,IF(COUNTIFS(C$5:C456,C456,N$5:N456,1)=1,1,0),0)</f>
        <v/>
      </c>
      <c r="P456">
        <f>IF(C456="",0,IF(AND(B456="brand",E456="renewal_answer",N(F456)&gt;=Inputs!$C$125),1,0))</f>
        <v/>
      </c>
      <c r="Q456">
        <f>IF(AND(B456="office",E456="budget_probe",ISNUMBER(F456)),F456,"")</f>
        <v/>
      </c>
      <c r="R456">
        <f>IF(AND(B456="brand",E456="budget_probe",ISNUMBER(F456)),F456,"")</f>
        <v/>
      </c>
    </row>
    <row r="457">
      <c r="A457" s="91" t="n"/>
      <c r="B457" s="92" t="n"/>
      <c r="C457" s="92" t="n"/>
      <c r="D457" s="92" t="n"/>
      <c r="E457" s="92" t="n"/>
      <c r="F457" s="92" t="n"/>
      <c r="G457" s="92" t="n"/>
      <c r="H457" s="92" t="n"/>
      <c r="I457" s="92" t="n"/>
      <c r="K457">
        <f>IF(C457="","",IF(COUNTIFS(C$5:C457,C457,E$5:E457,E457)=1,1,0))</f>
        <v/>
      </c>
      <c r="L457">
        <f>IF(C457="",0,IF(AND(B457="brand",E457="budget_probe",N(F457)&gt;=Inputs!$C$114,H457="Y"),1,0))</f>
        <v/>
      </c>
      <c r="M457">
        <f>IF(L457=1,IF(COUNTIFS(C$5:C457,C457,L$5:L457,1)=1,1,0),0)</f>
        <v/>
      </c>
      <c r="N457">
        <f>IF(C457="",0,IF(AND(B457="office",E457="budget_probe",N(F457)&gt;=Inputs!$C$129),1,0))</f>
        <v/>
      </c>
      <c r="O457">
        <f>IF(N457=1,IF(COUNTIFS(C$5:C457,C457,N$5:N457,1)=1,1,0),0)</f>
        <v/>
      </c>
      <c r="P457">
        <f>IF(C457="",0,IF(AND(B457="brand",E457="renewal_answer",N(F457)&gt;=Inputs!$C$125),1,0))</f>
        <v/>
      </c>
      <c r="Q457">
        <f>IF(AND(B457="office",E457="budget_probe",ISNUMBER(F457)),F457,"")</f>
        <v/>
      </c>
      <c r="R457">
        <f>IF(AND(B457="brand",E457="budget_probe",ISNUMBER(F457)),F457,"")</f>
        <v/>
      </c>
    </row>
    <row r="458">
      <c r="A458" s="91" t="n"/>
      <c r="B458" s="92" t="n"/>
      <c r="C458" s="92" t="n"/>
      <c r="D458" s="92" t="n"/>
      <c r="E458" s="92" t="n"/>
      <c r="F458" s="92" t="n"/>
      <c r="G458" s="92" t="n"/>
      <c r="H458" s="92" t="n"/>
      <c r="I458" s="92" t="n"/>
      <c r="K458">
        <f>IF(C458="","",IF(COUNTIFS(C$5:C458,C458,E$5:E458,E458)=1,1,0))</f>
        <v/>
      </c>
      <c r="L458">
        <f>IF(C458="",0,IF(AND(B458="brand",E458="budget_probe",N(F458)&gt;=Inputs!$C$114,H458="Y"),1,0))</f>
        <v/>
      </c>
      <c r="M458">
        <f>IF(L458=1,IF(COUNTIFS(C$5:C458,C458,L$5:L458,1)=1,1,0),0)</f>
        <v/>
      </c>
      <c r="N458">
        <f>IF(C458="",0,IF(AND(B458="office",E458="budget_probe",N(F458)&gt;=Inputs!$C$129),1,0))</f>
        <v/>
      </c>
      <c r="O458">
        <f>IF(N458=1,IF(COUNTIFS(C$5:C458,C458,N$5:N458,1)=1,1,0),0)</f>
        <v/>
      </c>
      <c r="P458">
        <f>IF(C458="",0,IF(AND(B458="brand",E458="renewal_answer",N(F458)&gt;=Inputs!$C$125),1,0))</f>
        <v/>
      </c>
      <c r="Q458">
        <f>IF(AND(B458="office",E458="budget_probe",ISNUMBER(F458)),F458,"")</f>
        <v/>
      </c>
      <c r="R458">
        <f>IF(AND(B458="brand",E458="budget_probe",ISNUMBER(F458)),F458,"")</f>
        <v/>
      </c>
    </row>
    <row r="459">
      <c r="A459" s="91" t="n"/>
      <c r="B459" s="92" t="n"/>
      <c r="C459" s="92" t="n"/>
      <c r="D459" s="92" t="n"/>
      <c r="E459" s="92" t="n"/>
      <c r="F459" s="92" t="n"/>
      <c r="G459" s="92" t="n"/>
      <c r="H459" s="92" t="n"/>
      <c r="I459" s="92" t="n"/>
      <c r="K459">
        <f>IF(C459="","",IF(COUNTIFS(C$5:C459,C459,E$5:E459,E459)=1,1,0))</f>
        <v/>
      </c>
      <c r="L459">
        <f>IF(C459="",0,IF(AND(B459="brand",E459="budget_probe",N(F459)&gt;=Inputs!$C$114,H459="Y"),1,0))</f>
        <v/>
      </c>
      <c r="M459">
        <f>IF(L459=1,IF(COUNTIFS(C$5:C459,C459,L$5:L459,1)=1,1,0),0)</f>
        <v/>
      </c>
      <c r="N459">
        <f>IF(C459="",0,IF(AND(B459="office",E459="budget_probe",N(F459)&gt;=Inputs!$C$129),1,0))</f>
        <v/>
      </c>
      <c r="O459">
        <f>IF(N459=1,IF(COUNTIFS(C$5:C459,C459,N$5:N459,1)=1,1,0),0)</f>
        <v/>
      </c>
      <c r="P459">
        <f>IF(C459="",0,IF(AND(B459="brand",E459="renewal_answer",N(F459)&gt;=Inputs!$C$125),1,0))</f>
        <v/>
      </c>
      <c r="Q459">
        <f>IF(AND(B459="office",E459="budget_probe",ISNUMBER(F459)),F459,"")</f>
        <v/>
      </c>
      <c r="R459">
        <f>IF(AND(B459="brand",E459="budget_probe",ISNUMBER(F459)),F459,"")</f>
        <v/>
      </c>
    </row>
    <row r="460">
      <c r="A460" s="91" t="n"/>
      <c r="B460" s="92" t="n"/>
      <c r="C460" s="92" t="n"/>
      <c r="D460" s="92" t="n"/>
      <c r="E460" s="92" t="n"/>
      <c r="F460" s="92" t="n"/>
      <c r="G460" s="92" t="n"/>
      <c r="H460" s="92" t="n"/>
      <c r="I460" s="92" t="n"/>
      <c r="K460">
        <f>IF(C460="","",IF(COUNTIFS(C$5:C460,C460,E$5:E460,E460)=1,1,0))</f>
        <v/>
      </c>
      <c r="L460">
        <f>IF(C460="",0,IF(AND(B460="brand",E460="budget_probe",N(F460)&gt;=Inputs!$C$114,H460="Y"),1,0))</f>
        <v/>
      </c>
      <c r="M460">
        <f>IF(L460=1,IF(COUNTIFS(C$5:C460,C460,L$5:L460,1)=1,1,0),0)</f>
        <v/>
      </c>
      <c r="N460">
        <f>IF(C460="",0,IF(AND(B460="office",E460="budget_probe",N(F460)&gt;=Inputs!$C$129),1,0))</f>
        <v/>
      </c>
      <c r="O460">
        <f>IF(N460=1,IF(COUNTIFS(C$5:C460,C460,N$5:N460,1)=1,1,0),0)</f>
        <v/>
      </c>
      <c r="P460">
        <f>IF(C460="",0,IF(AND(B460="brand",E460="renewal_answer",N(F460)&gt;=Inputs!$C$125),1,0))</f>
        <v/>
      </c>
      <c r="Q460">
        <f>IF(AND(B460="office",E460="budget_probe",ISNUMBER(F460)),F460,"")</f>
        <v/>
      </c>
      <c r="R460">
        <f>IF(AND(B460="brand",E460="budget_probe",ISNUMBER(F460)),F460,"")</f>
        <v/>
      </c>
    </row>
    <row r="461">
      <c r="A461" s="91" t="n"/>
      <c r="B461" s="92" t="n"/>
      <c r="C461" s="92" t="n"/>
      <c r="D461" s="92" t="n"/>
      <c r="E461" s="92" t="n"/>
      <c r="F461" s="92" t="n"/>
      <c r="G461" s="92" t="n"/>
      <c r="H461" s="92" t="n"/>
      <c r="I461" s="92" t="n"/>
      <c r="K461">
        <f>IF(C461="","",IF(COUNTIFS(C$5:C461,C461,E$5:E461,E461)=1,1,0))</f>
        <v/>
      </c>
      <c r="L461">
        <f>IF(C461="",0,IF(AND(B461="brand",E461="budget_probe",N(F461)&gt;=Inputs!$C$114,H461="Y"),1,0))</f>
        <v/>
      </c>
      <c r="M461">
        <f>IF(L461=1,IF(COUNTIFS(C$5:C461,C461,L$5:L461,1)=1,1,0),0)</f>
        <v/>
      </c>
      <c r="N461">
        <f>IF(C461="",0,IF(AND(B461="office",E461="budget_probe",N(F461)&gt;=Inputs!$C$129),1,0))</f>
        <v/>
      </c>
      <c r="O461">
        <f>IF(N461=1,IF(COUNTIFS(C$5:C461,C461,N$5:N461,1)=1,1,0),0)</f>
        <v/>
      </c>
      <c r="P461">
        <f>IF(C461="",0,IF(AND(B461="brand",E461="renewal_answer",N(F461)&gt;=Inputs!$C$125),1,0))</f>
        <v/>
      </c>
      <c r="Q461">
        <f>IF(AND(B461="office",E461="budget_probe",ISNUMBER(F461)),F461,"")</f>
        <v/>
      </c>
      <c r="R461">
        <f>IF(AND(B461="brand",E461="budget_probe",ISNUMBER(F461)),F461,"")</f>
        <v/>
      </c>
    </row>
    <row r="462">
      <c r="A462" s="91" t="n"/>
      <c r="B462" s="92" t="n"/>
      <c r="C462" s="92" t="n"/>
      <c r="D462" s="92" t="n"/>
      <c r="E462" s="92" t="n"/>
      <c r="F462" s="92" t="n"/>
      <c r="G462" s="92" t="n"/>
      <c r="H462" s="92" t="n"/>
      <c r="I462" s="92" t="n"/>
      <c r="K462">
        <f>IF(C462="","",IF(COUNTIFS(C$5:C462,C462,E$5:E462,E462)=1,1,0))</f>
        <v/>
      </c>
      <c r="L462">
        <f>IF(C462="",0,IF(AND(B462="brand",E462="budget_probe",N(F462)&gt;=Inputs!$C$114,H462="Y"),1,0))</f>
        <v/>
      </c>
      <c r="M462">
        <f>IF(L462=1,IF(COUNTIFS(C$5:C462,C462,L$5:L462,1)=1,1,0),0)</f>
        <v/>
      </c>
      <c r="N462">
        <f>IF(C462="",0,IF(AND(B462="office",E462="budget_probe",N(F462)&gt;=Inputs!$C$129),1,0))</f>
        <v/>
      </c>
      <c r="O462">
        <f>IF(N462=1,IF(COUNTIFS(C$5:C462,C462,N$5:N462,1)=1,1,0),0)</f>
        <v/>
      </c>
      <c r="P462">
        <f>IF(C462="",0,IF(AND(B462="brand",E462="renewal_answer",N(F462)&gt;=Inputs!$C$125),1,0))</f>
        <v/>
      </c>
      <c r="Q462">
        <f>IF(AND(B462="office",E462="budget_probe",ISNUMBER(F462)),F462,"")</f>
        <v/>
      </c>
      <c r="R462">
        <f>IF(AND(B462="brand",E462="budget_probe",ISNUMBER(F462)),F462,"")</f>
        <v/>
      </c>
    </row>
    <row r="463">
      <c r="A463" s="91" t="n"/>
      <c r="B463" s="92" t="n"/>
      <c r="C463" s="92" t="n"/>
      <c r="D463" s="92" t="n"/>
      <c r="E463" s="92" t="n"/>
      <c r="F463" s="92" t="n"/>
      <c r="G463" s="92" t="n"/>
      <c r="H463" s="92" t="n"/>
      <c r="I463" s="92" t="n"/>
      <c r="K463">
        <f>IF(C463="","",IF(COUNTIFS(C$5:C463,C463,E$5:E463,E463)=1,1,0))</f>
        <v/>
      </c>
      <c r="L463">
        <f>IF(C463="",0,IF(AND(B463="brand",E463="budget_probe",N(F463)&gt;=Inputs!$C$114,H463="Y"),1,0))</f>
        <v/>
      </c>
      <c r="M463">
        <f>IF(L463=1,IF(COUNTIFS(C$5:C463,C463,L$5:L463,1)=1,1,0),0)</f>
        <v/>
      </c>
      <c r="N463">
        <f>IF(C463="",0,IF(AND(B463="office",E463="budget_probe",N(F463)&gt;=Inputs!$C$129),1,0))</f>
        <v/>
      </c>
      <c r="O463">
        <f>IF(N463=1,IF(COUNTIFS(C$5:C463,C463,N$5:N463,1)=1,1,0),0)</f>
        <v/>
      </c>
      <c r="P463">
        <f>IF(C463="",0,IF(AND(B463="brand",E463="renewal_answer",N(F463)&gt;=Inputs!$C$125),1,0))</f>
        <v/>
      </c>
      <c r="Q463">
        <f>IF(AND(B463="office",E463="budget_probe",ISNUMBER(F463)),F463,"")</f>
        <v/>
      </c>
      <c r="R463">
        <f>IF(AND(B463="brand",E463="budget_probe",ISNUMBER(F463)),F463,"")</f>
        <v/>
      </c>
    </row>
    <row r="464">
      <c r="A464" s="91" t="n"/>
      <c r="B464" s="92" t="n"/>
      <c r="C464" s="92" t="n"/>
      <c r="D464" s="92" t="n"/>
      <c r="E464" s="92" t="n"/>
      <c r="F464" s="92" t="n"/>
      <c r="G464" s="92" t="n"/>
      <c r="H464" s="92" t="n"/>
      <c r="I464" s="92" t="n"/>
      <c r="K464">
        <f>IF(C464="","",IF(COUNTIFS(C$5:C464,C464,E$5:E464,E464)=1,1,0))</f>
        <v/>
      </c>
      <c r="L464">
        <f>IF(C464="",0,IF(AND(B464="brand",E464="budget_probe",N(F464)&gt;=Inputs!$C$114,H464="Y"),1,0))</f>
        <v/>
      </c>
      <c r="M464">
        <f>IF(L464=1,IF(COUNTIFS(C$5:C464,C464,L$5:L464,1)=1,1,0),0)</f>
        <v/>
      </c>
      <c r="N464">
        <f>IF(C464="",0,IF(AND(B464="office",E464="budget_probe",N(F464)&gt;=Inputs!$C$129),1,0))</f>
        <v/>
      </c>
      <c r="O464">
        <f>IF(N464=1,IF(COUNTIFS(C$5:C464,C464,N$5:N464,1)=1,1,0),0)</f>
        <v/>
      </c>
      <c r="P464">
        <f>IF(C464="",0,IF(AND(B464="brand",E464="renewal_answer",N(F464)&gt;=Inputs!$C$125),1,0))</f>
        <v/>
      </c>
      <c r="Q464">
        <f>IF(AND(B464="office",E464="budget_probe",ISNUMBER(F464)),F464,"")</f>
        <v/>
      </c>
      <c r="R464">
        <f>IF(AND(B464="brand",E464="budget_probe",ISNUMBER(F464)),F464,"")</f>
        <v/>
      </c>
    </row>
    <row r="465">
      <c r="A465" s="91" t="n"/>
      <c r="B465" s="92" t="n"/>
      <c r="C465" s="92" t="n"/>
      <c r="D465" s="92" t="n"/>
      <c r="E465" s="92" t="n"/>
      <c r="F465" s="92" t="n"/>
      <c r="G465" s="92" t="n"/>
      <c r="H465" s="92" t="n"/>
      <c r="I465" s="92" t="n"/>
      <c r="K465">
        <f>IF(C465="","",IF(COUNTIFS(C$5:C465,C465,E$5:E465,E465)=1,1,0))</f>
        <v/>
      </c>
      <c r="L465">
        <f>IF(C465="",0,IF(AND(B465="brand",E465="budget_probe",N(F465)&gt;=Inputs!$C$114,H465="Y"),1,0))</f>
        <v/>
      </c>
      <c r="M465">
        <f>IF(L465=1,IF(COUNTIFS(C$5:C465,C465,L$5:L465,1)=1,1,0),0)</f>
        <v/>
      </c>
      <c r="N465">
        <f>IF(C465="",0,IF(AND(B465="office",E465="budget_probe",N(F465)&gt;=Inputs!$C$129),1,0))</f>
        <v/>
      </c>
      <c r="O465">
        <f>IF(N465=1,IF(COUNTIFS(C$5:C465,C465,N$5:N465,1)=1,1,0),0)</f>
        <v/>
      </c>
      <c r="P465">
        <f>IF(C465="",0,IF(AND(B465="brand",E465="renewal_answer",N(F465)&gt;=Inputs!$C$125),1,0))</f>
        <v/>
      </c>
      <c r="Q465">
        <f>IF(AND(B465="office",E465="budget_probe",ISNUMBER(F465)),F465,"")</f>
        <v/>
      </c>
      <c r="R465">
        <f>IF(AND(B465="brand",E465="budget_probe",ISNUMBER(F465)),F465,"")</f>
        <v/>
      </c>
    </row>
    <row r="466">
      <c r="A466" s="91" t="n"/>
      <c r="B466" s="92" t="n"/>
      <c r="C466" s="92" t="n"/>
      <c r="D466" s="92" t="n"/>
      <c r="E466" s="92" t="n"/>
      <c r="F466" s="92" t="n"/>
      <c r="G466" s="92" t="n"/>
      <c r="H466" s="92" t="n"/>
      <c r="I466" s="92" t="n"/>
      <c r="K466">
        <f>IF(C466="","",IF(COUNTIFS(C$5:C466,C466,E$5:E466,E466)=1,1,0))</f>
        <v/>
      </c>
      <c r="L466">
        <f>IF(C466="",0,IF(AND(B466="brand",E466="budget_probe",N(F466)&gt;=Inputs!$C$114,H466="Y"),1,0))</f>
        <v/>
      </c>
      <c r="M466">
        <f>IF(L466=1,IF(COUNTIFS(C$5:C466,C466,L$5:L466,1)=1,1,0),0)</f>
        <v/>
      </c>
      <c r="N466">
        <f>IF(C466="",0,IF(AND(B466="office",E466="budget_probe",N(F466)&gt;=Inputs!$C$129),1,0))</f>
        <v/>
      </c>
      <c r="O466">
        <f>IF(N466=1,IF(COUNTIFS(C$5:C466,C466,N$5:N466,1)=1,1,0),0)</f>
        <v/>
      </c>
      <c r="P466">
        <f>IF(C466="",0,IF(AND(B466="brand",E466="renewal_answer",N(F466)&gt;=Inputs!$C$125),1,0))</f>
        <v/>
      </c>
      <c r="Q466">
        <f>IF(AND(B466="office",E466="budget_probe",ISNUMBER(F466)),F466,"")</f>
        <v/>
      </c>
      <c r="R466">
        <f>IF(AND(B466="brand",E466="budget_probe",ISNUMBER(F466)),F466,"")</f>
        <v/>
      </c>
    </row>
    <row r="467">
      <c r="A467" s="91" t="n"/>
      <c r="B467" s="92" t="n"/>
      <c r="C467" s="92" t="n"/>
      <c r="D467" s="92" t="n"/>
      <c r="E467" s="92" t="n"/>
      <c r="F467" s="92" t="n"/>
      <c r="G467" s="92" t="n"/>
      <c r="H467" s="92" t="n"/>
      <c r="I467" s="92" t="n"/>
      <c r="K467">
        <f>IF(C467="","",IF(COUNTIFS(C$5:C467,C467,E$5:E467,E467)=1,1,0))</f>
        <v/>
      </c>
      <c r="L467">
        <f>IF(C467="",0,IF(AND(B467="brand",E467="budget_probe",N(F467)&gt;=Inputs!$C$114,H467="Y"),1,0))</f>
        <v/>
      </c>
      <c r="M467">
        <f>IF(L467=1,IF(COUNTIFS(C$5:C467,C467,L$5:L467,1)=1,1,0),0)</f>
        <v/>
      </c>
      <c r="N467">
        <f>IF(C467="",0,IF(AND(B467="office",E467="budget_probe",N(F467)&gt;=Inputs!$C$129),1,0))</f>
        <v/>
      </c>
      <c r="O467">
        <f>IF(N467=1,IF(COUNTIFS(C$5:C467,C467,N$5:N467,1)=1,1,0),0)</f>
        <v/>
      </c>
      <c r="P467">
        <f>IF(C467="",0,IF(AND(B467="brand",E467="renewal_answer",N(F467)&gt;=Inputs!$C$125),1,0))</f>
        <v/>
      </c>
      <c r="Q467">
        <f>IF(AND(B467="office",E467="budget_probe",ISNUMBER(F467)),F467,"")</f>
        <v/>
      </c>
      <c r="R467">
        <f>IF(AND(B467="brand",E467="budget_probe",ISNUMBER(F467)),F467,"")</f>
        <v/>
      </c>
    </row>
    <row r="468">
      <c r="A468" s="91" t="n"/>
      <c r="B468" s="92" t="n"/>
      <c r="C468" s="92" t="n"/>
      <c r="D468" s="92" t="n"/>
      <c r="E468" s="92" t="n"/>
      <c r="F468" s="92" t="n"/>
      <c r="G468" s="92" t="n"/>
      <c r="H468" s="92" t="n"/>
      <c r="I468" s="92" t="n"/>
      <c r="K468">
        <f>IF(C468="","",IF(COUNTIFS(C$5:C468,C468,E$5:E468,E468)=1,1,0))</f>
        <v/>
      </c>
      <c r="L468">
        <f>IF(C468="",0,IF(AND(B468="brand",E468="budget_probe",N(F468)&gt;=Inputs!$C$114,H468="Y"),1,0))</f>
        <v/>
      </c>
      <c r="M468">
        <f>IF(L468=1,IF(COUNTIFS(C$5:C468,C468,L$5:L468,1)=1,1,0),0)</f>
        <v/>
      </c>
      <c r="N468">
        <f>IF(C468="",0,IF(AND(B468="office",E468="budget_probe",N(F468)&gt;=Inputs!$C$129),1,0))</f>
        <v/>
      </c>
      <c r="O468">
        <f>IF(N468=1,IF(COUNTIFS(C$5:C468,C468,N$5:N468,1)=1,1,0),0)</f>
        <v/>
      </c>
      <c r="P468">
        <f>IF(C468="",0,IF(AND(B468="brand",E468="renewal_answer",N(F468)&gt;=Inputs!$C$125),1,0))</f>
        <v/>
      </c>
      <c r="Q468">
        <f>IF(AND(B468="office",E468="budget_probe",ISNUMBER(F468)),F468,"")</f>
        <v/>
      </c>
      <c r="R468">
        <f>IF(AND(B468="brand",E468="budget_probe",ISNUMBER(F468)),F468,"")</f>
        <v/>
      </c>
    </row>
    <row r="469">
      <c r="A469" s="91" t="n"/>
      <c r="B469" s="92" t="n"/>
      <c r="C469" s="92" t="n"/>
      <c r="D469" s="92" t="n"/>
      <c r="E469" s="92" t="n"/>
      <c r="F469" s="92" t="n"/>
      <c r="G469" s="92" t="n"/>
      <c r="H469" s="92" t="n"/>
      <c r="I469" s="92" t="n"/>
      <c r="K469">
        <f>IF(C469="","",IF(COUNTIFS(C$5:C469,C469,E$5:E469,E469)=1,1,0))</f>
        <v/>
      </c>
      <c r="L469">
        <f>IF(C469="",0,IF(AND(B469="brand",E469="budget_probe",N(F469)&gt;=Inputs!$C$114,H469="Y"),1,0))</f>
        <v/>
      </c>
      <c r="M469">
        <f>IF(L469=1,IF(COUNTIFS(C$5:C469,C469,L$5:L469,1)=1,1,0),0)</f>
        <v/>
      </c>
      <c r="N469">
        <f>IF(C469="",0,IF(AND(B469="office",E469="budget_probe",N(F469)&gt;=Inputs!$C$129),1,0))</f>
        <v/>
      </c>
      <c r="O469">
        <f>IF(N469=1,IF(COUNTIFS(C$5:C469,C469,N$5:N469,1)=1,1,0),0)</f>
        <v/>
      </c>
      <c r="P469">
        <f>IF(C469="",0,IF(AND(B469="brand",E469="renewal_answer",N(F469)&gt;=Inputs!$C$125),1,0))</f>
        <v/>
      </c>
      <c r="Q469">
        <f>IF(AND(B469="office",E469="budget_probe",ISNUMBER(F469)),F469,"")</f>
        <v/>
      </c>
      <c r="R469">
        <f>IF(AND(B469="brand",E469="budget_probe",ISNUMBER(F469)),F469,"")</f>
        <v/>
      </c>
    </row>
    <row r="470">
      <c r="A470" s="91" t="n"/>
      <c r="B470" s="92" t="n"/>
      <c r="C470" s="92" t="n"/>
      <c r="D470" s="92" t="n"/>
      <c r="E470" s="92" t="n"/>
      <c r="F470" s="92" t="n"/>
      <c r="G470" s="92" t="n"/>
      <c r="H470" s="92" t="n"/>
      <c r="I470" s="92" t="n"/>
      <c r="K470">
        <f>IF(C470="","",IF(COUNTIFS(C$5:C470,C470,E$5:E470,E470)=1,1,0))</f>
        <v/>
      </c>
      <c r="L470">
        <f>IF(C470="",0,IF(AND(B470="brand",E470="budget_probe",N(F470)&gt;=Inputs!$C$114,H470="Y"),1,0))</f>
        <v/>
      </c>
      <c r="M470">
        <f>IF(L470=1,IF(COUNTIFS(C$5:C470,C470,L$5:L470,1)=1,1,0),0)</f>
        <v/>
      </c>
      <c r="N470">
        <f>IF(C470="",0,IF(AND(B470="office",E470="budget_probe",N(F470)&gt;=Inputs!$C$129),1,0))</f>
        <v/>
      </c>
      <c r="O470">
        <f>IF(N470=1,IF(COUNTIFS(C$5:C470,C470,N$5:N470,1)=1,1,0),0)</f>
        <v/>
      </c>
      <c r="P470">
        <f>IF(C470="",0,IF(AND(B470="brand",E470="renewal_answer",N(F470)&gt;=Inputs!$C$125),1,0))</f>
        <v/>
      </c>
      <c r="Q470">
        <f>IF(AND(B470="office",E470="budget_probe",ISNUMBER(F470)),F470,"")</f>
        <v/>
      </c>
      <c r="R470">
        <f>IF(AND(B470="brand",E470="budget_probe",ISNUMBER(F470)),F470,"")</f>
        <v/>
      </c>
    </row>
    <row r="471">
      <c r="A471" s="91" t="n"/>
      <c r="B471" s="92" t="n"/>
      <c r="C471" s="92" t="n"/>
      <c r="D471" s="92" t="n"/>
      <c r="E471" s="92" t="n"/>
      <c r="F471" s="92" t="n"/>
      <c r="G471" s="92" t="n"/>
      <c r="H471" s="92" t="n"/>
      <c r="I471" s="92" t="n"/>
      <c r="K471">
        <f>IF(C471="","",IF(COUNTIFS(C$5:C471,C471,E$5:E471,E471)=1,1,0))</f>
        <v/>
      </c>
      <c r="L471">
        <f>IF(C471="",0,IF(AND(B471="brand",E471="budget_probe",N(F471)&gt;=Inputs!$C$114,H471="Y"),1,0))</f>
        <v/>
      </c>
      <c r="M471">
        <f>IF(L471=1,IF(COUNTIFS(C$5:C471,C471,L$5:L471,1)=1,1,0),0)</f>
        <v/>
      </c>
      <c r="N471">
        <f>IF(C471="",0,IF(AND(B471="office",E471="budget_probe",N(F471)&gt;=Inputs!$C$129),1,0))</f>
        <v/>
      </c>
      <c r="O471">
        <f>IF(N471=1,IF(COUNTIFS(C$5:C471,C471,N$5:N471,1)=1,1,0),0)</f>
        <v/>
      </c>
      <c r="P471">
        <f>IF(C471="",0,IF(AND(B471="brand",E471="renewal_answer",N(F471)&gt;=Inputs!$C$125),1,0))</f>
        <v/>
      </c>
      <c r="Q471">
        <f>IF(AND(B471="office",E471="budget_probe",ISNUMBER(F471)),F471,"")</f>
        <v/>
      </c>
      <c r="R471">
        <f>IF(AND(B471="brand",E471="budget_probe",ISNUMBER(F471)),F471,"")</f>
        <v/>
      </c>
    </row>
    <row r="472">
      <c r="A472" s="91" t="n"/>
      <c r="B472" s="92" t="n"/>
      <c r="C472" s="92" t="n"/>
      <c r="D472" s="92" t="n"/>
      <c r="E472" s="92" t="n"/>
      <c r="F472" s="92" t="n"/>
      <c r="G472" s="92" t="n"/>
      <c r="H472" s="92" t="n"/>
      <c r="I472" s="92" t="n"/>
      <c r="K472">
        <f>IF(C472="","",IF(COUNTIFS(C$5:C472,C472,E$5:E472,E472)=1,1,0))</f>
        <v/>
      </c>
      <c r="L472">
        <f>IF(C472="",0,IF(AND(B472="brand",E472="budget_probe",N(F472)&gt;=Inputs!$C$114,H472="Y"),1,0))</f>
        <v/>
      </c>
      <c r="M472">
        <f>IF(L472=1,IF(COUNTIFS(C$5:C472,C472,L$5:L472,1)=1,1,0),0)</f>
        <v/>
      </c>
      <c r="N472">
        <f>IF(C472="",0,IF(AND(B472="office",E472="budget_probe",N(F472)&gt;=Inputs!$C$129),1,0))</f>
        <v/>
      </c>
      <c r="O472">
        <f>IF(N472=1,IF(COUNTIFS(C$5:C472,C472,N$5:N472,1)=1,1,0),0)</f>
        <v/>
      </c>
      <c r="P472">
        <f>IF(C472="",0,IF(AND(B472="brand",E472="renewal_answer",N(F472)&gt;=Inputs!$C$125),1,0))</f>
        <v/>
      </c>
      <c r="Q472">
        <f>IF(AND(B472="office",E472="budget_probe",ISNUMBER(F472)),F472,"")</f>
        <v/>
      </c>
      <c r="R472">
        <f>IF(AND(B472="brand",E472="budget_probe",ISNUMBER(F472)),F472,"")</f>
        <v/>
      </c>
    </row>
    <row r="473">
      <c r="A473" s="91" t="n"/>
      <c r="B473" s="92" t="n"/>
      <c r="C473" s="92" t="n"/>
      <c r="D473" s="92" t="n"/>
      <c r="E473" s="92" t="n"/>
      <c r="F473" s="92" t="n"/>
      <c r="G473" s="92" t="n"/>
      <c r="H473" s="92" t="n"/>
      <c r="I473" s="92" t="n"/>
      <c r="K473">
        <f>IF(C473="","",IF(COUNTIFS(C$5:C473,C473,E$5:E473,E473)=1,1,0))</f>
        <v/>
      </c>
      <c r="L473">
        <f>IF(C473="",0,IF(AND(B473="brand",E473="budget_probe",N(F473)&gt;=Inputs!$C$114,H473="Y"),1,0))</f>
        <v/>
      </c>
      <c r="M473">
        <f>IF(L473=1,IF(COUNTIFS(C$5:C473,C473,L$5:L473,1)=1,1,0),0)</f>
        <v/>
      </c>
      <c r="N473">
        <f>IF(C473="",0,IF(AND(B473="office",E473="budget_probe",N(F473)&gt;=Inputs!$C$129),1,0))</f>
        <v/>
      </c>
      <c r="O473">
        <f>IF(N473=1,IF(COUNTIFS(C$5:C473,C473,N$5:N473,1)=1,1,0),0)</f>
        <v/>
      </c>
      <c r="P473">
        <f>IF(C473="",0,IF(AND(B473="brand",E473="renewal_answer",N(F473)&gt;=Inputs!$C$125),1,0))</f>
        <v/>
      </c>
      <c r="Q473">
        <f>IF(AND(B473="office",E473="budget_probe",ISNUMBER(F473)),F473,"")</f>
        <v/>
      </c>
      <c r="R473">
        <f>IF(AND(B473="brand",E473="budget_probe",ISNUMBER(F473)),F473,"")</f>
        <v/>
      </c>
    </row>
    <row r="474">
      <c r="A474" s="91" t="n"/>
      <c r="B474" s="92" t="n"/>
      <c r="C474" s="92" t="n"/>
      <c r="D474" s="92" t="n"/>
      <c r="E474" s="92" t="n"/>
      <c r="F474" s="92" t="n"/>
      <c r="G474" s="92" t="n"/>
      <c r="H474" s="92" t="n"/>
      <c r="I474" s="92" t="n"/>
      <c r="K474">
        <f>IF(C474="","",IF(COUNTIFS(C$5:C474,C474,E$5:E474,E474)=1,1,0))</f>
        <v/>
      </c>
      <c r="L474">
        <f>IF(C474="",0,IF(AND(B474="brand",E474="budget_probe",N(F474)&gt;=Inputs!$C$114,H474="Y"),1,0))</f>
        <v/>
      </c>
      <c r="M474">
        <f>IF(L474=1,IF(COUNTIFS(C$5:C474,C474,L$5:L474,1)=1,1,0),0)</f>
        <v/>
      </c>
      <c r="N474">
        <f>IF(C474="",0,IF(AND(B474="office",E474="budget_probe",N(F474)&gt;=Inputs!$C$129),1,0))</f>
        <v/>
      </c>
      <c r="O474">
        <f>IF(N474=1,IF(COUNTIFS(C$5:C474,C474,N$5:N474,1)=1,1,0),0)</f>
        <v/>
      </c>
      <c r="P474">
        <f>IF(C474="",0,IF(AND(B474="brand",E474="renewal_answer",N(F474)&gt;=Inputs!$C$125),1,0))</f>
        <v/>
      </c>
      <c r="Q474">
        <f>IF(AND(B474="office",E474="budget_probe",ISNUMBER(F474)),F474,"")</f>
        <v/>
      </c>
      <c r="R474">
        <f>IF(AND(B474="brand",E474="budget_probe",ISNUMBER(F474)),F474,"")</f>
        <v/>
      </c>
    </row>
    <row r="475">
      <c r="A475" s="91" t="n"/>
      <c r="B475" s="92" t="n"/>
      <c r="C475" s="92" t="n"/>
      <c r="D475" s="92" t="n"/>
      <c r="E475" s="92" t="n"/>
      <c r="F475" s="92" t="n"/>
      <c r="G475" s="92" t="n"/>
      <c r="H475" s="92" t="n"/>
      <c r="I475" s="92" t="n"/>
      <c r="K475">
        <f>IF(C475="","",IF(COUNTIFS(C$5:C475,C475,E$5:E475,E475)=1,1,0))</f>
        <v/>
      </c>
      <c r="L475">
        <f>IF(C475="",0,IF(AND(B475="brand",E475="budget_probe",N(F475)&gt;=Inputs!$C$114,H475="Y"),1,0))</f>
        <v/>
      </c>
      <c r="M475">
        <f>IF(L475=1,IF(COUNTIFS(C$5:C475,C475,L$5:L475,1)=1,1,0),0)</f>
        <v/>
      </c>
      <c r="N475">
        <f>IF(C475="",0,IF(AND(B475="office",E475="budget_probe",N(F475)&gt;=Inputs!$C$129),1,0))</f>
        <v/>
      </c>
      <c r="O475">
        <f>IF(N475=1,IF(COUNTIFS(C$5:C475,C475,N$5:N475,1)=1,1,0),0)</f>
        <v/>
      </c>
      <c r="P475">
        <f>IF(C475="",0,IF(AND(B475="brand",E475="renewal_answer",N(F475)&gt;=Inputs!$C$125),1,0))</f>
        <v/>
      </c>
      <c r="Q475">
        <f>IF(AND(B475="office",E475="budget_probe",ISNUMBER(F475)),F475,"")</f>
        <v/>
      </c>
      <c r="R475">
        <f>IF(AND(B475="brand",E475="budget_probe",ISNUMBER(F475)),F475,"")</f>
        <v/>
      </c>
    </row>
    <row r="476">
      <c r="A476" s="91" t="n"/>
      <c r="B476" s="92" t="n"/>
      <c r="C476" s="92" t="n"/>
      <c r="D476" s="92" t="n"/>
      <c r="E476" s="92" t="n"/>
      <c r="F476" s="92" t="n"/>
      <c r="G476" s="92" t="n"/>
      <c r="H476" s="92" t="n"/>
      <c r="I476" s="92" t="n"/>
      <c r="K476">
        <f>IF(C476="","",IF(COUNTIFS(C$5:C476,C476,E$5:E476,E476)=1,1,0))</f>
        <v/>
      </c>
      <c r="L476">
        <f>IF(C476="",0,IF(AND(B476="brand",E476="budget_probe",N(F476)&gt;=Inputs!$C$114,H476="Y"),1,0))</f>
        <v/>
      </c>
      <c r="M476">
        <f>IF(L476=1,IF(COUNTIFS(C$5:C476,C476,L$5:L476,1)=1,1,0),0)</f>
        <v/>
      </c>
      <c r="N476">
        <f>IF(C476="",0,IF(AND(B476="office",E476="budget_probe",N(F476)&gt;=Inputs!$C$129),1,0))</f>
        <v/>
      </c>
      <c r="O476">
        <f>IF(N476=1,IF(COUNTIFS(C$5:C476,C476,N$5:N476,1)=1,1,0),0)</f>
        <v/>
      </c>
      <c r="P476">
        <f>IF(C476="",0,IF(AND(B476="brand",E476="renewal_answer",N(F476)&gt;=Inputs!$C$125),1,0))</f>
        <v/>
      </c>
      <c r="Q476">
        <f>IF(AND(B476="office",E476="budget_probe",ISNUMBER(F476)),F476,"")</f>
        <v/>
      </c>
      <c r="R476">
        <f>IF(AND(B476="brand",E476="budget_probe",ISNUMBER(F476)),F476,"")</f>
        <v/>
      </c>
    </row>
    <row r="477">
      <c r="A477" s="91" t="n"/>
      <c r="B477" s="92" t="n"/>
      <c r="C477" s="92" t="n"/>
      <c r="D477" s="92" t="n"/>
      <c r="E477" s="92" t="n"/>
      <c r="F477" s="92" t="n"/>
      <c r="G477" s="92" t="n"/>
      <c r="H477" s="92" t="n"/>
      <c r="I477" s="92" t="n"/>
      <c r="K477">
        <f>IF(C477="","",IF(COUNTIFS(C$5:C477,C477,E$5:E477,E477)=1,1,0))</f>
        <v/>
      </c>
      <c r="L477">
        <f>IF(C477="",0,IF(AND(B477="brand",E477="budget_probe",N(F477)&gt;=Inputs!$C$114,H477="Y"),1,0))</f>
        <v/>
      </c>
      <c r="M477">
        <f>IF(L477=1,IF(COUNTIFS(C$5:C477,C477,L$5:L477,1)=1,1,0),0)</f>
        <v/>
      </c>
      <c r="N477">
        <f>IF(C477="",0,IF(AND(B477="office",E477="budget_probe",N(F477)&gt;=Inputs!$C$129),1,0))</f>
        <v/>
      </c>
      <c r="O477">
        <f>IF(N477=1,IF(COUNTIFS(C$5:C477,C477,N$5:N477,1)=1,1,0),0)</f>
        <v/>
      </c>
      <c r="P477">
        <f>IF(C477="",0,IF(AND(B477="brand",E477="renewal_answer",N(F477)&gt;=Inputs!$C$125),1,0))</f>
        <v/>
      </c>
      <c r="Q477">
        <f>IF(AND(B477="office",E477="budget_probe",ISNUMBER(F477)),F477,"")</f>
        <v/>
      </c>
      <c r="R477">
        <f>IF(AND(B477="brand",E477="budget_probe",ISNUMBER(F477)),F477,"")</f>
        <v/>
      </c>
    </row>
    <row r="478">
      <c r="A478" s="91" t="n"/>
      <c r="B478" s="92" t="n"/>
      <c r="C478" s="92" t="n"/>
      <c r="D478" s="92" t="n"/>
      <c r="E478" s="92" t="n"/>
      <c r="F478" s="92" t="n"/>
      <c r="G478" s="92" t="n"/>
      <c r="H478" s="92" t="n"/>
      <c r="I478" s="92" t="n"/>
      <c r="K478">
        <f>IF(C478="","",IF(COUNTIFS(C$5:C478,C478,E$5:E478,E478)=1,1,0))</f>
        <v/>
      </c>
      <c r="L478">
        <f>IF(C478="",0,IF(AND(B478="brand",E478="budget_probe",N(F478)&gt;=Inputs!$C$114,H478="Y"),1,0))</f>
        <v/>
      </c>
      <c r="M478">
        <f>IF(L478=1,IF(COUNTIFS(C$5:C478,C478,L$5:L478,1)=1,1,0),0)</f>
        <v/>
      </c>
      <c r="N478">
        <f>IF(C478="",0,IF(AND(B478="office",E478="budget_probe",N(F478)&gt;=Inputs!$C$129),1,0))</f>
        <v/>
      </c>
      <c r="O478">
        <f>IF(N478=1,IF(COUNTIFS(C$5:C478,C478,N$5:N478,1)=1,1,0),0)</f>
        <v/>
      </c>
      <c r="P478">
        <f>IF(C478="",0,IF(AND(B478="brand",E478="renewal_answer",N(F478)&gt;=Inputs!$C$125),1,0))</f>
        <v/>
      </c>
      <c r="Q478">
        <f>IF(AND(B478="office",E478="budget_probe",ISNUMBER(F478)),F478,"")</f>
        <v/>
      </c>
      <c r="R478">
        <f>IF(AND(B478="brand",E478="budget_probe",ISNUMBER(F478)),F478,"")</f>
        <v/>
      </c>
    </row>
    <row r="479">
      <c r="A479" s="91" t="n"/>
      <c r="B479" s="92" t="n"/>
      <c r="C479" s="92" t="n"/>
      <c r="D479" s="92" t="n"/>
      <c r="E479" s="92" t="n"/>
      <c r="F479" s="92" t="n"/>
      <c r="G479" s="92" t="n"/>
      <c r="H479" s="92" t="n"/>
      <c r="I479" s="92" t="n"/>
      <c r="K479">
        <f>IF(C479="","",IF(COUNTIFS(C$5:C479,C479,E$5:E479,E479)=1,1,0))</f>
        <v/>
      </c>
      <c r="L479">
        <f>IF(C479="",0,IF(AND(B479="brand",E479="budget_probe",N(F479)&gt;=Inputs!$C$114,H479="Y"),1,0))</f>
        <v/>
      </c>
      <c r="M479">
        <f>IF(L479=1,IF(COUNTIFS(C$5:C479,C479,L$5:L479,1)=1,1,0),0)</f>
        <v/>
      </c>
      <c r="N479">
        <f>IF(C479="",0,IF(AND(B479="office",E479="budget_probe",N(F479)&gt;=Inputs!$C$129),1,0))</f>
        <v/>
      </c>
      <c r="O479">
        <f>IF(N479=1,IF(COUNTIFS(C$5:C479,C479,N$5:N479,1)=1,1,0),0)</f>
        <v/>
      </c>
      <c r="P479">
        <f>IF(C479="",0,IF(AND(B479="brand",E479="renewal_answer",N(F479)&gt;=Inputs!$C$125),1,0))</f>
        <v/>
      </c>
      <c r="Q479">
        <f>IF(AND(B479="office",E479="budget_probe",ISNUMBER(F479)),F479,"")</f>
        <v/>
      </c>
      <c r="R479">
        <f>IF(AND(B479="brand",E479="budget_probe",ISNUMBER(F479)),F479,"")</f>
        <v/>
      </c>
    </row>
    <row r="480">
      <c r="A480" s="91" t="n"/>
      <c r="B480" s="92" t="n"/>
      <c r="C480" s="92" t="n"/>
      <c r="D480" s="92" t="n"/>
      <c r="E480" s="92" t="n"/>
      <c r="F480" s="92" t="n"/>
      <c r="G480" s="92" t="n"/>
      <c r="H480" s="92" t="n"/>
      <c r="I480" s="92" t="n"/>
      <c r="K480">
        <f>IF(C480="","",IF(COUNTIFS(C$5:C480,C480,E$5:E480,E480)=1,1,0))</f>
        <v/>
      </c>
      <c r="L480">
        <f>IF(C480="",0,IF(AND(B480="brand",E480="budget_probe",N(F480)&gt;=Inputs!$C$114,H480="Y"),1,0))</f>
        <v/>
      </c>
      <c r="M480">
        <f>IF(L480=1,IF(COUNTIFS(C$5:C480,C480,L$5:L480,1)=1,1,0),0)</f>
        <v/>
      </c>
      <c r="N480">
        <f>IF(C480="",0,IF(AND(B480="office",E480="budget_probe",N(F480)&gt;=Inputs!$C$129),1,0))</f>
        <v/>
      </c>
      <c r="O480">
        <f>IF(N480=1,IF(COUNTIFS(C$5:C480,C480,N$5:N480,1)=1,1,0),0)</f>
        <v/>
      </c>
      <c r="P480">
        <f>IF(C480="",0,IF(AND(B480="brand",E480="renewal_answer",N(F480)&gt;=Inputs!$C$125),1,0))</f>
        <v/>
      </c>
      <c r="Q480">
        <f>IF(AND(B480="office",E480="budget_probe",ISNUMBER(F480)),F480,"")</f>
        <v/>
      </c>
      <c r="R480">
        <f>IF(AND(B480="brand",E480="budget_probe",ISNUMBER(F480)),F480,"")</f>
        <v/>
      </c>
    </row>
    <row r="481">
      <c r="A481" s="91" t="n"/>
      <c r="B481" s="92" t="n"/>
      <c r="C481" s="92" t="n"/>
      <c r="D481" s="92" t="n"/>
      <c r="E481" s="92" t="n"/>
      <c r="F481" s="92" t="n"/>
      <c r="G481" s="92" t="n"/>
      <c r="H481" s="92" t="n"/>
      <c r="I481" s="92" t="n"/>
      <c r="K481">
        <f>IF(C481="","",IF(COUNTIFS(C$5:C481,C481,E$5:E481,E481)=1,1,0))</f>
        <v/>
      </c>
      <c r="L481">
        <f>IF(C481="",0,IF(AND(B481="brand",E481="budget_probe",N(F481)&gt;=Inputs!$C$114,H481="Y"),1,0))</f>
        <v/>
      </c>
      <c r="M481">
        <f>IF(L481=1,IF(COUNTIFS(C$5:C481,C481,L$5:L481,1)=1,1,0),0)</f>
        <v/>
      </c>
      <c r="N481">
        <f>IF(C481="",0,IF(AND(B481="office",E481="budget_probe",N(F481)&gt;=Inputs!$C$129),1,0))</f>
        <v/>
      </c>
      <c r="O481">
        <f>IF(N481=1,IF(COUNTIFS(C$5:C481,C481,N$5:N481,1)=1,1,0),0)</f>
        <v/>
      </c>
      <c r="P481">
        <f>IF(C481="",0,IF(AND(B481="brand",E481="renewal_answer",N(F481)&gt;=Inputs!$C$125),1,0))</f>
        <v/>
      </c>
      <c r="Q481">
        <f>IF(AND(B481="office",E481="budget_probe",ISNUMBER(F481)),F481,"")</f>
        <v/>
      </c>
      <c r="R481">
        <f>IF(AND(B481="brand",E481="budget_probe",ISNUMBER(F481)),F481,"")</f>
        <v/>
      </c>
    </row>
    <row r="482">
      <c r="A482" s="91" t="n"/>
      <c r="B482" s="92" t="n"/>
      <c r="C482" s="92" t="n"/>
      <c r="D482" s="92" t="n"/>
      <c r="E482" s="92" t="n"/>
      <c r="F482" s="92" t="n"/>
      <c r="G482" s="92" t="n"/>
      <c r="H482" s="92" t="n"/>
      <c r="I482" s="92" t="n"/>
      <c r="K482">
        <f>IF(C482="","",IF(COUNTIFS(C$5:C482,C482,E$5:E482,E482)=1,1,0))</f>
        <v/>
      </c>
      <c r="L482">
        <f>IF(C482="",0,IF(AND(B482="brand",E482="budget_probe",N(F482)&gt;=Inputs!$C$114,H482="Y"),1,0))</f>
        <v/>
      </c>
      <c r="M482">
        <f>IF(L482=1,IF(COUNTIFS(C$5:C482,C482,L$5:L482,1)=1,1,0),0)</f>
        <v/>
      </c>
      <c r="N482">
        <f>IF(C482="",0,IF(AND(B482="office",E482="budget_probe",N(F482)&gt;=Inputs!$C$129),1,0))</f>
        <v/>
      </c>
      <c r="O482">
        <f>IF(N482=1,IF(COUNTIFS(C$5:C482,C482,N$5:N482,1)=1,1,0),0)</f>
        <v/>
      </c>
      <c r="P482">
        <f>IF(C482="",0,IF(AND(B482="brand",E482="renewal_answer",N(F482)&gt;=Inputs!$C$125),1,0))</f>
        <v/>
      </c>
      <c r="Q482">
        <f>IF(AND(B482="office",E482="budget_probe",ISNUMBER(F482)),F482,"")</f>
        <v/>
      </c>
      <c r="R482">
        <f>IF(AND(B482="brand",E482="budget_probe",ISNUMBER(F482)),F482,"")</f>
        <v/>
      </c>
    </row>
    <row r="483">
      <c r="A483" s="91" t="n"/>
      <c r="B483" s="92" t="n"/>
      <c r="C483" s="92" t="n"/>
      <c r="D483" s="92" t="n"/>
      <c r="E483" s="92" t="n"/>
      <c r="F483" s="92" t="n"/>
      <c r="G483" s="92" t="n"/>
      <c r="H483" s="92" t="n"/>
      <c r="I483" s="92" t="n"/>
      <c r="K483">
        <f>IF(C483="","",IF(COUNTIFS(C$5:C483,C483,E$5:E483,E483)=1,1,0))</f>
        <v/>
      </c>
      <c r="L483">
        <f>IF(C483="",0,IF(AND(B483="brand",E483="budget_probe",N(F483)&gt;=Inputs!$C$114,H483="Y"),1,0))</f>
        <v/>
      </c>
      <c r="M483">
        <f>IF(L483=1,IF(COUNTIFS(C$5:C483,C483,L$5:L483,1)=1,1,0),0)</f>
        <v/>
      </c>
      <c r="N483">
        <f>IF(C483="",0,IF(AND(B483="office",E483="budget_probe",N(F483)&gt;=Inputs!$C$129),1,0))</f>
        <v/>
      </c>
      <c r="O483">
        <f>IF(N483=1,IF(COUNTIFS(C$5:C483,C483,N$5:N483,1)=1,1,0),0)</f>
        <v/>
      </c>
      <c r="P483">
        <f>IF(C483="",0,IF(AND(B483="brand",E483="renewal_answer",N(F483)&gt;=Inputs!$C$125),1,0))</f>
        <v/>
      </c>
      <c r="Q483">
        <f>IF(AND(B483="office",E483="budget_probe",ISNUMBER(F483)),F483,"")</f>
        <v/>
      </c>
      <c r="R483">
        <f>IF(AND(B483="brand",E483="budget_probe",ISNUMBER(F483)),F483,"")</f>
        <v/>
      </c>
    </row>
    <row r="484">
      <c r="A484" s="91" t="n"/>
      <c r="B484" s="92" t="n"/>
      <c r="C484" s="92" t="n"/>
      <c r="D484" s="92" t="n"/>
      <c r="E484" s="92" t="n"/>
      <c r="F484" s="92" t="n"/>
      <c r="G484" s="92" t="n"/>
      <c r="H484" s="92" t="n"/>
      <c r="I484" s="92" t="n"/>
      <c r="K484">
        <f>IF(C484="","",IF(COUNTIFS(C$5:C484,C484,E$5:E484,E484)=1,1,0))</f>
        <v/>
      </c>
      <c r="L484">
        <f>IF(C484="",0,IF(AND(B484="brand",E484="budget_probe",N(F484)&gt;=Inputs!$C$114,H484="Y"),1,0))</f>
        <v/>
      </c>
      <c r="M484">
        <f>IF(L484=1,IF(COUNTIFS(C$5:C484,C484,L$5:L484,1)=1,1,0),0)</f>
        <v/>
      </c>
      <c r="N484">
        <f>IF(C484="",0,IF(AND(B484="office",E484="budget_probe",N(F484)&gt;=Inputs!$C$129),1,0))</f>
        <v/>
      </c>
      <c r="O484">
        <f>IF(N484=1,IF(COUNTIFS(C$5:C484,C484,N$5:N484,1)=1,1,0),0)</f>
        <v/>
      </c>
      <c r="P484">
        <f>IF(C484="",0,IF(AND(B484="brand",E484="renewal_answer",N(F484)&gt;=Inputs!$C$125),1,0))</f>
        <v/>
      </c>
      <c r="Q484">
        <f>IF(AND(B484="office",E484="budget_probe",ISNUMBER(F484)),F484,"")</f>
        <v/>
      </c>
      <c r="R484">
        <f>IF(AND(B484="brand",E484="budget_probe",ISNUMBER(F484)),F484,"")</f>
        <v/>
      </c>
    </row>
    <row r="485">
      <c r="A485" s="91" t="n"/>
      <c r="B485" s="92" t="n"/>
      <c r="C485" s="92" t="n"/>
      <c r="D485" s="92" t="n"/>
      <c r="E485" s="92" t="n"/>
      <c r="F485" s="92" t="n"/>
      <c r="G485" s="92" t="n"/>
      <c r="H485" s="92" t="n"/>
      <c r="I485" s="92" t="n"/>
      <c r="K485">
        <f>IF(C485="","",IF(COUNTIFS(C$5:C485,C485,E$5:E485,E485)=1,1,0))</f>
        <v/>
      </c>
      <c r="L485">
        <f>IF(C485="",0,IF(AND(B485="brand",E485="budget_probe",N(F485)&gt;=Inputs!$C$114,H485="Y"),1,0))</f>
        <v/>
      </c>
      <c r="M485">
        <f>IF(L485=1,IF(COUNTIFS(C$5:C485,C485,L$5:L485,1)=1,1,0),0)</f>
        <v/>
      </c>
      <c r="N485">
        <f>IF(C485="",0,IF(AND(B485="office",E485="budget_probe",N(F485)&gt;=Inputs!$C$129),1,0))</f>
        <v/>
      </c>
      <c r="O485">
        <f>IF(N485=1,IF(COUNTIFS(C$5:C485,C485,N$5:N485,1)=1,1,0),0)</f>
        <v/>
      </c>
      <c r="P485">
        <f>IF(C485="",0,IF(AND(B485="brand",E485="renewal_answer",N(F485)&gt;=Inputs!$C$125),1,0))</f>
        <v/>
      </c>
      <c r="Q485">
        <f>IF(AND(B485="office",E485="budget_probe",ISNUMBER(F485)),F485,"")</f>
        <v/>
      </c>
      <c r="R485">
        <f>IF(AND(B485="brand",E485="budget_probe",ISNUMBER(F485)),F485,"")</f>
        <v/>
      </c>
    </row>
    <row r="486">
      <c r="A486" s="91" t="n"/>
      <c r="B486" s="92" t="n"/>
      <c r="C486" s="92" t="n"/>
      <c r="D486" s="92" t="n"/>
      <c r="E486" s="92" t="n"/>
      <c r="F486" s="92" t="n"/>
      <c r="G486" s="92" t="n"/>
      <c r="H486" s="92" t="n"/>
      <c r="I486" s="92" t="n"/>
      <c r="K486">
        <f>IF(C486="","",IF(COUNTIFS(C$5:C486,C486,E$5:E486,E486)=1,1,0))</f>
        <v/>
      </c>
      <c r="L486">
        <f>IF(C486="",0,IF(AND(B486="brand",E486="budget_probe",N(F486)&gt;=Inputs!$C$114,H486="Y"),1,0))</f>
        <v/>
      </c>
      <c r="M486">
        <f>IF(L486=1,IF(COUNTIFS(C$5:C486,C486,L$5:L486,1)=1,1,0),0)</f>
        <v/>
      </c>
      <c r="N486">
        <f>IF(C486="",0,IF(AND(B486="office",E486="budget_probe",N(F486)&gt;=Inputs!$C$129),1,0))</f>
        <v/>
      </c>
      <c r="O486">
        <f>IF(N486=1,IF(COUNTIFS(C$5:C486,C486,N$5:N486,1)=1,1,0),0)</f>
        <v/>
      </c>
      <c r="P486">
        <f>IF(C486="",0,IF(AND(B486="brand",E486="renewal_answer",N(F486)&gt;=Inputs!$C$125),1,0))</f>
        <v/>
      </c>
      <c r="Q486">
        <f>IF(AND(B486="office",E486="budget_probe",ISNUMBER(F486)),F486,"")</f>
        <v/>
      </c>
      <c r="R486">
        <f>IF(AND(B486="brand",E486="budget_probe",ISNUMBER(F486)),F486,"")</f>
        <v/>
      </c>
    </row>
    <row r="487">
      <c r="A487" s="91" t="n"/>
      <c r="B487" s="92" t="n"/>
      <c r="C487" s="92" t="n"/>
      <c r="D487" s="92" t="n"/>
      <c r="E487" s="92" t="n"/>
      <c r="F487" s="92" t="n"/>
      <c r="G487" s="92" t="n"/>
      <c r="H487" s="92" t="n"/>
      <c r="I487" s="92" t="n"/>
      <c r="K487">
        <f>IF(C487="","",IF(COUNTIFS(C$5:C487,C487,E$5:E487,E487)=1,1,0))</f>
        <v/>
      </c>
      <c r="L487">
        <f>IF(C487="",0,IF(AND(B487="brand",E487="budget_probe",N(F487)&gt;=Inputs!$C$114,H487="Y"),1,0))</f>
        <v/>
      </c>
      <c r="M487">
        <f>IF(L487=1,IF(COUNTIFS(C$5:C487,C487,L$5:L487,1)=1,1,0),0)</f>
        <v/>
      </c>
      <c r="N487">
        <f>IF(C487="",0,IF(AND(B487="office",E487="budget_probe",N(F487)&gt;=Inputs!$C$129),1,0))</f>
        <v/>
      </c>
      <c r="O487">
        <f>IF(N487=1,IF(COUNTIFS(C$5:C487,C487,N$5:N487,1)=1,1,0),0)</f>
        <v/>
      </c>
      <c r="P487">
        <f>IF(C487="",0,IF(AND(B487="brand",E487="renewal_answer",N(F487)&gt;=Inputs!$C$125),1,0))</f>
        <v/>
      </c>
      <c r="Q487">
        <f>IF(AND(B487="office",E487="budget_probe",ISNUMBER(F487)),F487,"")</f>
        <v/>
      </c>
      <c r="R487">
        <f>IF(AND(B487="brand",E487="budget_probe",ISNUMBER(F487)),F487,"")</f>
        <v/>
      </c>
    </row>
    <row r="488">
      <c r="A488" s="91" t="n"/>
      <c r="B488" s="92" t="n"/>
      <c r="C488" s="92" t="n"/>
      <c r="D488" s="92" t="n"/>
      <c r="E488" s="92" t="n"/>
      <c r="F488" s="92" t="n"/>
      <c r="G488" s="92" t="n"/>
      <c r="H488" s="92" t="n"/>
      <c r="I488" s="92" t="n"/>
      <c r="K488">
        <f>IF(C488="","",IF(COUNTIFS(C$5:C488,C488,E$5:E488,E488)=1,1,0))</f>
        <v/>
      </c>
      <c r="L488">
        <f>IF(C488="",0,IF(AND(B488="brand",E488="budget_probe",N(F488)&gt;=Inputs!$C$114,H488="Y"),1,0))</f>
        <v/>
      </c>
      <c r="M488">
        <f>IF(L488=1,IF(COUNTIFS(C$5:C488,C488,L$5:L488,1)=1,1,0),0)</f>
        <v/>
      </c>
      <c r="N488">
        <f>IF(C488="",0,IF(AND(B488="office",E488="budget_probe",N(F488)&gt;=Inputs!$C$129),1,0))</f>
        <v/>
      </c>
      <c r="O488">
        <f>IF(N488=1,IF(COUNTIFS(C$5:C488,C488,N$5:N488,1)=1,1,0),0)</f>
        <v/>
      </c>
      <c r="P488">
        <f>IF(C488="",0,IF(AND(B488="brand",E488="renewal_answer",N(F488)&gt;=Inputs!$C$125),1,0))</f>
        <v/>
      </c>
      <c r="Q488">
        <f>IF(AND(B488="office",E488="budget_probe",ISNUMBER(F488)),F488,"")</f>
        <v/>
      </c>
      <c r="R488">
        <f>IF(AND(B488="brand",E488="budget_probe",ISNUMBER(F488)),F488,"")</f>
        <v/>
      </c>
    </row>
    <row r="489">
      <c r="A489" s="91" t="n"/>
      <c r="B489" s="92" t="n"/>
      <c r="C489" s="92" t="n"/>
      <c r="D489" s="92" t="n"/>
      <c r="E489" s="92" t="n"/>
      <c r="F489" s="92" t="n"/>
      <c r="G489" s="92" t="n"/>
      <c r="H489" s="92" t="n"/>
      <c r="I489" s="92" t="n"/>
      <c r="K489">
        <f>IF(C489="","",IF(COUNTIFS(C$5:C489,C489,E$5:E489,E489)=1,1,0))</f>
        <v/>
      </c>
      <c r="L489">
        <f>IF(C489="",0,IF(AND(B489="brand",E489="budget_probe",N(F489)&gt;=Inputs!$C$114,H489="Y"),1,0))</f>
        <v/>
      </c>
      <c r="M489">
        <f>IF(L489=1,IF(COUNTIFS(C$5:C489,C489,L$5:L489,1)=1,1,0),0)</f>
        <v/>
      </c>
      <c r="N489">
        <f>IF(C489="",0,IF(AND(B489="office",E489="budget_probe",N(F489)&gt;=Inputs!$C$129),1,0))</f>
        <v/>
      </c>
      <c r="O489">
        <f>IF(N489=1,IF(COUNTIFS(C$5:C489,C489,N$5:N489,1)=1,1,0),0)</f>
        <v/>
      </c>
      <c r="P489">
        <f>IF(C489="",0,IF(AND(B489="brand",E489="renewal_answer",N(F489)&gt;=Inputs!$C$125),1,0))</f>
        <v/>
      </c>
      <c r="Q489">
        <f>IF(AND(B489="office",E489="budget_probe",ISNUMBER(F489)),F489,"")</f>
        <v/>
      </c>
      <c r="R489">
        <f>IF(AND(B489="brand",E489="budget_probe",ISNUMBER(F489)),F489,"")</f>
        <v/>
      </c>
    </row>
    <row r="490">
      <c r="A490" s="91" t="n"/>
      <c r="B490" s="92" t="n"/>
      <c r="C490" s="92" t="n"/>
      <c r="D490" s="92" t="n"/>
      <c r="E490" s="92" t="n"/>
      <c r="F490" s="92" t="n"/>
      <c r="G490" s="92" t="n"/>
      <c r="H490" s="92" t="n"/>
      <c r="I490" s="92" t="n"/>
      <c r="K490">
        <f>IF(C490="","",IF(COUNTIFS(C$5:C490,C490,E$5:E490,E490)=1,1,0))</f>
        <v/>
      </c>
      <c r="L490">
        <f>IF(C490="",0,IF(AND(B490="brand",E490="budget_probe",N(F490)&gt;=Inputs!$C$114,H490="Y"),1,0))</f>
        <v/>
      </c>
      <c r="M490">
        <f>IF(L490=1,IF(COUNTIFS(C$5:C490,C490,L$5:L490,1)=1,1,0),0)</f>
        <v/>
      </c>
      <c r="N490">
        <f>IF(C490="",0,IF(AND(B490="office",E490="budget_probe",N(F490)&gt;=Inputs!$C$129),1,0))</f>
        <v/>
      </c>
      <c r="O490">
        <f>IF(N490=1,IF(COUNTIFS(C$5:C490,C490,N$5:N490,1)=1,1,0),0)</f>
        <v/>
      </c>
      <c r="P490">
        <f>IF(C490="",0,IF(AND(B490="brand",E490="renewal_answer",N(F490)&gt;=Inputs!$C$125),1,0))</f>
        <v/>
      </c>
      <c r="Q490">
        <f>IF(AND(B490="office",E490="budget_probe",ISNUMBER(F490)),F490,"")</f>
        <v/>
      </c>
      <c r="R490">
        <f>IF(AND(B490="brand",E490="budget_probe",ISNUMBER(F490)),F490,"")</f>
        <v/>
      </c>
    </row>
    <row r="491">
      <c r="A491" s="91" t="n"/>
      <c r="B491" s="92" t="n"/>
      <c r="C491" s="92" t="n"/>
      <c r="D491" s="92" t="n"/>
      <c r="E491" s="92" t="n"/>
      <c r="F491" s="92" t="n"/>
      <c r="G491" s="92" t="n"/>
      <c r="H491" s="92" t="n"/>
      <c r="I491" s="92" t="n"/>
      <c r="K491">
        <f>IF(C491="","",IF(COUNTIFS(C$5:C491,C491,E$5:E491,E491)=1,1,0))</f>
        <v/>
      </c>
      <c r="L491">
        <f>IF(C491="",0,IF(AND(B491="brand",E491="budget_probe",N(F491)&gt;=Inputs!$C$114,H491="Y"),1,0))</f>
        <v/>
      </c>
      <c r="M491">
        <f>IF(L491=1,IF(COUNTIFS(C$5:C491,C491,L$5:L491,1)=1,1,0),0)</f>
        <v/>
      </c>
      <c r="N491">
        <f>IF(C491="",0,IF(AND(B491="office",E491="budget_probe",N(F491)&gt;=Inputs!$C$129),1,0))</f>
        <v/>
      </c>
      <c r="O491">
        <f>IF(N491=1,IF(COUNTIFS(C$5:C491,C491,N$5:N491,1)=1,1,0),0)</f>
        <v/>
      </c>
      <c r="P491">
        <f>IF(C491="",0,IF(AND(B491="brand",E491="renewal_answer",N(F491)&gt;=Inputs!$C$125),1,0))</f>
        <v/>
      </c>
      <c r="Q491">
        <f>IF(AND(B491="office",E491="budget_probe",ISNUMBER(F491)),F491,"")</f>
        <v/>
      </c>
      <c r="R491">
        <f>IF(AND(B491="brand",E491="budget_probe",ISNUMBER(F491)),F491,"")</f>
        <v/>
      </c>
    </row>
    <row r="492">
      <c r="A492" s="91" t="n"/>
      <c r="B492" s="92" t="n"/>
      <c r="C492" s="92" t="n"/>
      <c r="D492" s="92" t="n"/>
      <c r="E492" s="92" t="n"/>
      <c r="F492" s="92" t="n"/>
      <c r="G492" s="92" t="n"/>
      <c r="H492" s="92" t="n"/>
      <c r="I492" s="92" t="n"/>
      <c r="K492">
        <f>IF(C492="","",IF(COUNTIFS(C$5:C492,C492,E$5:E492,E492)=1,1,0))</f>
        <v/>
      </c>
      <c r="L492">
        <f>IF(C492="",0,IF(AND(B492="brand",E492="budget_probe",N(F492)&gt;=Inputs!$C$114,H492="Y"),1,0))</f>
        <v/>
      </c>
      <c r="M492">
        <f>IF(L492=1,IF(COUNTIFS(C$5:C492,C492,L$5:L492,1)=1,1,0),0)</f>
        <v/>
      </c>
      <c r="N492">
        <f>IF(C492="",0,IF(AND(B492="office",E492="budget_probe",N(F492)&gt;=Inputs!$C$129),1,0))</f>
        <v/>
      </c>
      <c r="O492">
        <f>IF(N492=1,IF(COUNTIFS(C$5:C492,C492,N$5:N492,1)=1,1,0),0)</f>
        <v/>
      </c>
      <c r="P492">
        <f>IF(C492="",0,IF(AND(B492="brand",E492="renewal_answer",N(F492)&gt;=Inputs!$C$125),1,0))</f>
        <v/>
      </c>
      <c r="Q492">
        <f>IF(AND(B492="office",E492="budget_probe",ISNUMBER(F492)),F492,"")</f>
        <v/>
      </c>
      <c r="R492">
        <f>IF(AND(B492="brand",E492="budget_probe",ISNUMBER(F492)),F492,"")</f>
        <v/>
      </c>
    </row>
    <row r="493">
      <c r="A493" s="91" t="n"/>
      <c r="B493" s="92" t="n"/>
      <c r="C493" s="92" t="n"/>
      <c r="D493" s="92" t="n"/>
      <c r="E493" s="92" t="n"/>
      <c r="F493" s="92" t="n"/>
      <c r="G493" s="92" t="n"/>
      <c r="H493" s="92" t="n"/>
      <c r="I493" s="92" t="n"/>
      <c r="K493">
        <f>IF(C493="","",IF(COUNTIFS(C$5:C493,C493,E$5:E493,E493)=1,1,0))</f>
        <v/>
      </c>
      <c r="L493">
        <f>IF(C493="",0,IF(AND(B493="brand",E493="budget_probe",N(F493)&gt;=Inputs!$C$114,H493="Y"),1,0))</f>
        <v/>
      </c>
      <c r="M493">
        <f>IF(L493=1,IF(COUNTIFS(C$5:C493,C493,L$5:L493,1)=1,1,0),0)</f>
        <v/>
      </c>
      <c r="N493">
        <f>IF(C493="",0,IF(AND(B493="office",E493="budget_probe",N(F493)&gt;=Inputs!$C$129),1,0))</f>
        <v/>
      </c>
      <c r="O493">
        <f>IF(N493=1,IF(COUNTIFS(C$5:C493,C493,N$5:N493,1)=1,1,0),0)</f>
        <v/>
      </c>
      <c r="P493">
        <f>IF(C493="",0,IF(AND(B493="brand",E493="renewal_answer",N(F493)&gt;=Inputs!$C$125),1,0))</f>
        <v/>
      </c>
      <c r="Q493">
        <f>IF(AND(B493="office",E493="budget_probe",ISNUMBER(F493)),F493,"")</f>
        <v/>
      </c>
      <c r="R493">
        <f>IF(AND(B493="brand",E493="budget_probe",ISNUMBER(F493)),F493,"")</f>
        <v/>
      </c>
    </row>
    <row r="494">
      <c r="A494" s="91" t="n"/>
      <c r="B494" s="92" t="n"/>
      <c r="C494" s="92" t="n"/>
      <c r="D494" s="92" t="n"/>
      <c r="E494" s="92" t="n"/>
      <c r="F494" s="92" t="n"/>
      <c r="G494" s="92" t="n"/>
      <c r="H494" s="92" t="n"/>
      <c r="I494" s="92" t="n"/>
      <c r="K494">
        <f>IF(C494="","",IF(COUNTIFS(C$5:C494,C494,E$5:E494,E494)=1,1,0))</f>
        <v/>
      </c>
      <c r="L494">
        <f>IF(C494="",0,IF(AND(B494="brand",E494="budget_probe",N(F494)&gt;=Inputs!$C$114,H494="Y"),1,0))</f>
        <v/>
      </c>
      <c r="M494">
        <f>IF(L494=1,IF(COUNTIFS(C$5:C494,C494,L$5:L494,1)=1,1,0),0)</f>
        <v/>
      </c>
      <c r="N494">
        <f>IF(C494="",0,IF(AND(B494="office",E494="budget_probe",N(F494)&gt;=Inputs!$C$129),1,0))</f>
        <v/>
      </c>
      <c r="O494">
        <f>IF(N494=1,IF(COUNTIFS(C$5:C494,C494,N$5:N494,1)=1,1,0),0)</f>
        <v/>
      </c>
      <c r="P494">
        <f>IF(C494="",0,IF(AND(B494="brand",E494="renewal_answer",N(F494)&gt;=Inputs!$C$125),1,0))</f>
        <v/>
      </c>
      <c r="Q494">
        <f>IF(AND(B494="office",E494="budget_probe",ISNUMBER(F494)),F494,"")</f>
        <v/>
      </c>
      <c r="R494">
        <f>IF(AND(B494="brand",E494="budget_probe",ISNUMBER(F494)),F494,"")</f>
        <v/>
      </c>
    </row>
    <row r="495">
      <c r="A495" s="91" t="n"/>
      <c r="B495" s="92" t="n"/>
      <c r="C495" s="92" t="n"/>
      <c r="D495" s="92" t="n"/>
      <c r="E495" s="92" t="n"/>
      <c r="F495" s="92" t="n"/>
      <c r="G495" s="92" t="n"/>
      <c r="H495" s="92" t="n"/>
      <c r="I495" s="92" t="n"/>
      <c r="K495">
        <f>IF(C495="","",IF(COUNTIFS(C$5:C495,C495,E$5:E495,E495)=1,1,0))</f>
        <v/>
      </c>
      <c r="L495">
        <f>IF(C495="",0,IF(AND(B495="brand",E495="budget_probe",N(F495)&gt;=Inputs!$C$114,H495="Y"),1,0))</f>
        <v/>
      </c>
      <c r="M495">
        <f>IF(L495=1,IF(COUNTIFS(C$5:C495,C495,L$5:L495,1)=1,1,0),0)</f>
        <v/>
      </c>
      <c r="N495">
        <f>IF(C495="",0,IF(AND(B495="office",E495="budget_probe",N(F495)&gt;=Inputs!$C$129),1,0))</f>
        <v/>
      </c>
      <c r="O495">
        <f>IF(N495=1,IF(COUNTIFS(C$5:C495,C495,N$5:N495,1)=1,1,0),0)</f>
        <v/>
      </c>
      <c r="P495">
        <f>IF(C495="",0,IF(AND(B495="brand",E495="renewal_answer",N(F495)&gt;=Inputs!$C$125),1,0))</f>
        <v/>
      </c>
      <c r="Q495">
        <f>IF(AND(B495="office",E495="budget_probe",ISNUMBER(F495)),F495,"")</f>
        <v/>
      </c>
      <c r="R495">
        <f>IF(AND(B495="brand",E495="budget_probe",ISNUMBER(F495)),F495,"")</f>
        <v/>
      </c>
    </row>
    <row r="496">
      <c r="A496" s="91" t="n"/>
      <c r="B496" s="92" t="n"/>
      <c r="C496" s="92" t="n"/>
      <c r="D496" s="92" t="n"/>
      <c r="E496" s="92" t="n"/>
      <c r="F496" s="92" t="n"/>
      <c r="G496" s="92" t="n"/>
      <c r="H496" s="92" t="n"/>
      <c r="I496" s="92" t="n"/>
      <c r="K496">
        <f>IF(C496="","",IF(COUNTIFS(C$5:C496,C496,E$5:E496,E496)=1,1,0))</f>
        <v/>
      </c>
      <c r="L496">
        <f>IF(C496="",0,IF(AND(B496="brand",E496="budget_probe",N(F496)&gt;=Inputs!$C$114,H496="Y"),1,0))</f>
        <v/>
      </c>
      <c r="M496">
        <f>IF(L496=1,IF(COUNTIFS(C$5:C496,C496,L$5:L496,1)=1,1,0),0)</f>
        <v/>
      </c>
      <c r="N496">
        <f>IF(C496="",0,IF(AND(B496="office",E496="budget_probe",N(F496)&gt;=Inputs!$C$129),1,0))</f>
        <v/>
      </c>
      <c r="O496">
        <f>IF(N496=1,IF(COUNTIFS(C$5:C496,C496,N$5:N496,1)=1,1,0),0)</f>
        <v/>
      </c>
      <c r="P496">
        <f>IF(C496="",0,IF(AND(B496="brand",E496="renewal_answer",N(F496)&gt;=Inputs!$C$125),1,0))</f>
        <v/>
      </c>
      <c r="Q496">
        <f>IF(AND(B496="office",E496="budget_probe",ISNUMBER(F496)),F496,"")</f>
        <v/>
      </c>
      <c r="R496">
        <f>IF(AND(B496="brand",E496="budget_probe",ISNUMBER(F496)),F496,"")</f>
        <v/>
      </c>
    </row>
    <row r="497">
      <c r="A497" s="91" t="n"/>
      <c r="B497" s="92" t="n"/>
      <c r="C497" s="92" t="n"/>
      <c r="D497" s="92" t="n"/>
      <c r="E497" s="92" t="n"/>
      <c r="F497" s="92" t="n"/>
      <c r="G497" s="92" t="n"/>
      <c r="H497" s="92" t="n"/>
      <c r="I497" s="92" t="n"/>
      <c r="K497">
        <f>IF(C497="","",IF(COUNTIFS(C$5:C497,C497,E$5:E497,E497)=1,1,0))</f>
        <v/>
      </c>
      <c r="L497">
        <f>IF(C497="",0,IF(AND(B497="brand",E497="budget_probe",N(F497)&gt;=Inputs!$C$114,H497="Y"),1,0))</f>
        <v/>
      </c>
      <c r="M497">
        <f>IF(L497=1,IF(COUNTIFS(C$5:C497,C497,L$5:L497,1)=1,1,0),0)</f>
        <v/>
      </c>
      <c r="N497">
        <f>IF(C497="",0,IF(AND(B497="office",E497="budget_probe",N(F497)&gt;=Inputs!$C$129),1,0))</f>
        <v/>
      </c>
      <c r="O497">
        <f>IF(N497=1,IF(COUNTIFS(C$5:C497,C497,N$5:N497,1)=1,1,0),0)</f>
        <v/>
      </c>
      <c r="P497">
        <f>IF(C497="",0,IF(AND(B497="brand",E497="renewal_answer",N(F497)&gt;=Inputs!$C$125),1,0))</f>
        <v/>
      </c>
      <c r="Q497">
        <f>IF(AND(B497="office",E497="budget_probe",ISNUMBER(F497)),F497,"")</f>
        <v/>
      </c>
      <c r="R497">
        <f>IF(AND(B497="brand",E497="budget_probe",ISNUMBER(F497)),F497,"")</f>
        <v/>
      </c>
    </row>
    <row r="498">
      <c r="A498" s="91" t="n"/>
      <c r="B498" s="92" t="n"/>
      <c r="C498" s="92" t="n"/>
      <c r="D498" s="92" t="n"/>
      <c r="E498" s="92" t="n"/>
      <c r="F498" s="92" t="n"/>
      <c r="G498" s="92" t="n"/>
      <c r="H498" s="92" t="n"/>
      <c r="I498" s="92" t="n"/>
      <c r="K498">
        <f>IF(C498="","",IF(COUNTIFS(C$5:C498,C498,E$5:E498,E498)=1,1,0))</f>
        <v/>
      </c>
      <c r="L498">
        <f>IF(C498="",0,IF(AND(B498="brand",E498="budget_probe",N(F498)&gt;=Inputs!$C$114,H498="Y"),1,0))</f>
        <v/>
      </c>
      <c r="M498">
        <f>IF(L498=1,IF(COUNTIFS(C$5:C498,C498,L$5:L498,1)=1,1,0),0)</f>
        <v/>
      </c>
      <c r="N498">
        <f>IF(C498="",0,IF(AND(B498="office",E498="budget_probe",N(F498)&gt;=Inputs!$C$129),1,0))</f>
        <v/>
      </c>
      <c r="O498">
        <f>IF(N498=1,IF(COUNTIFS(C$5:C498,C498,N$5:N498,1)=1,1,0),0)</f>
        <v/>
      </c>
      <c r="P498">
        <f>IF(C498="",0,IF(AND(B498="brand",E498="renewal_answer",N(F498)&gt;=Inputs!$C$125),1,0))</f>
        <v/>
      </c>
      <c r="Q498">
        <f>IF(AND(B498="office",E498="budget_probe",ISNUMBER(F498)),F498,"")</f>
        <v/>
      </c>
      <c r="R498">
        <f>IF(AND(B498="brand",E498="budget_probe",ISNUMBER(F498)),F498,"")</f>
        <v/>
      </c>
    </row>
    <row r="499">
      <c r="A499" s="91" t="n"/>
      <c r="B499" s="92" t="n"/>
      <c r="C499" s="92" t="n"/>
      <c r="D499" s="92" t="n"/>
      <c r="E499" s="92" t="n"/>
      <c r="F499" s="92" t="n"/>
      <c r="G499" s="92" t="n"/>
      <c r="H499" s="92" t="n"/>
      <c r="I499" s="92" t="n"/>
      <c r="K499">
        <f>IF(C499="","",IF(COUNTIFS(C$5:C499,C499,E$5:E499,E499)=1,1,0))</f>
        <v/>
      </c>
      <c r="L499">
        <f>IF(C499="",0,IF(AND(B499="brand",E499="budget_probe",N(F499)&gt;=Inputs!$C$114,H499="Y"),1,0))</f>
        <v/>
      </c>
      <c r="M499">
        <f>IF(L499=1,IF(COUNTIFS(C$5:C499,C499,L$5:L499,1)=1,1,0),0)</f>
        <v/>
      </c>
      <c r="N499">
        <f>IF(C499="",0,IF(AND(B499="office",E499="budget_probe",N(F499)&gt;=Inputs!$C$129),1,0))</f>
        <v/>
      </c>
      <c r="O499">
        <f>IF(N499=1,IF(COUNTIFS(C$5:C499,C499,N$5:N499,1)=1,1,0),0)</f>
        <v/>
      </c>
      <c r="P499">
        <f>IF(C499="",0,IF(AND(B499="brand",E499="renewal_answer",N(F499)&gt;=Inputs!$C$125),1,0))</f>
        <v/>
      </c>
      <c r="Q499">
        <f>IF(AND(B499="office",E499="budget_probe",ISNUMBER(F499)),F499,"")</f>
        <v/>
      </c>
      <c r="R499">
        <f>IF(AND(B499="brand",E499="budget_probe",ISNUMBER(F499)),F499,"")</f>
        <v/>
      </c>
    </row>
    <row r="500">
      <c r="A500" s="91" t="n"/>
      <c r="B500" s="92" t="n"/>
      <c r="C500" s="92" t="n"/>
      <c r="D500" s="92" t="n"/>
      <c r="E500" s="92" t="n"/>
      <c r="F500" s="92" t="n"/>
      <c r="G500" s="92" t="n"/>
      <c r="H500" s="92" t="n"/>
      <c r="I500" s="92" t="n"/>
      <c r="K500">
        <f>IF(C500="","",IF(COUNTIFS(C$5:C500,C500,E$5:E500,E500)=1,1,0))</f>
        <v/>
      </c>
      <c r="L500">
        <f>IF(C500="",0,IF(AND(B500="brand",E500="budget_probe",N(F500)&gt;=Inputs!$C$114,H500="Y"),1,0))</f>
        <v/>
      </c>
      <c r="M500">
        <f>IF(L500=1,IF(COUNTIFS(C$5:C500,C500,L$5:L500,1)=1,1,0),0)</f>
        <v/>
      </c>
      <c r="N500">
        <f>IF(C500="",0,IF(AND(B500="office",E500="budget_probe",N(F500)&gt;=Inputs!$C$129),1,0))</f>
        <v/>
      </c>
      <c r="O500">
        <f>IF(N500=1,IF(COUNTIFS(C$5:C500,C500,N$5:N500,1)=1,1,0),0)</f>
        <v/>
      </c>
      <c r="P500">
        <f>IF(C500="",0,IF(AND(B500="brand",E500="renewal_answer",N(F500)&gt;=Inputs!$C$125),1,0))</f>
        <v/>
      </c>
      <c r="Q500">
        <f>IF(AND(B500="office",E500="budget_probe",ISNUMBER(F500)),F500,"")</f>
        <v/>
      </c>
      <c r="R500">
        <f>IF(AND(B500="brand",E500="budget_probe",ISNUMBER(F500)),F500,"")</f>
        <v/>
      </c>
    </row>
    <row r="501">
      <c r="A501" s="91" t="n"/>
      <c r="B501" s="92" t="n"/>
      <c r="C501" s="92" t="n"/>
      <c r="D501" s="92" t="n"/>
      <c r="E501" s="92" t="n"/>
      <c r="F501" s="92" t="n"/>
      <c r="G501" s="92" t="n"/>
      <c r="H501" s="92" t="n"/>
      <c r="I501" s="92" t="n"/>
      <c r="K501">
        <f>IF(C501="","",IF(COUNTIFS(C$5:C501,C501,E$5:E501,E501)=1,1,0))</f>
        <v/>
      </c>
      <c r="L501">
        <f>IF(C501="",0,IF(AND(B501="brand",E501="budget_probe",N(F501)&gt;=Inputs!$C$114,H501="Y"),1,0))</f>
        <v/>
      </c>
      <c r="M501">
        <f>IF(L501=1,IF(COUNTIFS(C$5:C501,C501,L$5:L501,1)=1,1,0),0)</f>
        <v/>
      </c>
      <c r="N501">
        <f>IF(C501="",0,IF(AND(B501="office",E501="budget_probe",N(F501)&gt;=Inputs!$C$129),1,0))</f>
        <v/>
      </c>
      <c r="O501">
        <f>IF(N501=1,IF(COUNTIFS(C$5:C501,C501,N$5:N501,1)=1,1,0),0)</f>
        <v/>
      </c>
      <c r="P501">
        <f>IF(C501="",0,IF(AND(B501="brand",E501="renewal_answer",N(F501)&gt;=Inputs!$C$125),1,0))</f>
        <v/>
      </c>
      <c r="Q501">
        <f>IF(AND(B501="office",E501="budget_probe",ISNUMBER(F501)),F501,"")</f>
        <v/>
      </c>
      <c r="R501">
        <f>IF(AND(B501="brand",E501="budget_probe",ISNUMBER(F501)),F501,"")</f>
        <v/>
      </c>
    </row>
    <row r="502">
      <c r="A502" s="91" t="n"/>
      <c r="B502" s="92" t="n"/>
      <c r="C502" s="92" t="n"/>
      <c r="D502" s="92" t="n"/>
      <c r="E502" s="92" t="n"/>
      <c r="F502" s="92" t="n"/>
      <c r="G502" s="92" t="n"/>
      <c r="H502" s="92" t="n"/>
      <c r="I502" s="92" t="n"/>
      <c r="K502">
        <f>IF(C502="","",IF(COUNTIFS(C$5:C502,C502,E$5:E502,E502)=1,1,0))</f>
        <v/>
      </c>
      <c r="L502">
        <f>IF(C502="",0,IF(AND(B502="brand",E502="budget_probe",N(F502)&gt;=Inputs!$C$114,H502="Y"),1,0))</f>
        <v/>
      </c>
      <c r="M502">
        <f>IF(L502=1,IF(COUNTIFS(C$5:C502,C502,L$5:L502,1)=1,1,0),0)</f>
        <v/>
      </c>
      <c r="N502">
        <f>IF(C502="",0,IF(AND(B502="office",E502="budget_probe",N(F502)&gt;=Inputs!$C$129),1,0))</f>
        <v/>
      </c>
      <c r="O502">
        <f>IF(N502=1,IF(COUNTIFS(C$5:C502,C502,N$5:N502,1)=1,1,0),0)</f>
        <v/>
      </c>
      <c r="P502">
        <f>IF(C502="",0,IF(AND(B502="brand",E502="renewal_answer",N(F502)&gt;=Inputs!$C$125),1,0))</f>
        <v/>
      </c>
      <c r="Q502">
        <f>IF(AND(B502="office",E502="budget_probe",ISNUMBER(F502)),F502,"")</f>
        <v/>
      </c>
      <c r="R502">
        <f>IF(AND(B502="brand",E502="budget_probe",ISNUMBER(F502)),F502,"")</f>
        <v/>
      </c>
    </row>
    <row r="503">
      <c r="A503" s="91" t="n"/>
      <c r="B503" s="92" t="n"/>
      <c r="C503" s="92" t="n"/>
      <c r="D503" s="92" t="n"/>
      <c r="E503" s="92" t="n"/>
      <c r="F503" s="92" t="n"/>
      <c r="G503" s="92" t="n"/>
      <c r="H503" s="92" t="n"/>
      <c r="I503" s="92" t="n"/>
      <c r="K503">
        <f>IF(C503="","",IF(COUNTIFS(C$5:C503,C503,E$5:E503,E503)=1,1,0))</f>
        <v/>
      </c>
      <c r="L503">
        <f>IF(C503="",0,IF(AND(B503="brand",E503="budget_probe",N(F503)&gt;=Inputs!$C$114,H503="Y"),1,0))</f>
        <v/>
      </c>
      <c r="M503">
        <f>IF(L503=1,IF(COUNTIFS(C$5:C503,C503,L$5:L503,1)=1,1,0),0)</f>
        <v/>
      </c>
      <c r="N503">
        <f>IF(C503="",0,IF(AND(B503="office",E503="budget_probe",N(F503)&gt;=Inputs!$C$129),1,0))</f>
        <v/>
      </c>
      <c r="O503">
        <f>IF(N503=1,IF(COUNTIFS(C$5:C503,C503,N$5:N503,1)=1,1,0),0)</f>
        <v/>
      </c>
      <c r="P503">
        <f>IF(C503="",0,IF(AND(B503="brand",E503="renewal_answer",N(F503)&gt;=Inputs!$C$125),1,0))</f>
        <v/>
      </c>
      <c r="Q503">
        <f>IF(AND(B503="office",E503="budget_probe",ISNUMBER(F503)),F503,"")</f>
        <v/>
      </c>
      <c r="R503">
        <f>IF(AND(B503="brand",E503="budget_probe",ISNUMBER(F503)),F503,"")</f>
        <v/>
      </c>
    </row>
    <row r="504">
      <c r="A504" s="91" t="n"/>
      <c r="B504" s="92" t="n"/>
      <c r="C504" s="92" t="n"/>
      <c r="D504" s="92" t="n"/>
      <c r="E504" s="92" t="n"/>
      <c r="F504" s="92" t="n"/>
      <c r="G504" s="92" t="n"/>
      <c r="H504" s="92" t="n"/>
      <c r="I504" s="92" t="n"/>
      <c r="K504">
        <f>IF(C504="","",IF(COUNTIFS(C$5:C504,C504,E$5:E504,E504)=1,1,0))</f>
        <v/>
      </c>
      <c r="L504">
        <f>IF(C504="",0,IF(AND(B504="brand",E504="budget_probe",N(F504)&gt;=Inputs!$C$114,H504="Y"),1,0))</f>
        <v/>
      </c>
      <c r="M504">
        <f>IF(L504=1,IF(COUNTIFS(C$5:C504,C504,L$5:L504,1)=1,1,0),0)</f>
        <v/>
      </c>
      <c r="N504">
        <f>IF(C504="",0,IF(AND(B504="office",E504="budget_probe",N(F504)&gt;=Inputs!$C$129),1,0))</f>
        <v/>
      </c>
      <c r="O504">
        <f>IF(N504=1,IF(COUNTIFS(C$5:C504,C504,N$5:N504,1)=1,1,0),0)</f>
        <v/>
      </c>
      <c r="P504">
        <f>IF(C504="",0,IF(AND(B504="brand",E504="renewal_answer",N(F504)&gt;=Inputs!$C$125),1,0))</f>
        <v/>
      </c>
      <c r="Q504">
        <f>IF(AND(B504="office",E504="budget_probe",ISNUMBER(F504)),F504,"")</f>
        <v/>
      </c>
      <c r="R504">
        <f>IF(AND(B504="brand",E504="budget_probe",ISNUMBER(F504)),F504,"")</f>
        <v/>
      </c>
    </row>
    <row r="505">
      <c r="A505" s="91" t="n"/>
      <c r="B505" s="92" t="n"/>
      <c r="C505" s="92" t="n"/>
      <c r="D505" s="92" t="n"/>
      <c r="E505" s="92" t="n"/>
      <c r="F505" s="92" t="n"/>
      <c r="G505" s="92" t="n"/>
      <c r="H505" s="92" t="n"/>
      <c r="I505" s="92" t="n"/>
      <c r="K505">
        <f>IF(C505="","",IF(COUNTIFS(C$5:C505,C505,E$5:E505,E505)=1,1,0))</f>
        <v/>
      </c>
      <c r="L505">
        <f>IF(C505="",0,IF(AND(B505="brand",E505="budget_probe",N(F505)&gt;=Inputs!$C$114,H505="Y"),1,0))</f>
        <v/>
      </c>
      <c r="M505">
        <f>IF(L505=1,IF(COUNTIFS(C$5:C505,C505,L$5:L505,1)=1,1,0),0)</f>
        <v/>
      </c>
      <c r="N505">
        <f>IF(C505="",0,IF(AND(B505="office",E505="budget_probe",N(F505)&gt;=Inputs!$C$129),1,0))</f>
        <v/>
      </c>
      <c r="O505">
        <f>IF(N505=1,IF(COUNTIFS(C$5:C505,C505,N$5:N505,1)=1,1,0),0)</f>
        <v/>
      </c>
      <c r="P505">
        <f>IF(C505="",0,IF(AND(B505="brand",E505="renewal_answer",N(F505)&gt;=Inputs!$C$125),1,0))</f>
        <v/>
      </c>
      <c r="Q505">
        <f>IF(AND(B505="office",E505="budget_probe",ISNUMBER(F505)),F505,"")</f>
        <v/>
      </c>
      <c r="R505">
        <f>IF(AND(B505="brand",E505="budget_probe",ISNUMBER(F505)),F505,"")</f>
        <v/>
      </c>
    </row>
    <row r="506">
      <c r="A506" s="91" t="n"/>
      <c r="B506" s="92" t="n"/>
      <c r="C506" s="92" t="n"/>
      <c r="D506" s="92" t="n"/>
      <c r="E506" s="92" t="n"/>
      <c r="F506" s="92" t="n"/>
      <c r="G506" s="92" t="n"/>
      <c r="H506" s="92" t="n"/>
      <c r="I506" s="92" t="n"/>
      <c r="K506">
        <f>IF(C506="","",IF(COUNTIFS(C$5:C506,C506,E$5:E506,E506)=1,1,0))</f>
        <v/>
      </c>
      <c r="L506">
        <f>IF(C506="",0,IF(AND(B506="brand",E506="budget_probe",N(F506)&gt;=Inputs!$C$114,H506="Y"),1,0))</f>
        <v/>
      </c>
      <c r="M506">
        <f>IF(L506=1,IF(COUNTIFS(C$5:C506,C506,L$5:L506,1)=1,1,0),0)</f>
        <v/>
      </c>
      <c r="N506">
        <f>IF(C506="",0,IF(AND(B506="office",E506="budget_probe",N(F506)&gt;=Inputs!$C$129),1,0))</f>
        <v/>
      </c>
      <c r="O506">
        <f>IF(N506=1,IF(COUNTIFS(C$5:C506,C506,N$5:N506,1)=1,1,0),0)</f>
        <v/>
      </c>
      <c r="P506">
        <f>IF(C506="",0,IF(AND(B506="brand",E506="renewal_answer",N(F506)&gt;=Inputs!$C$125),1,0))</f>
        <v/>
      </c>
      <c r="Q506">
        <f>IF(AND(B506="office",E506="budget_probe",ISNUMBER(F506)),F506,"")</f>
        <v/>
      </c>
      <c r="R506">
        <f>IF(AND(B506="brand",E506="budget_probe",ISNUMBER(F506)),F506,"")</f>
        <v/>
      </c>
    </row>
    <row r="507">
      <c r="A507" s="91" t="n"/>
      <c r="B507" s="92" t="n"/>
      <c r="C507" s="92" t="n"/>
      <c r="D507" s="92" t="n"/>
      <c r="E507" s="92" t="n"/>
      <c r="F507" s="92" t="n"/>
      <c r="G507" s="92" t="n"/>
      <c r="H507" s="92" t="n"/>
      <c r="I507" s="92" t="n"/>
      <c r="K507">
        <f>IF(C507="","",IF(COUNTIFS(C$5:C507,C507,E$5:E507,E507)=1,1,0))</f>
        <v/>
      </c>
      <c r="L507">
        <f>IF(C507="",0,IF(AND(B507="brand",E507="budget_probe",N(F507)&gt;=Inputs!$C$114,H507="Y"),1,0))</f>
        <v/>
      </c>
      <c r="M507">
        <f>IF(L507=1,IF(COUNTIFS(C$5:C507,C507,L$5:L507,1)=1,1,0),0)</f>
        <v/>
      </c>
      <c r="N507">
        <f>IF(C507="",0,IF(AND(B507="office",E507="budget_probe",N(F507)&gt;=Inputs!$C$129),1,0))</f>
        <v/>
      </c>
      <c r="O507">
        <f>IF(N507=1,IF(COUNTIFS(C$5:C507,C507,N$5:N507,1)=1,1,0),0)</f>
        <v/>
      </c>
      <c r="P507">
        <f>IF(C507="",0,IF(AND(B507="brand",E507="renewal_answer",N(F507)&gt;=Inputs!$C$125),1,0))</f>
        <v/>
      </c>
      <c r="Q507">
        <f>IF(AND(B507="office",E507="budget_probe",ISNUMBER(F507)),F507,"")</f>
        <v/>
      </c>
      <c r="R507">
        <f>IF(AND(B507="brand",E507="budget_probe",ISNUMBER(F507)),F507,"")</f>
        <v/>
      </c>
    </row>
    <row r="508">
      <c r="A508" s="91" t="n"/>
      <c r="B508" s="92" t="n"/>
      <c r="C508" s="92" t="n"/>
      <c r="D508" s="92" t="n"/>
      <c r="E508" s="92" t="n"/>
      <c r="F508" s="92" t="n"/>
      <c r="G508" s="92" t="n"/>
      <c r="H508" s="92" t="n"/>
      <c r="I508" s="92" t="n"/>
      <c r="K508">
        <f>IF(C508="","",IF(COUNTIFS(C$5:C508,C508,E$5:E508,E508)=1,1,0))</f>
        <v/>
      </c>
      <c r="L508">
        <f>IF(C508="",0,IF(AND(B508="brand",E508="budget_probe",N(F508)&gt;=Inputs!$C$114,H508="Y"),1,0))</f>
        <v/>
      </c>
      <c r="M508">
        <f>IF(L508=1,IF(COUNTIFS(C$5:C508,C508,L$5:L508,1)=1,1,0),0)</f>
        <v/>
      </c>
      <c r="N508">
        <f>IF(C508="",0,IF(AND(B508="office",E508="budget_probe",N(F508)&gt;=Inputs!$C$129),1,0))</f>
        <v/>
      </c>
      <c r="O508">
        <f>IF(N508=1,IF(COUNTIFS(C$5:C508,C508,N$5:N508,1)=1,1,0),0)</f>
        <v/>
      </c>
      <c r="P508">
        <f>IF(C508="",0,IF(AND(B508="brand",E508="renewal_answer",N(F508)&gt;=Inputs!$C$125),1,0))</f>
        <v/>
      </c>
      <c r="Q508">
        <f>IF(AND(B508="office",E508="budget_probe",ISNUMBER(F508)),F508,"")</f>
        <v/>
      </c>
      <c r="R508">
        <f>IF(AND(B508="brand",E508="budget_probe",ISNUMBER(F508)),F508,"")</f>
        <v/>
      </c>
    </row>
    <row r="509">
      <c r="A509" s="91" t="n"/>
      <c r="B509" s="92" t="n"/>
      <c r="C509" s="92" t="n"/>
      <c r="D509" s="92" t="n"/>
      <c r="E509" s="92" t="n"/>
      <c r="F509" s="92" t="n"/>
      <c r="G509" s="92" t="n"/>
      <c r="H509" s="92" t="n"/>
      <c r="I509" s="92" t="n"/>
      <c r="K509">
        <f>IF(C509="","",IF(COUNTIFS(C$5:C509,C509,E$5:E509,E509)=1,1,0))</f>
        <v/>
      </c>
      <c r="L509">
        <f>IF(C509="",0,IF(AND(B509="brand",E509="budget_probe",N(F509)&gt;=Inputs!$C$114,H509="Y"),1,0))</f>
        <v/>
      </c>
      <c r="M509">
        <f>IF(L509=1,IF(COUNTIFS(C$5:C509,C509,L$5:L509,1)=1,1,0),0)</f>
        <v/>
      </c>
      <c r="N509">
        <f>IF(C509="",0,IF(AND(B509="office",E509="budget_probe",N(F509)&gt;=Inputs!$C$129),1,0))</f>
        <v/>
      </c>
      <c r="O509">
        <f>IF(N509=1,IF(COUNTIFS(C$5:C509,C509,N$5:N509,1)=1,1,0),0)</f>
        <v/>
      </c>
      <c r="P509">
        <f>IF(C509="",0,IF(AND(B509="brand",E509="renewal_answer",N(F509)&gt;=Inputs!$C$125),1,0))</f>
        <v/>
      </c>
      <c r="Q509">
        <f>IF(AND(B509="office",E509="budget_probe",ISNUMBER(F509)),F509,"")</f>
        <v/>
      </c>
      <c r="R509">
        <f>IF(AND(B509="brand",E509="budget_probe",ISNUMBER(F509)),F509,"")</f>
        <v/>
      </c>
    </row>
    <row r="510">
      <c r="A510" s="91" t="n"/>
      <c r="B510" s="92" t="n"/>
      <c r="C510" s="92" t="n"/>
      <c r="D510" s="92" t="n"/>
      <c r="E510" s="92" t="n"/>
      <c r="F510" s="92" t="n"/>
      <c r="G510" s="92" t="n"/>
      <c r="H510" s="92" t="n"/>
      <c r="I510" s="92" t="n"/>
      <c r="K510">
        <f>IF(C510="","",IF(COUNTIFS(C$5:C510,C510,E$5:E510,E510)=1,1,0))</f>
        <v/>
      </c>
      <c r="L510">
        <f>IF(C510="",0,IF(AND(B510="brand",E510="budget_probe",N(F510)&gt;=Inputs!$C$114,H510="Y"),1,0))</f>
        <v/>
      </c>
      <c r="M510">
        <f>IF(L510=1,IF(COUNTIFS(C$5:C510,C510,L$5:L510,1)=1,1,0),0)</f>
        <v/>
      </c>
      <c r="N510">
        <f>IF(C510="",0,IF(AND(B510="office",E510="budget_probe",N(F510)&gt;=Inputs!$C$129),1,0))</f>
        <v/>
      </c>
      <c r="O510">
        <f>IF(N510=1,IF(COUNTIFS(C$5:C510,C510,N$5:N510,1)=1,1,0),0)</f>
        <v/>
      </c>
      <c r="P510">
        <f>IF(C510="",0,IF(AND(B510="brand",E510="renewal_answer",N(F510)&gt;=Inputs!$C$125),1,0))</f>
        <v/>
      </c>
      <c r="Q510">
        <f>IF(AND(B510="office",E510="budget_probe",ISNUMBER(F510)),F510,"")</f>
        <v/>
      </c>
      <c r="R510">
        <f>IF(AND(B510="brand",E510="budget_probe",ISNUMBER(F510)),F510,"")</f>
        <v/>
      </c>
    </row>
    <row r="511">
      <c r="A511" s="91" t="n"/>
      <c r="B511" s="92" t="n"/>
      <c r="C511" s="92" t="n"/>
      <c r="D511" s="92" t="n"/>
      <c r="E511" s="92" t="n"/>
      <c r="F511" s="92" t="n"/>
      <c r="G511" s="92" t="n"/>
      <c r="H511" s="92" t="n"/>
      <c r="I511" s="92" t="n"/>
      <c r="K511">
        <f>IF(C511="","",IF(COUNTIFS(C$5:C511,C511,E$5:E511,E511)=1,1,0))</f>
        <v/>
      </c>
      <c r="L511">
        <f>IF(C511="",0,IF(AND(B511="brand",E511="budget_probe",N(F511)&gt;=Inputs!$C$114,H511="Y"),1,0))</f>
        <v/>
      </c>
      <c r="M511">
        <f>IF(L511=1,IF(COUNTIFS(C$5:C511,C511,L$5:L511,1)=1,1,0),0)</f>
        <v/>
      </c>
      <c r="N511">
        <f>IF(C511="",0,IF(AND(B511="office",E511="budget_probe",N(F511)&gt;=Inputs!$C$129),1,0))</f>
        <v/>
      </c>
      <c r="O511">
        <f>IF(N511=1,IF(COUNTIFS(C$5:C511,C511,N$5:N511,1)=1,1,0),0)</f>
        <v/>
      </c>
      <c r="P511">
        <f>IF(C511="",0,IF(AND(B511="brand",E511="renewal_answer",N(F511)&gt;=Inputs!$C$125),1,0))</f>
        <v/>
      </c>
      <c r="Q511">
        <f>IF(AND(B511="office",E511="budget_probe",ISNUMBER(F511)),F511,"")</f>
        <v/>
      </c>
      <c r="R511">
        <f>IF(AND(B511="brand",E511="budget_probe",ISNUMBER(F511)),F511,"")</f>
        <v/>
      </c>
    </row>
    <row r="512">
      <c r="A512" s="91" t="n"/>
      <c r="B512" s="92" t="n"/>
      <c r="C512" s="92" t="n"/>
      <c r="D512" s="92" t="n"/>
      <c r="E512" s="92" t="n"/>
      <c r="F512" s="92" t="n"/>
      <c r="G512" s="92" t="n"/>
      <c r="H512" s="92" t="n"/>
      <c r="I512" s="92" t="n"/>
      <c r="K512">
        <f>IF(C512="","",IF(COUNTIFS(C$5:C512,C512,E$5:E512,E512)=1,1,0))</f>
        <v/>
      </c>
      <c r="L512">
        <f>IF(C512="",0,IF(AND(B512="brand",E512="budget_probe",N(F512)&gt;=Inputs!$C$114,H512="Y"),1,0))</f>
        <v/>
      </c>
      <c r="M512">
        <f>IF(L512=1,IF(COUNTIFS(C$5:C512,C512,L$5:L512,1)=1,1,0),0)</f>
        <v/>
      </c>
      <c r="N512">
        <f>IF(C512="",0,IF(AND(B512="office",E512="budget_probe",N(F512)&gt;=Inputs!$C$129),1,0))</f>
        <v/>
      </c>
      <c r="O512">
        <f>IF(N512=1,IF(COUNTIFS(C$5:C512,C512,N$5:N512,1)=1,1,0),0)</f>
        <v/>
      </c>
      <c r="P512">
        <f>IF(C512="",0,IF(AND(B512="brand",E512="renewal_answer",N(F512)&gt;=Inputs!$C$125),1,0))</f>
        <v/>
      </c>
      <c r="Q512">
        <f>IF(AND(B512="office",E512="budget_probe",ISNUMBER(F512)),F512,"")</f>
        <v/>
      </c>
      <c r="R512">
        <f>IF(AND(B512="brand",E512="budget_probe",ISNUMBER(F512)),F512,"")</f>
        <v/>
      </c>
    </row>
    <row r="513">
      <c r="A513" s="91" t="n"/>
      <c r="B513" s="92" t="n"/>
      <c r="C513" s="92" t="n"/>
      <c r="D513" s="92" t="n"/>
      <c r="E513" s="92" t="n"/>
      <c r="F513" s="92" t="n"/>
      <c r="G513" s="92" t="n"/>
      <c r="H513" s="92" t="n"/>
      <c r="I513" s="92" t="n"/>
      <c r="K513">
        <f>IF(C513="","",IF(COUNTIFS(C$5:C513,C513,E$5:E513,E513)=1,1,0))</f>
        <v/>
      </c>
      <c r="L513">
        <f>IF(C513="",0,IF(AND(B513="brand",E513="budget_probe",N(F513)&gt;=Inputs!$C$114,H513="Y"),1,0))</f>
        <v/>
      </c>
      <c r="M513">
        <f>IF(L513=1,IF(COUNTIFS(C$5:C513,C513,L$5:L513,1)=1,1,0),0)</f>
        <v/>
      </c>
      <c r="N513">
        <f>IF(C513="",0,IF(AND(B513="office",E513="budget_probe",N(F513)&gt;=Inputs!$C$129),1,0))</f>
        <v/>
      </c>
      <c r="O513">
        <f>IF(N513=1,IF(COUNTIFS(C$5:C513,C513,N$5:N513,1)=1,1,0),0)</f>
        <v/>
      </c>
      <c r="P513">
        <f>IF(C513="",0,IF(AND(B513="brand",E513="renewal_answer",N(F513)&gt;=Inputs!$C$125),1,0))</f>
        <v/>
      </c>
      <c r="Q513">
        <f>IF(AND(B513="office",E513="budget_probe",ISNUMBER(F513)),F513,"")</f>
        <v/>
      </c>
      <c r="R513">
        <f>IF(AND(B513="brand",E513="budget_probe",ISNUMBER(F513)),F513,"")</f>
        <v/>
      </c>
    </row>
    <row r="514">
      <c r="A514" s="91" t="n"/>
      <c r="B514" s="92" t="n"/>
      <c r="C514" s="92" t="n"/>
      <c r="D514" s="92" t="n"/>
      <c r="E514" s="92" t="n"/>
      <c r="F514" s="92" t="n"/>
      <c r="G514" s="92" t="n"/>
      <c r="H514" s="92" t="n"/>
      <c r="I514" s="92" t="n"/>
      <c r="K514">
        <f>IF(C514="","",IF(COUNTIFS(C$5:C514,C514,E$5:E514,E514)=1,1,0))</f>
        <v/>
      </c>
      <c r="L514">
        <f>IF(C514="",0,IF(AND(B514="brand",E514="budget_probe",N(F514)&gt;=Inputs!$C$114,H514="Y"),1,0))</f>
        <v/>
      </c>
      <c r="M514">
        <f>IF(L514=1,IF(COUNTIFS(C$5:C514,C514,L$5:L514,1)=1,1,0),0)</f>
        <v/>
      </c>
      <c r="N514">
        <f>IF(C514="",0,IF(AND(B514="office",E514="budget_probe",N(F514)&gt;=Inputs!$C$129),1,0))</f>
        <v/>
      </c>
      <c r="O514">
        <f>IF(N514=1,IF(COUNTIFS(C$5:C514,C514,N$5:N514,1)=1,1,0),0)</f>
        <v/>
      </c>
      <c r="P514">
        <f>IF(C514="",0,IF(AND(B514="brand",E514="renewal_answer",N(F514)&gt;=Inputs!$C$125),1,0))</f>
        <v/>
      </c>
      <c r="Q514">
        <f>IF(AND(B514="office",E514="budget_probe",ISNUMBER(F514)),F514,"")</f>
        <v/>
      </c>
      <c r="R514">
        <f>IF(AND(B514="brand",E514="budget_probe",ISNUMBER(F514)),F514,"")</f>
        <v/>
      </c>
    </row>
    <row r="515">
      <c r="A515" s="91" t="n"/>
      <c r="B515" s="92" t="n"/>
      <c r="C515" s="92" t="n"/>
      <c r="D515" s="92" t="n"/>
      <c r="E515" s="92" t="n"/>
      <c r="F515" s="92" t="n"/>
      <c r="G515" s="92" t="n"/>
      <c r="H515" s="92" t="n"/>
      <c r="I515" s="92" t="n"/>
      <c r="K515">
        <f>IF(C515="","",IF(COUNTIFS(C$5:C515,C515,E$5:E515,E515)=1,1,0))</f>
        <v/>
      </c>
      <c r="L515">
        <f>IF(C515="",0,IF(AND(B515="brand",E515="budget_probe",N(F515)&gt;=Inputs!$C$114,H515="Y"),1,0))</f>
        <v/>
      </c>
      <c r="M515">
        <f>IF(L515=1,IF(COUNTIFS(C$5:C515,C515,L$5:L515,1)=1,1,0),0)</f>
        <v/>
      </c>
      <c r="N515">
        <f>IF(C515="",0,IF(AND(B515="office",E515="budget_probe",N(F515)&gt;=Inputs!$C$129),1,0))</f>
        <v/>
      </c>
      <c r="O515">
        <f>IF(N515=1,IF(COUNTIFS(C$5:C515,C515,N$5:N515,1)=1,1,0),0)</f>
        <v/>
      </c>
      <c r="P515">
        <f>IF(C515="",0,IF(AND(B515="brand",E515="renewal_answer",N(F515)&gt;=Inputs!$C$125),1,0))</f>
        <v/>
      </c>
      <c r="Q515">
        <f>IF(AND(B515="office",E515="budget_probe",ISNUMBER(F515)),F515,"")</f>
        <v/>
      </c>
      <c r="R515">
        <f>IF(AND(B515="brand",E515="budget_probe",ISNUMBER(F515)),F515,"")</f>
        <v/>
      </c>
    </row>
    <row r="516">
      <c r="A516" s="91" t="n"/>
      <c r="B516" s="92" t="n"/>
      <c r="C516" s="92" t="n"/>
      <c r="D516" s="92" t="n"/>
      <c r="E516" s="92" t="n"/>
      <c r="F516" s="92" t="n"/>
      <c r="G516" s="92" t="n"/>
      <c r="H516" s="92" t="n"/>
      <c r="I516" s="92" t="n"/>
      <c r="K516">
        <f>IF(C516="","",IF(COUNTIFS(C$5:C516,C516,E$5:E516,E516)=1,1,0))</f>
        <v/>
      </c>
      <c r="L516">
        <f>IF(C516="",0,IF(AND(B516="brand",E516="budget_probe",N(F516)&gt;=Inputs!$C$114,H516="Y"),1,0))</f>
        <v/>
      </c>
      <c r="M516">
        <f>IF(L516=1,IF(COUNTIFS(C$5:C516,C516,L$5:L516,1)=1,1,0),0)</f>
        <v/>
      </c>
      <c r="N516">
        <f>IF(C516="",0,IF(AND(B516="office",E516="budget_probe",N(F516)&gt;=Inputs!$C$129),1,0))</f>
        <v/>
      </c>
      <c r="O516">
        <f>IF(N516=1,IF(COUNTIFS(C$5:C516,C516,N$5:N516,1)=1,1,0),0)</f>
        <v/>
      </c>
      <c r="P516">
        <f>IF(C516="",0,IF(AND(B516="brand",E516="renewal_answer",N(F516)&gt;=Inputs!$C$125),1,0))</f>
        <v/>
      </c>
      <c r="Q516">
        <f>IF(AND(B516="office",E516="budget_probe",ISNUMBER(F516)),F516,"")</f>
        <v/>
      </c>
      <c r="R516">
        <f>IF(AND(B516="brand",E516="budget_probe",ISNUMBER(F516)),F516,"")</f>
        <v/>
      </c>
    </row>
    <row r="517">
      <c r="A517" s="91" t="n"/>
      <c r="B517" s="92" t="n"/>
      <c r="C517" s="92" t="n"/>
      <c r="D517" s="92" t="n"/>
      <c r="E517" s="92" t="n"/>
      <c r="F517" s="92" t="n"/>
      <c r="G517" s="92" t="n"/>
      <c r="H517" s="92" t="n"/>
      <c r="I517" s="92" t="n"/>
      <c r="K517">
        <f>IF(C517="","",IF(COUNTIFS(C$5:C517,C517,E$5:E517,E517)=1,1,0))</f>
        <v/>
      </c>
      <c r="L517">
        <f>IF(C517="",0,IF(AND(B517="brand",E517="budget_probe",N(F517)&gt;=Inputs!$C$114,H517="Y"),1,0))</f>
        <v/>
      </c>
      <c r="M517">
        <f>IF(L517=1,IF(COUNTIFS(C$5:C517,C517,L$5:L517,1)=1,1,0),0)</f>
        <v/>
      </c>
      <c r="N517">
        <f>IF(C517="",0,IF(AND(B517="office",E517="budget_probe",N(F517)&gt;=Inputs!$C$129),1,0))</f>
        <v/>
      </c>
      <c r="O517">
        <f>IF(N517=1,IF(COUNTIFS(C$5:C517,C517,N$5:N517,1)=1,1,0),0)</f>
        <v/>
      </c>
      <c r="P517">
        <f>IF(C517="",0,IF(AND(B517="brand",E517="renewal_answer",N(F517)&gt;=Inputs!$C$125),1,0))</f>
        <v/>
      </c>
      <c r="Q517">
        <f>IF(AND(B517="office",E517="budget_probe",ISNUMBER(F517)),F517,"")</f>
        <v/>
      </c>
      <c r="R517">
        <f>IF(AND(B517="brand",E517="budget_probe",ISNUMBER(F517)),F517,"")</f>
        <v/>
      </c>
    </row>
    <row r="518">
      <c r="A518" s="91" t="n"/>
      <c r="B518" s="92" t="n"/>
      <c r="C518" s="92" t="n"/>
      <c r="D518" s="92" t="n"/>
      <c r="E518" s="92" t="n"/>
      <c r="F518" s="92" t="n"/>
      <c r="G518" s="92" t="n"/>
      <c r="H518" s="92" t="n"/>
      <c r="I518" s="92" t="n"/>
      <c r="K518">
        <f>IF(C518="","",IF(COUNTIFS(C$5:C518,C518,E$5:E518,E518)=1,1,0))</f>
        <v/>
      </c>
      <c r="L518">
        <f>IF(C518="",0,IF(AND(B518="brand",E518="budget_probe",N(F518)&gt;=Inputs!$C$114,H518="Y"),1,0))</f>
        <v/>
      </c>
      <c r="M518">
        <f>IF(L518=1,IF(COUNTIFS(C$5:C518,C518,L$5:L518,1)=1,1,0),0)</f>
        <v/>
      </c>
      <c r="N518">
        <f>IF(C518="",0,IF(AND(B518="office",E518="budget_probe",N(F518)&gt;=Inputs!$C$129),1,0))</f>
        <v/>
      </c>
      <c r="O518">
        <f>IF(N518=1,IF(COUNTIFS(C$5:C518,C518,N$5:N518,1)=1,1,0),0)</f>
        <v/>
      </c>
      <c r="P518">
        <f>IF(C518="",0,IF(AND(B518="brand",E518="renewal_answer",N(F518)&gt;=Inputs!$C$125),1,0))</f>
        <v/>
      </c>
      <c r="Q518">
        <f>IF(AND(B518="office",E518="budget_probe",ISNUMBER(F518)),F518,"")</f>
        <v/>
      </c>
      <c r="R518">
        <f>IF(AND(B518="brand",E518="budget_probe",ISNUMBER(F518)),F518,"")</f>
        <v/>
      </c>
    </row>
    <row r="519">
      <c r="A519" s="91" t="n"/>
      <c r="B519" s="92" t="n"/>
      <c r="C519" s="92" t="n"/>
      <c r="D519" s="92" t="n"/>
      <c r="E519" s="92" t="n"/>
      <c r="F519" s="92" t="n"/>
      <c r="G519" s="92" t="n"/>
      <c r="H519" s="92" t="n"/>
      <c r="I519" s="92" t="n"/>
      <c r="K519">
        <f>IF(C519="","",IF(COUNTIFS(C$5:C519,C519,E$5:E519,E519)=1,1,0))</f>
        <v/>
      </c>
      <c r="L519">
        <f>IF(C519="",0,IF(AND(B519="brand",E519="budget_probe",N(F519)&gt;=Inputs!$C$114,H519="Y"),1,0))</f>
        <v/>
      </c>
      <c r="M519">
        <f>IF(L519=1,IF(COUNTIFS(C$5:C519,C519,L$5:L519,1)=1,1,0),0)</f>
        <v/>
      </c>
      <c r="N519">
        <f>IF(C519="",0,IF(AND(B519="office",E519="budget_probe",N(F519)&gt;=Inputs!$C$129),1,0))</f>
        <v/>
      </c>
      <c r="O519">
        <f>IF(N519=1,IF(COUNTIFS(C$5:C519,C519,N$5:N519,1)=1,1,0),0)</f>
        <v/>
      </c>
      <c r="P519">
        <f>IF(C519="",0,IF(AND(B519="brand",E519="renewal_answer",N(F519)&gt;=Inputs!$C$125),1,0))</f>
        <v/>
      </c>
      <c r="Q519">
        <f>IF(AND(B519="office",E519="budget_probe",ISNUMBER(F519)),F519,"")</f>
        <v/>
      </c>
      <c r="R519">
        <f>IF(AND(B519="brand",E519="budget_probe",ISNUMBER(F519)),F519,"")</f>
        <v/>
      </c>
    </row>
    <row r="520">
      <c r="A520" s="91" t="n"/>
      <c r="B520" s="92" t="n"/>
      <c r="C520" s="92" t="n"/>
      <c r="D520" s="92" t="n"/>
      <c r="E520" s="92" t="n"/>
      <c r="F520" s="92" t="n"/>
      <c r="G520" s="92" t="n"/>
      <c r="H520" s="92" t="n"/>
      <c r="I520" s="92" t="n"/>
      <c r="K520">
        <f>IF(C520="","",IF(COUNTIFS(C$5:C520,C520,E$5:E520,E520)=1,1,0))</f>
        <v/>
      </c>
      <c r="L520">
        <f>IF(C520="",0,IF(AND(B520="brand",E520="budget_probe",N(F520)&gt;=Inputs!$C$114,H520="Y"),1,0))</f>
        <v/>
      </c>
      <c r="M520">
        <f>IF(L520=1,IF(COUNTIFS(C$5:C520,C520,L$5:L520,1)=1,1,0),0)</f>
        <v/>
      </c>
      <c r="N520">
        <f>IF(C520="",0,IF(AND(B520="office",E520="budget_probe",N(F520)&gt;=Inputs!$C$129),1,0))</f>
        <v/>
      </c>
      <c r="O520">
        <f>IF(N520=1,IF(COUNTIFS(C$5:C520,C520,N$5:N520,1)=1,1,0),0)</f>
        <v/>
      </c>
      <c r="P520">
        <f>IF(C520="",0,IF(AND(B520="brand",E520="renewal_answer",N(F520)&gt;=Inputs!$C$125),1,0))</f>
        <v/>
      </c>
      <c r="Q520">
        <f>IF(AND(B520="office",E520="budget_probe",ISNUMBER(F520)),F520,"")</f>
        <v/>
      </c>
      <c r="R520">
        <f>IF(AND(B520="brand",E520="budget_probe",ISNUMBER(F520)),F520,"")</f>
        <v/>
      </c>
    </row>
    <row r="521">
      <c r="A521" s="91" t="n"/>
      <c r="B521" s="92" t="n"/>
      <c r="C521" s="92" t="n"/>
      <c r="D521" s="92" t="n"/>
      <c r="E521" s="92" t="n"/>
      <c r="F521" s="92" t="n"/>
      <c r="G521" s="92" t="n"/>
      <c r="H521" s="92" t="n"/>
      <c r="I521" s="92" t="n"/>
      <c r="K521">
        <f>IF(C521="","",IF(COUNTIFS(C$5:C521,C521,E$5:E521,E521)=1,1,0))</f>
        <v/>
      </c>
      <c r="L521">
        <f>IF(C521="",0,IF(AND(B521="brand",E521="budget_probe",N(F521)&gt;=Inputs!$C$114,H521="Y"),1,0))</f>
        <v/>
      </c>
      <c r="M521">
        <f>IF(L521=1,IF(COUNTIFS(C$5:C521,C521,L$5:L521,1)=1,1,0),0)</f>
        <v/>
      </c>
      <c r="N521">
        <f>IF(C521="",0,IF(AND(B521="office",E521="budget_probe",N(F521)&gt;=Inputs!$C$129),1,0))</f>
        <v/>
      </c>
      <c r="O521">
        <f>IF(N521=1,IF(COUNTIFS(C$5:C521,C521,N$5:N521,1)=1,1,0),0)</f>
        <v/>
      </c>
      <c r="P521">
        <f>IF(C521="",0,IF(AND(B521="brand",E521="renewal_answer",N(F521)&gt;=Inputs!$C$125),1,0))</f>
        <v/>
      </c>
      <c r="Q521">
        <f>IF(AND(B521="office",E521="budget_probe",ISNUMBER(F521)),F521,"")</f>
        <v/>
      </c>
      <c r="R521">
        <f>IF(AND(B521="brand",E521="budget_probe",ISNUMBER(F521)),F521,"")</f>
        <v/>
      </c>
    </row>
    <row r="522">
      <c r="A522" s="91" t="n"/>
      <c r="B522" s="92" t="n"/>
      <c r="C522" s="92" t="n"/>
      <c r="D522" s="92" t="n"/>
      <c r="E522" s="92" t="n"/>
      <c r="F522" s="92" t="n"/>
      <c r="G522" s="92" t="n"/>
      <c r="H522" s="92" t="n"/>
      <c r="I522" s="92" t="n"/>
      <c r="K522">
        <f>IF(C522="","",IF(COUNTIFS(C$5:C522,C522,E$5:E522,E522)=1,1,0))</f>
        <v/>
      </c>
      <c r="L522">
        <f>IF(C522="",0,IF(AND(B522="brand",E522="budget_probe",N(F522)&gt;=Inputs!$C$114,H522="Y"),1,0))</f>
        <v/>
      </c>
      <c r="M522">
        <f>IF(L522=1,IF(COUNTIFS(C$5:C522,C522,L$5:L522,1)=1,1,0),0)</f>
        <v/>
      </c>
      <c r="N522">
        <f>IF(C522="",0,IF(AND(B522="office",E522="budget_probe",N(F522)&gt;=Inputs!$C$129),1,0))</f>
        <v/>
      </c>
      <c r="O522">
        <f>IF(N522=1,IF(COUNTIFS(C$5:C522,C522,N$5:N522,1)=1,1,0),0)</f>
        <v/>
      </c>
      <c r="P522">
        <f>IF(C522="",0,IF(AND(B522="brand",E522="renewal_answer",N(F522)&gt;=Inputs!$C$125),1,0))</f>
        <v/>
      </c>
      <c r="Q522">
        <f>IF(AND(B522="office",E522="budget_probe",ISNUMBER(F522)),F522,"")</f>
        <v/>
      </c>
      <c r="R522">
        <f>IF(AND(B522="brand",E522="budget_probe",ISNUMBER(F522)),F522,"")</f>
        <v/>
      </c>
    </row>
    <row r="523">
      <c r="A523" s="91" t="n"/>
      <c r="B523" s="92" t="n"/>
      <c r="C523" s="92" t="n"/>
      <c r="D523" s="92" t="n"/>
      <c r="E523" s="92" t="n"/>
      <c r="F523" s="92" t="n"/>
      <c r="G523" s="92" t="n"/>
      <c r="H523" s="92" t="n"/>
      <c r="I523" s="92" t="n"/>
      <c r="K523">
        <f>IF(C523="","",IF(COUNTIFS(C$5:C523,C523,E$5:E523,E523)=1,1,0))</f>
        <v/>
      </c>
      <c r="L523">
        <f>IF(C523="",0,IF(AND(B523="brand",E523="budget_probe",N(F523)&gt;=Inputs!$C$114,H523="Y"),1,0))</f>
        <v/>
      </c>
      <c r="M523">
        <f>IF(L523=1,IF(COUNTIFS(C$5:C523,C523,L$5:L523,1)=1,1,0),0)</f>
        <v/>
      </c>
      <c r="N523">
        <f>IF(C523="",0,IF(AND(B523="office",E523="budget_probe",N(F523)&gt;=Inputs!$C$129),1,0))</f>
        <v/>
      </c>
      <c r="O523">
        <f>IF(N523=1,IF(COUNTIFS(C$5:C523,C523,N$5:N523,1)=1,1,0),0)</f>
        <v/>
      </c>
      <c r="P523">
        <f>IF(C523="",0,IF(AND(B523="brand",E523="renewal_answer",N(F523)&gt;=Inputs!$C$125),1,0))</f>
        <v/>
      </c>
      <c r="Q523">
        <f>IF(AND(B523="office",E523="budget_probe",ISNUMBER(F523)),F523,"")</f>
        <v/>
      </c>
      <c r="R523">
        <f>IF(AND(B523="brand",E523="budget_probe",ISNUMBER(F523)),F523,"")</f>
        <v/>
      </c>
    </row>
    <row r="524">
      <c r="A524" s="91" t="n"/>
      <c r="B524" s="92" t="n"/>
      <c r="C524" s="92" t="n"/>
      <c r="D524" s="92" t="n"/>
      <c r="E524" s="92" t="n"/>
      <c r="F524" s="92" t="n"/>
      <c r="G524" s="92" t="n"/>
      <c r="H524" s="92" t="n"/>
      <c r="I524" s="92" t="n"/>
      <c r="K524">
        <f>IF(C524="","",IF(COUNTIFS(C$5:C524,C524,E$5:E524,E524)=1,1,0))</f>
        <v/>
      </c>
      <c r="L524">
        <f>IF(C524="",0,IF(AND(B524="brand",E524="budget_probe",N(F524)&gt;=Inputs!$C$114,H524="Y"),1,0))</f>
        <v/>
      </c>
      <c r="M524">
        <f>IF(L524=1,IF(COUNTIFS(C$5:C524,C524,L$5:L524,1)=1,1,0),0)</f>
        <v/>
      </c>
      <c r="N524">
        <f>IF(C524="",0,IF(AND(B524="office",E524="budget_probe",N(F524)&gt;=Inputs!$C$129),1,0))</f>
        <v/>
      </c>
      <c r="O524">
        <f>IF(N524=1,IF(COUNTIFS(C$5:C524,C524,N$5:N524,1)=1,1,0),0)</f>
        <v/>
      </c>
      <c r="P524">
        <f>IF(C524="",0,IF(AND(B524="brand",E524="renewal_answer",N(F524)&gt;=Inputs!$C$125),1,0))</f>
        <v/>
      </c>
      <c r="Q524">
        <f>IF(AND(B524="office",E524="budget_probe",ISNUMBER(F524)),F524,"")</f>
        <v/>
      </c>
      <c r="R524">
        <f>IF(AND(B524="brand",E524="budget_probe",ISNUMBER(F524)),F524,"")</f>
        <v/>
      </c>
    </row>
    <row r="525">
      <c r="A525" s="91" t="n"/>
      <c r="B525" s="92" t="n"/>
      <c r="C525" s="92" t="n"/>
      <c r="D525" s="92" t="n"/>
      <c r="E525" s="92" t="n"/>
      <c r="F525" s="92" t="n"/>
      <c r="G525" s="92" t="n"/>
      <c r="H525" s="92" t="n"/>
      <c r="I525" s="92" t="n"/>
      <c r="K525">
        <f>IF(C525="","",IF(COUNTIFS(C$5:C525,C525,E$5:E525,E525)=1,1,0))</f>
        <v/>
      </c>
      <c r="L525">
        <f>IF(C525="",0,IF(AND(B525="brand",E525="budget_probe",N(F525)&gt;=Inputs!$C$114,H525="Y"),1,0))</f>
        <v/>
      </c>
      <c r="M525">
        <f>IF(L525=1,IF(COUNTIFS(C$5:C525,C525,L$5:L525,1)=1,1,0),0)</f>
        <v/>
      </c>
      <c r="N525">
        <f>IF(C525="",0,IF(AND(B525="office",E525="budget_probe",N(F525)&gt;=Inputs!$C$129),1,0))</f>
        <v/>
      </c>
      <c r="O525">
        <f>IF(N525=1,IF(COUNTIFS(C$5:C525,C525,N$5:N525,1)=1,1,0),0)</f>
        <v/>
      </c>
      <c r="P525">
        <f>IF(C525="",0,IF(AND(B525="brand",E525="renewal_answer",N(F525)&gt;=Inputs!$C$125),1,0))</f>
        <v/>
      </c>
      <c r="Q525">
        <f>IF(AND(B525="office",E525="budget_probe",ISNUMBER(F525)),F525,"")</f>
        <v/>
      </c>
      <c r="R525">
        <f>IF(AND(B525="brand",E525="budget_probe",ISNUMBER(F525)),F525,"")</f>
        <v/>
      </c>
    </row>
    <row r="526">
      <c r="A526" s="91" t="n"/>
      <c r="B526" s="92" t="n"/>
      <c r="C526" s="92" t="n"/>
      <c r="D526" s="92" t="n"/>
      <c r="E526" s="92" t="n"/>
      <c r="F526" s="92" t="n"/>
      <c r="G526" s="92" t="n"/>
      <c r="H526" s="92" t="n"/>
      <c r="I526" s="92" t="n"/>
      <c r="K526">
        <f>IF(C526="","",IF(COUNTIFS(C$5:C526,C526,E$5:E526,E526)=1,1,0))</f>
        <v/>
      </c>
      <c r="L526">
        <f>IF(C526="",0,IF(AND(B526="brand",E526="budget_probe",N(F526)&gt;=Inputs!$C$114,H526="Y"),1,0))</f>
        <v/>
      </c>
      <c r="M526">
        <f>IF(L526=1,IF(COUNTIFS(C$5:C526,C526,L$5:L526,1)=1,1,0),0)</f>
        <v/>
      </c>
      <c r="N526">
        <f>IF(C526="",0,IF(AND(B526="office",E526="budget_probe",N(F526)&gt;=Inputs!$C$129),1,0))</f>
        <v/>
      </c>
      <c r="O526">
        <f>IF(N526=1,IF(COUNTIFS(C$5:C526,C526,N$5:N526,1)=1,1,0),0)</f>
        <v/>
      </c>
      <c r="P526">
        <f>IF(C526="",0,IF(AND(B526="brand",E526="renewal_answer",N(F526)&gt;=Inputs!$C$125),1,0))</f>
        <v/>
      </c>
      <c r="Q526">
        <f>IF(AND(B526="office",E526="budget_probe",ISNUMBER(F526)),F526,"")</f>
        <v/>
      </c>
      <c r="R526">
        <f>IF(AND(B526="brand",E526="budget_probe",ISNUMBER(F526)),F526,"")</f>
        <v/>
      </c>
    </row>
    <row r="527">
      <c r="A527" s="91" t="n"/>
      <c r="B527" s="92" t="n"/>
      <c r="C527" s="92" t="n"/>
      <c r="D527" s="92" t="n"/>
      <c r="E527" s="92" t="n"/>
      <c r="F527" s="92" t="n"/>
      <c r="G527" s="92" t="n"/>
      <c r="H527" s="92" t="n"/>
      <c r="I527" s="92" t="n"/>
      <c r="K527">
        <f>IF(C527="","",IF(COUNTIFS(C$5:C527,C527,E$5:E527,E527)=1,1,0))</f>
        <v/>
      </c>
      <c r="L527">
        <f>IF(C527="",0,IF(AND(B527="brand",E527="budget_probe",N(F527)&gt;=Inputs!$C$114,H527="Y"),1,0))</f>
        <v/>
      </c>
      <c r="M527">
        <f>IF(L527=1,IF(COUNTIFS(C$5:C527,C527,L$5:L527,1)=1,1,0),0)</f>
        <v/>
      </c>
      <c r="N527">
        <f>IF(C527="",0,IF(AND(B527="office",E527="budget_probe",N(F527)&gt;=Inputs!$C$129),1,0))</f>
        <v/>
      </c>
      <c r="O527">
        <f>IF(N527=1,IF(COUNTIFS(C$5:C527,C527,N$5:N527,1)=1,1,0),0)</f>
        <v/>
      </c>
      <c r="P527">
        <f>IF(C527="",0,IF(AND(B527="brand",E527="renewal_answer",N(F527)&gt;=Inputs!$C$125),1,0))</f>
        <v/>
      </c>
      <c r="Q527">
        <f>IF(AND(B527="office",E527="budget_probe",ISNUMBER(F527)),F527,"")</f>
        <v/>
      </c>
      <c r="R527">
        <f>IF(AND(B527="brand",E527="budget_probe",ISNUMBER(F527)),F527,"")</f>
        <v/>
      </c>
    </row>
    <row r="528">
      <c r="A528" s="91" t="n"/>
      <c r="B528" s="92" t="n"/>
      <c r="C528" s="92" t="n"/>
      <c r="D528" s="92" t="n"/>
      <c r="E528" s="92" t="n"/>
      <c r="F528" s="92" t="n"/>
      <c r="G528" s="92" t="n"/>
      <c r="H528" s="92" t="n"/>
      <c r="I528" s="92" t="n"/>
      <c r="K528">
        <f>IF(C528="","",IF(COUNTIFS(C$5:C528,C528,E$5:E528,E528)=1,1,0))</f>
        <v/>
      </c>
      <c r="L528">
        <f>IF(C528="",0,IF(AND(B528="brand",E528="budget_probe",N(F528)&gt;=Inputs!$C$114,H528="Y"),1,0))</f>
        <v/>
      </c>
      <c r="M528">
        <f>IF(L528=1,IF(COUNTIFS(C$5:C528,C528,L$5:L528,1)=1,1,0),0)</f>
        <v/>
      </c>
      <c r="N528">
        <f>IF(C528="",0,IF(AND(B528="office",E528="budget_probe",N(F528)&gt;=Inputs!$C$129),1,0))</f>
        <v/>
      </c>
      <c r="O528">
        <f>IF(N528=1,IF(COUNTIFS(C$5:C528,C528,N$5:N528,1)=1,1,0),0)</f>
        <v/>
      </c>
      <c r="P528">
        <f>IF(C528="",0,IF(AND(B528="brand",E528="renewal_answer",N(F528)&gt;=Inputs!$C$125),1,0))</f>
        <v/>
      </c>
      <c r="Q528">
        <f>IF(AND(B528="office",E528="budget_probe",ISNUMBER(F528)),F528,"")</f>
        <v/>
      </c>
      <c r="R528">
        <f>IF(AND(B528="brand",E528="budget_probe",ISNUMBER(F528)),F528,"")</f>
        <v/>
      </c>
    </row>
    <row r="529">
      <c r="A529" s="91" t="n"/>
      <c r="B529" s="92" t="n"/>
      <c r="C529" s="92" t="n"/>
      <c r="D529" s="92" t="n"/>
      <c r="E529" s="92" t="n"/>
      <c r="F529" s="92" t="n"/>
      <c r="G529" s="92" t="n"/>
      <c r="H529" s="92" t="n"/>
      <c r="I529" s="92" t="n"/>
      <c r="K529">
        <f>IF(C529="","",IF(COUNTIFS(C$5:C529,C529,E$5:E529,E529)=1,1,0))</f>
        <v/>
      </c>
      <c r="L529">
        <f>IF(C529="",0,IF(AND(B529="brand",E529="budget_probe",N(F529)&gt;=Inputs!$C$114,H529="Y"),1,0))</f>
        <v/>
      </c>
      <c r="M529">
        <f>IF(L529=1,IF(COUNTIFS(C$5:C529,C529,L$5:L529,1)=1,1,0),0)</f>
        <v/>
      </c>
      <c r="N529">
        <f>IF(C529="",0,IF(AND(B529="office",E529="budget_probe",N(F529)&gt;=Inputs!$C$129),1,0))</f>
        <v/>
      </c>
      <c r="O529">
        <f>IF(N529=1,IF(COUNTIFS(C$5:C529,C529,N$5:N529,1)=1,1,0),0)</f>
        <v/>
      </c>
      <c r="P529">
        <f>IF(C529="",0,IF(AND(B529="brand",E529="renewal_answer",N(F529)&gt;=Inputs!$C$125),1,0))</f>
        <v/>
      </c>
      <c r="Q529">
        <f>IF(AND(B529="office",E529="budget_probe",ISNUMBER(F529)),F529,"")</f>
        <v/>
      </c>
      <c r="R529">
        <f>IF(AND(B529="brand",E529="budget_probe",ISNUMBER(F529)),F529,"")</f>
        <v/>
      </c>
    </row>
    <row r="530">
      <c r="A530" s="91" t="n"/>
      <c r="B530" s="92" t="n"/>
      <c r="C530" s="92" t="n"/>
      <c r="D530" s="92" t="n"/>
      <c r="E530" s="92" t="n"/>
      <c r="F530" s="92" t="n"/>
      <c r="G530" s="92" t="n"/>
      <c r="H530" s="92" t="n"/>
      <c r="I530" s="92" t="n"/>
      <c r="K530">
        <f>IF(C530="","",IF(COUNTIFS(C$5:C530,C530,E$5:E530,E530)=1,1,0))</f>
        <v/>
      </c>
      <c r="L530">
        <f>IF(C530="",0,IF(AND(B530="brand",E530="budget_probe",N(F530)&gt;=Inputs!$C$114,H530="Y"),1,0))</f>
        <v/>
      </c>
      <c r="M530">
        <f>IF(L530=1,IF(COUNTIFS(C$5:C530,C530,L$5:L530,1)=1,1,0),0)</f>
        <v/>
      </c>
      <c r="N530">
        <f>IF(C530="",0,IF(AND(B530="office",E530="budget_probe",N(F530)&gt;=Inputs!$C$129),1,0))</f>
        <v/>
      </c>
      <c r="O530">
        <f>IF(N530=1,IF(COUNTIFS(C$5:C530,C530,N$5:N530,1)=1,1,0),0)</f>
        <v/>
      </c>
      <c r="P530">
        <f>IF(C530="",0,IF(AND(B530="brand",E530="renewal_answer",N(F530)&gt;=Inputs!$C$125),1,0))</f>
        <v/>
      </c>
      <c r="Q530">
        <f>IF(AND(B530="office",E530="budget_probe",ISNUMBER(F530)),F530,"")</f>
        <v/>
      </c>
      <c r="R530">
        <f>IF(AND(B530="brand",E530="budget_probe",ISNUMBER(F530)),F530,"")</f>
        <v/>
      </c>
    </row>
    <row r="531">
      <c r="A531" s="91" t="n"/>
      <c r="B531" s="92" t="n"/>
      <c r="C531" s="92" t="n"/>
      <c r="D531" s="92" t="n"/>
      <c r="E531" s="92" t="n"/>
      <c r="F531" s="92" t="n"/>
      <c r="G531" s="92" t="n"/>
      <c r="H531" s="92" t="n"/>
      <c r="I531" s="92" t="n"/>
      <c r="K531">
        <f>IF(C531="","",IF(COUNTIFS(C$5:C531,C531,E$5:E531,E531)=1,1,0))</f>
        <v/>
      </c>
      <c r="L531">
        <f>IF(C531="",0,IF(AND(B531="brand",E531="budget_probe",N(F531)&gt;=Inputs!$C$114,H531="Y"),1,0))</f>
        <v/>
      </c>
      <c r="M531">
        <f>IF(L531=1,IF(COUNTIFS(C$5:C531,C531,L$5:L531,1)=1,1,0),0)</f>
        <v/>
      </c>
      <c r="N531">
        <f>IF(C531="",0,IF(AND(B531="office",E531="budget_probe",N(F531)&gt;=Inputs!$C$129),1,0))</f>
        <v/>
      </c>
      <c r="O531">
        <f>IF(N531=1,IF(COUNTIFS(C$5:C531,C531,N$5:N531,1)=1,1,0),0)</f>
        <v/>
      </c>
      <c r="P531">
        <f>IF(C531="",0,IF(AND(B531="brand",E531="renewal_answer",N(F531)&gt;=Inputs!$C$125),1,0))</f>
        <v/>
      </c>
      <c r="Q531">
        <f>IF(AND(B531="office",E531="budget_probe",ISNUMBER(F531)),F531,"")</f>
        <v/>
      </c>
      <c r="R531">
        <f>IF(AND(B531="brand",E531="budget_probe",ISNUMBER(F531)),F531,"")</f>
        <v/>
      </c>
    </row>
    <row r="532">
      <c r="A532" s="91" t="n"/>
      <c r="B532" s="92" t="n"/>
      <c r="C532" s="92" t="n"/>
      <c r="D532" s="92" t="n"/>
      <c r="E532" s="92" t="n"/>
      <c r="F532" s="92" t="n"/>
      <c r="G532" s="92" t="n"/>
      <c r="H532" s="92" t="n"/>
      <c r="I532" s="92" t="n"/>
      <c r="K532">
        <f>IF(C532="","",IF(COUNTIFS(C$5:C532,C532,E$5:E532,E532)=1,1,0))</f>
        <v/>
      </c>
      <c r="L532">
        <f>IF(C532="",0,IF(AND(B532="brand",E532="budget_probe",N(F532)&gt;=Inputs!$C$114,H532="Y"),1,0))</f>
        <v/>
      </c>
      <c r="M532">
        <f>IF(L532=1,IF(COUNTIFS(C$5:C532,C532,L$5:L532,1)=1,1,0),0)</f>
        <v/>
      </c>
      <c r="N532">
        <f>IF(C532="",0,IF(AND(B532="office",E532="budget_probe",N(F532)&gt;=Inputs!$C$129),1,0))</f>
        <v/>
      </c>
      <c r="O532">
        <f>IF(N532=1,IF(COUNTIFS(C$5:C532,C532,N$5:N532,1)=1,1,0),0)</f>
        <v/>
      </c>
      <c r="P532">
        <f>IF(C532="",0,IF(AND(B532="brand",E532="renewal_answer",N(F532)&gt;=Inputs!$C$125),1,0))</f>
        <v/>
      </c>
      <c r="Q532">
        <f>IF(AND(B532="office",E532="budget_probe",ISNUMBER(F532)),F532,"")</f>
        <v/>
      </c>
      <c r="R532">
        <f>IF(AND(B532="brand",E532="budget_probe",ISNUMBER(F532)),F532,"")</f>
        <v/>
      </c>
    </row>
    <row r="533">
      <c r="A533" s="91" t="n"/>
      <c r="B533" s="92" t="n"/>
      <c r="C533" s="92" t="n"/>
      <c r="D533" s="92" t="n"/>
      <c r="E533" s="92" t="n"/>
      <c r="F533" s="92" t="n"/>
      <c r="G533" s="92" t="n"/>
      <c r="H533" s="92" t="n"/>
      <c r="I533" s="92" t="n"/>
      <c r="K533">
        <f>IF(C533="","",IF(COUNTIFS(C$5:C533,C533,E$5:E533,E533)=1,1,0))</f>
        <v/>
      </c>
      <c r="L533">
        <f>IF(C533="",0,IF(AND(B533="brand",E533="budget_probe",N(F533)&gt;=Inputs!$C$114,H533="Y"),1,0))</f>
        <v/>
      </c>
      <c r="M533">
        <f>IF(L533=1,IF(COUNTIFS(C$5:C533,C533,L$5:L533,1)=1,1,0),0)</f>
        <v/>
      </c>
      <c r="N533">
        <f>IF(C533="",0,IF(AND(B533="office",E533="budget_probe",N(F533)&gt;=Inputs!$C$129),1,0))</f>
        <v/>
      </c>
      <c r="O533">
        <f>IF(N533=1,IF(COUNTIFS(C$5:C533,C533,N$5:N533,1)=1,1,0),0)</f>
        <v/>
      </c>
      <c r="P533">
        <f>IF(C533="",0,IF(AND(B533="brand",E533="renewal_answer",N(F533)&gt;=Inputs!$C$125),1,0))</f>
        <v/>
      </c>
      <c r="Q533">
        <f>IF(AND(B533="office",E533="budget_probe",ISNUMBER(F533)),F533,"")</f>
        <v/>
      </c>
      <c r="R533">
        <f>IF(AND(B533="brand",E533="budget_probe",ISNUMBER(F533)),F533,"")</f>
        <v/>
      </c>
    </row>
    <row r="534">
      <c r="A534" s="91" t="n"/>
      <c r="B534" s="92" t="n"/>
      <c r="C534" s="92" t="n"/>
      <c r="D534" s="92" t="n"/>
      <c r="E534" s="92" t="n"/>
      <c r="F534" s="92" t="n"/>
      <c r="G534" s="92" t="n"/>
      <c r="H534" s="92" t="n"/>
      <c r="I534" s="92" t="n"/>
      <c r="K534">
        <f>IF(C534="","",IF(COUNTIFS(C$5:C534,C534,E$5:E534,E534)=1,1,0))</f>
        <v/>
      </c>
      <c r="L534">
        <f>IF(C534="",0,IF(AND(B534="brand",E534="budget_probe",N(F534)&gt;=Inputs!$C$114,H534="Y"),1,0))</f>
        <v/>
      </c>
      <c r="M534">
        <f>IF(L534=1,IF(COUNTIFS(C$5:C534,C534,L$5:L534,1)=1,1,0),0)</f>
        <v/>
      </c>
      <c r="N534">
        <f>IF(C534="",0,IF(AND(B534="office",E534="budget_probe",N(F534)&gt;=Inputs!$C$129),1,0))</f>
        <v/>
      </c>
      <c r="O534">
        <f>IF(N534=1,IF(COUNTIFS(C$5:C534,C534,N$5:N534,1)=1,1,0),0)</f>
        <v/>
      </c>
      <c r="P534">
        <f>IF(C534="",0,IF(AND(B534="brand",E534="renewal_answer",N(F534)&gt;=Inputs!$C$125),1,0))</f>
        <v/>
      </c>
      <c r="Q534">
        <f>IF(AND(B534="office",E534="budget_probe",ISNUMBER(F534)),F534,"")</f>
        <v/>
      </c>
      <c r="R534">
        <f>IF(AND(B534="brand",E534="budget_probe",ISNUMBER(F534)),F534,"")</f>
        <v/>
      </c>
    </row>
    <row r="535">
      <c r="A535" s="91" t="n"/>
      <c r="B535" s="92" t="n"/>
      <c r="C535" s="92" t="n"/>
      <c r="D535" s="92" t="n"/>
      <c r="E535" s="92" t="n"/>
      <c r="F535" s="92" t="n"/>
      <c r="G535" s="92" t="n"/>
      <c r="H535" s="92" t="n"/>
      <c r="I535" s="92" t="n"/>
      <c r="K535">
        <f>IF(C535="","",IF(COUNTIFS(C$5:C535,C535,E$5:E535,E535)=1,1,0))</f>
        <v/>
      </c>
      <c r="L535">
        <f>IF(C535="",0,IF(AND(B535="brand",E535="budget_probe",N(F535)&gt;=Inputs!$C$114,H535="Y"),1,0))</f>
        <v/>
      </c>
      <c r="M535">
        <f>IF(L535=1,IF(COUNTIFS(C$5:C535,C535,L$5:L535,1)=1,1,0),0)</f>
        <v/>
      </c>
      <c r="N535">
        <f>IF(C535="",0,IF(AND(B535="office",E535="budget_probe",N(F535)&gt;=Inputs!$C$129),1,0))</f>
        <v/>
      </c>
      <c r="O535">
        <f>IF(N535=1,IF(COUNTIFS(C$5:C535,C535,N$5:N535,1)=1,1,0),0)</f>
        <v/>
      </c>
      <c r="P535">
        <f>IF(C535="",0,IF(AND(B535="brand",E535="renewal_answer",N(F535)&gt;=Inputs!$C$125),1,0))</f>
        <v/>
      </c>
      <c r="Q535">
        <f>IF(AND(B535="office",E535="budget_probe",ISNUMBER(F535)),F535,"")</f>
        <v/>
      </c>
      <c r="R535">
        <f>IF(AND(B535="brand",E535="budget_probe",ISNUMBER(F535)),F535,"")</f>
        <v/>
      </c>
    </row>
    <row r="536">
      <c r="A536" s="91" t="n"/>
      <c r="B536" s="92" t="n"/>
      <c r="C536" s="92" t="n"/>
      <c r="D536" s="92" t="n"/>
      <c r="E536" s="92" t="n"/>
      <c r="F536" s="92" t="n"/>
      <c r="G536" s="92" t="n"/>
      <c r="H536" s="92" t="n"/>
      <c r="I536" s="92" t="n"/>
      <c r="K536">
        <f>IF(C536="","",IF(COUNTIFS(C$5:C536,C536,E$5:E536,E536)=1,1,0))</f>
        <v/>
      </c>
      <c r="L536">
        <f>IF(C536="",0,IF(AND(B536="brand",E536="budget_probe",N(F536)&gt;=Inputs!$C$114,H536="Y"),1,0))</f>
        <v/>
      </c>
      <c r="M536">
        <f>IF(L536=1,IF(COUNTIFS(C$5:C536,C536,L$5:L536,1)=1,1,0),0)</f>
        <v/>
      </c>
      <c r="N536">
        <f>IF(C536="",0,IF(AND(B536="office",E536="budget_probe",N(F536)&gt;=Inputs!$C$129),1,0))</f>
        <v/>
      </c>
      <c r="O536">
        <f>IF(N536=1,IF(COUNTIFS(C$5:C536,C536,N$5:N536,1)=1,1,0),0)</f>
        <v/>
      </c>
      <c r="P536">
        <f>IF(C536="",0,IF(AND(B536="brand",E536="renewal_answer",N(F536)&gt;=Inputs!$C$125),1,0))</f>
        <v/>
      </c>
      <c r="Q536">
        <f>IF(AND(B536="office",E536="budget_probe",ISNUMBER(F536)),F536,"")</f>
        <v/>
      </c>
      <c r="R536">
        <f>IF(AND(B536="brand",E536="budget_probe",ISNUMBER(F536)),F536,"")</f>
        <v/>
      </c>
    </row>
    <row r="537">
      <c r="A537" s="91" t="n"/>
      <c r="B537" s="92" t="n"/>
      <c r="C537" s="92" t="n"/>
      <c r="D537" s="92" t="n"/>
      <c r="E537" s="92" t="n"/>
      <c r="F537" s="92" t="n"/>
      <c r="G537" s="92" t="n"/>
      <c r="H537" s="92" t="n"/>
      <c r="I537" s="92" t="n"/>
      <c r="K537">
        <f>IF(C537="","",IF(COUNTIFS(C$5:C537,C537,E$5:E537,E537)=1,1,0))</f>
        <v/>
      </c>
      <c r="L537">
        <f>IF(C537="",0,IF(AND(B537="brand",E537="budget_probe",N(F537)&gt;=Inputs!$C$114,H537="Y"),1,0))</f>
        <v/>
      </c>
      <c r="M537">
        <f>IF(L537=1,IF(COUNTIFS(C$5:C537,C537,L$5:L537,1)=1,1,0),0)</f>
        <v/>
      </c>
      <c r="N537">
        <f>IF(C537="",0,IF(AND(B537="office",E537="budget_probe",N(F537)&gt;=Inputs!$C$129),1,0))</f>
        <v/>
      </c>
      <c r="O537">
        <f>IF(N537=1,IF(COUNTIFS(C$5:C537,C537,N$5:N537,1)=1,1,0),0)</f>
        <v/>
      </c>
      <c r="P537">
        <f>IF(C537="",0,IF(AND(B537="brand",E537="renewal_answer",N(F537)&gt;=Inputs!$C$125),1,0))</f>
        <v/>
      </c>
      <c r="Q537">
        <f>IF(AND(B537="office",E537="budget_probe",ISNUMBER(F537)),F537,"")</f>
        <v/>
      </c>
      <c r="R537">
        <f>IF(AND(B537="brand",E537="budget_probe",ISNUMBER(F537)),F537,"")</f>
        <v/>
      </c>
    </row>
    <row r="538">
      <c r="A538" s="91" t="n"/>
      <c r="B538" s="92" t="n"/>
      <c r="C538" s="92" t="n"/>
      <c r="D538" s="92" t="n"/>
      <c r="E538" s="92" t="n"/>
      <c r="F538" s="92" t="n"/>
      <c r="G538" s="92" t="n"/>
      <c r="H538" s="92" t="n"/>
      <c r="I538" s="92" t="n"/>
      <c r="K538">
        <f>IF(C538="","",IF(COUNTIFS(C$5:C538,C538,E$5:E538,E538)=1,1,0))</f>
        <v/>
      </c>
      <c r="L538">
        <f>IF(C538="",0,IF(AND(B538="brand",E538="budget_probe",N(F538)&gt;=Inputs!$C$114,H538="Y"),1,0))</f>
        <v/>
      </c>
      <c r="M538">
        <f>IF(L538=1,IF(COUNTIFS(C$5:C538,C538,L$5:L538,1)=1,1,0),0)</f>
        <v/>
      </c>
      <c r="N538">
        <f>IF(C538="",0,IF(AND(B538="office",E538="budget_probe",N(F538)&gt;=Inputs!$C$129),1,0))</f>
        <v/>
      </c>
      <c r="O538">
        <f>IF(N538=1,IF(COUNTIFS(C$5:C538,C538,N$5:N538,1)=1,1,0),0)</f>
        <v/>
      </c>
      <c r="P538">
        <f>IF(C538="",0,IF(AND(B538="brand",E538="renewal_answer",N(F538)&gt;=Inputs!$C$125),1,0))</f>
        <v/>
      </c>
      <c r="Q538">
        <f>IF(AND(B538="office",E538="budget_probe",ISNUMBER(F538)),F538,"")</f>
        <v/>
      </c>
      <c r="R538">
        <f>IF(AND(B538="brand",E538="budget_probe",ISNUMBER(F538)),F538,"")</f>
        <v/>
      </c>
    </row>
    <row r="539">
      <c r="A539" s="91" t="n"/>
      <c r="B539" s="92" t="n"/>
      <c r="C539" s="92" t="n"/>
      <c r="D539" s="92" t="n"/>
      <c r="E539" s="92" t="n"/>
      <c r="F539" s="92" t="n"/>
      <c r="G539" s="92" t="n"/>
      <c r="H539" s="92" t="n"/>
      <c r="I539" s="92" t="n"/>
      <c r="K539">
        <f>IF(C539="","",IF(COUNTIFS(C$5:C539,C539,E$5:E539,E539)=1,1,0))</f>
        <v/>
      </c>
      <c r="L539">
        <f>IF(C539="",0,IF(AND(B539="brand",E539="budget_probe",N(F539)&gt;=Inputs!$C$114,H539="Y"),1,0))</f>
        <v/>
      </c>
      <c r="M539">
        <f>IF(L539=1,IF(COUNTIFS(C$5:C539,C539,L$5:L539,1)=1,1,0),0)</f>
        <v/>
      </c>
      <c r="N539">
        <f>IF(C539="",0,IF(AND(B539="office",E539="budget_probe",N(F539)&gt;=Inputs!$C$129),1,0))</f>
        <v/>
      </c>
      <c r="O539">
        <f>IF(N539=1,IF(COUNTIFS(C$5:C539,C539,N$5:N539,1)=1,1,0),0)</f>
        <v/>
      </c>
      <c r="P539">
        <f>IF(C539="",0,IF(AND(B539="brand",E539="renewal_answer",N(F539)&gt;=Inputs!$C$125),1,0))</f>
        <v/>
      </c>
      <c r="Q539">
        <f>IF(AND(B539="office",E539="budget_probe",ISNUMBER(F539)),F539,"")</f>
        <v/>
      </c>
      <c r="R539">
        <f>IF(AND(B539="brand",E539="budget_probe",ISNUMBER(F539)),F539,"")</f>
        <v/>
      </c>
    </row>
    <row r="540">
      <c r="A540" s="91" t="n"/>
      <c r="B540" s="92" t="n"/>
      <c r="C540" s="92" t="n"/>
      <c r="D540" s="92" t="n"/>
      <c r="E540" s="92" t="n"/>
      <c r="F540" s="92" t="n"/>
      <c r="G540" s="92" t="n"/>
      <c r="H540" s="92" t="n"/>
      <c r="I540" s="92" t="n"/>
      <c r="K540">
        <f>IF(C540="","",IF(COUNTIFS(C$5:C540,C540,E$5:E540,E540)=1,1,0))</f>
        <v/>
      </c>
      <c r="L540">
        <f>IF(C540="",0,IF(AND(B540="brand",E540="budget_probe",N(F540)&gt;=Inputs!$C$114,H540="Y"),1,0))</f>
        <v/>
      </c>
      <c r="M540">
        <f>IF(L540=1,IF(COUNTIFS(C$5:C540,C540,L$5:L540,1)=1,1,0),0)</f>
        <v/>
      </c>
      <c r="N540">
        <f>IF(C540="",0,IF(AND(B540="office",E540="budget_probe",N(F540)&gt;=Inputs!$C$129),1,0))</f>
        <v/>
      </c>
      <c r="O540">
        <f>IF(N540=1,IF(COUNTIFS(C$5:C540,C540,N$5:N540,1)=1,1,0),0)</f>
        <v/>
      </c>
      <c r="P540">
        <f>IF(C540="",0,IF(AND(B540="brand",E540="renewal_answer",N(F540)&gt;=Inputs!$C$125),1,0))</f>
        <v/>
      </c>
      <c r="Q540">
        <f>IF(AND(B540="office",E540="budget_probe",ISNUMBER(F540)),F540,"")</f>
        <v/>
      </c>
      <c r="R540">
        <f>IF(AND(B540="brand",E540="budget_probe",ISNUMBER(F540)),F540,"")</f>
        <v/>
      </c>
    </row>
    <row r="541">
      <c r="A541" s="91" t="n"/>
      <c r="B541" s="92" t="n"/>
      <c r="C541" s="92" t="n"/>
      <c r="D541" s="92" t="n"/>
      <c r="E541" s="92" t="n"/>
      <c r="F541" s="92" t="n"/>
      <c r="G541" s="92" t="n"/>
      <c r="H541" s="92" t="n"/>
      <c r="I541" s="92" t="n"/>
      <c r="K541">
        <f>IF(C541="","",IF(COUNTIFS(C$5:C541,C541,E$5:E541,E541)=1,1,0))</f>
        <v/>
      </c>
      <c r="L541">
        <f>IF(C541="",0,IF(AND(B541="brand",E541="budget_probe",N(F541)&gt;=Inputs!$C$114,H541="Y"),1,0))</f>
        <v/>
      </c>
      <c r="M541">
        <f>IF(L541=1,IF(COUNTIFS(C$5:C541,C541,L$5:L541,1)=1,1,0),0)</f>
        <v/>
      </c>
      <c r="N541">
        <f>IF(C541="",0,IF(AND(B541="office",E541="budget_probe",N(F541)&gt;=Inputs!$C$129),1,0))</f>
        <v/>
      </c>
      <c r="O541">
        <f>IF(N541=1,IF(COUNTIFS(C$5:C541,C541,N$5:N541,1)=1,1,0),0)</f>
        <v/>
      </c>
      <c r="P541">
        <f>IF(C541="",0,IF(AND(B541="brand",E541="renewal_answer",N(F541)&gt;=Inputs!$C$125),1,0))</f>
        <v/>
      </c>
      <c r="Q541">
        <f>IF(AND(B541="office",E541="budget_probe",ISNUMBER(F541)),F541,"")</f>
        <v/>
      </c>
      <c r="R541">
        <f>IF(AND(B541="brand",E541="budget_probe",ISNUMBER(F541)),F541,"")</f>
        <v/>
      </c>
    </row>
    <row r="542">
      <c r="A542" s="91" t="n"/>
      <c r="B542" s="92" t="n"/>
      <c r="C542" s="92" t="n"/>
      <c r="D542" s="92" t="n"/>
      <c r="E542" s="92" t="n"/>
      <c r="F542" s="92" t="n"/>
      <c r="G542" s="92" t="n"/>
      <c r="H542" s="92" t="n"/>
      <c r="I542" s="92" t="n"/>
      <c r="K542">
        <f>IF(C542="","",IF(COUNTIFS(C$5:C542,C542,E$5:E542,E542)=1,1,0))</f>
        <v/>
      </c>
      <c r="L542">
        <f>IF(C542="",0,IF(AND(B542="brand",E542="budget_probe",N(F542)&gt;=Inputs!$C$114,H542="Y"),1,0))</f>
        <v/>
      </c>
      <c r="M542">
        <f>IF(L542=1,IF(COUNTIFS(C$5:C542,C542,L$5:L542,1)=1,1,0),0)</f>
        <v/>
      </c>
      <c r="N542">
        <f>IF(C542="",0,IF(AND(B542="office",E542="budget_probe",N(F542)&gt;=Inputs!$C$129),1,0))</f>
        <v/>
      </c>
      <c r="O542">
        <f>IF(N542=1,IF(COUNTIFS(C$5:C542,C542,N$5:N542,1)=1,1,0),0)</f>
        <v/>
      </c>
      <c r="P542">
        <f>IF(C542="",0,IF(AND(B542="brand",E542="renewal_answer",N(F542)&gt;=Inputs!$C$125),1,0))</f>
        <v/>
      </c>
      <c r="Q542">
        <f>IF(AND(B542="office",E542="budget_probe",ISNUMBER(F542)),F542,"")</f>
        <v/>
      </c>
      <c r="R542">
        <f>IF(AND(B542="brand",E542="budget_probe",ISNUMBER(F542)),F542,"")</f>
        <v/>
      </c>
    </row>
    <row r="543">
      <c r="A543" s="91" t="n"/>
      <c r="B543" s="92" t="n"/>
      <c r="C543" s="92" t="n"/>
      <c r="D543" s="92" t="n"/>
      <c r="E543" s="92" t="n"/>
      <c r="F543" s="92" t="n"/>
      <c r="G543" s="92" t="n"/>
      <c r="H543" s="92" t="n"/>
      <c r="I543" s="92" t="n"/>
      <c r="K543">
        <f>IF(C543="","",IF(COUNTIFS(C$5:C543,C543,E$5:E543,E543)=1,1,0))</f>
        <v/>
      </c>
      <c r="L543">
        <f>IF(C543="",0,IF(AND(B543="brand",E543="budget_probe",N(F543)&gt;=Inputs!$C$114,H543="Y"),1,0))</f>
        <v/>
      </c>
      <c r="M543">
        <f>IF(L543=1,IF(COUNTIFS(C$5:C543,C543,L$5:L543,1)=1,1,0),0)</f>
        <v/>
      </c>
      <c r="N543">
        <f>IF(C543="",0,IF(AND(B543="office",E543="budget_probe",N(F543)&gt;=Inputs!$C$129),1,0))</f>
        <v/>
      </c>
      <c r="O543">
        <f>IF(N543=1,IF(COUNTIFS(C$5:C543,C543,N$5:N543,1)=1,1,0),0)</f>
        <v/>
      </c>
      <c r="P543">
        <f>IF(C543="",0,IF(AND(B543="brand",E543="renewal_answer",N(F543)&gt;=Inputs!$C$125),1,0))</f>
        <v/>
      </c>
      <c r="Q543">
        <f>IF(AND(B543="office",E543="budget_probe",ISNUMBER(F543)),F543,"")</f>
        <v/>
      </c>
      <c r="R543">
        <f>IF(AND(B543="brand",E543="budget_probe",ISNUMBER(F543)),F543,"")</f>
        <v/>
      </c>
    </row>
    <row r="544">
      <c r="A544" s="91" t="n"/>
      <c r="B544" s="92" t="n"/>
      <c r="C544" s="92" t="n"/>
      <c r="D544" s="92" t="n"/>
      <c r="E544" s="92" t="n"/>
      <c r="F544" s="92" t="n"/>
      <c r="G544" s="92" t="n"/>
      <c r="H544" s="92" t="n"/>
      <c r="I544" s="92" t="n"/>
      <c r="K544">
        <f>IF(C544="","",IF(COUNTIFS(C$5:C544,C544,E$5:E544,E544)=1,1,0))</f>
        <v/>
      </c>
      <c r="L544">
        <f>IF(C544="",0,IF(AND(B544="brand",E544="budget_probe",N(F544)&gt;=Inputs!$C$114,H544="Y"),1,0))</f>
        <v/>
      </c>
      <c r="M544">
        <f>IF(L544=1,IF(COUNTIFS(C$5:C544,C544,L$5:L544,1)=1,1,0),0)</f>
        <v/>
      </c>
      <c r="N544">
        <f>IF(C544="",0,IF(AND(B544="office",E544="budget_probe",N(F544)&gt;=Inputs!$C$129),1,0))</f>
        <v/>
      </c>
      <c r="O544">
        <f>IF(N544=1,IF(COUNTIFS(C$5:C544,C544,N$5:N544,1)=1,1,0),0)</f>
        <v/>
      </c>
      <c r="P544">
        <f>IF(C544="",0,IF(AND(B544="brand",E544="renewal_answer",N(F544)&gt;=Inputs!$C$125),1,0))</f>
        <v/>
      </c>
      <c r="Q544">
        <f>IF(AND(B544="office",E544="budget_probe",ISNUMBER(F544)),F544,"")</f>
        <v/>
      </c>
      <c r="R544">
        <f>IF(AND(B544="brand",E544="budget_probe",ISNUMBER(F544)),F544,"")</f>
        <v/>
      </c>
    </row>
    <row r="545">
      <c r="A545" s="91" t="n"/>
      <c r="B545" s="92" t="n"/>
      <c r="C545" s="92" t="n"/>
      <c r="D545" s="92" t="n"/>
      <c r="E545" s="92" t="n"/>
      <c r="F545" s="92" t="n"/>
      <c r="G545" s="92" t="n"/>
      <c r="H545" s="92" t="n"/>
      <c r="I545" s="92" t="n"/>
      <c r="K545">
        <f>IF(C545="","",IF(COUNTIFS(C$5:C545,C545,E$5:E545,E545)=1,1,0))</f>
        <v/>
      </c>
      <c r="L545">
        <f>IF(C545="",0,IF(AND(B545="brand",E545="budget_probe",N(F545)&gt;=Inputs!$C$114,H545="Y"),1,0))</f>
        <v/>
      </c>
      <c r="M545">
        <f>IF(L545=1,IF(COUNTIFS(C$5:C545,C545,L$5:L545,1)=1,1,0),0)</f>
        <v/>
      </c>
      <c r="N545">
        <f>IF(C545="",0,IF(AND(B545="office",E545="budget_probe",N(F545)&gt;=Inputs!$C$129),1,0))</f>
        <v/>
      </c>
      <c r="O545">
        <f>IF(N545=1,IF(COUNTIFS(C$5:C545,C545,N$5:N545,1)=1,1,0),0)</f>
        <v/>
      </c>
      <c r="P545">
        <f>IF(C545="",0,IF(AND(B545="brand",E545="renewal_answer",N(F545)&gt;=Inputs!$C$125),1,0))</f>
        <v/>
      </c>
      <c r="Q545">
        <f>IF(AND(B545="office",E545="budget_probe",ISNUMBER(F545)),F545,"")</f>
        <v/>
      </c>
      <c r="R545">
        <f>IF(AND(B545="brand",E545="budget_probe",ISNUMBER(F545)),F545,"")</f>
        <v/>
      </c>
    </row>
    <row r="546">
      <c r="A546" s="91" t="n"/>
      <c r="B546" s="92" t="n"/>
      <c r="C546" s="92" t="n"/>
      <c r="D546" s="92" t="n"/>
      <c r="E546" s="92" t="n"/>
      <c r="F546" s="92" t="n"/>
      <c r="G546" s="92" t="n"/>
      <c r="H546" s="92" t="n"/>
      <c r="I546" s="92" t="n"/>
      <c r="K546">
        <f>IF(C546="","",IF(COUNTIFS(C$5:C546,C546,E$5:E546,E546)=1,1,0))</f>
        <v/>
      </c>
      <c r="L546">
        <f>IF(C546="",0,IF(AND(B546="brand",E546="budget_probe",N(F546)&gt;=Inputs!$C$114,H546="Y"),1,0))</f>
        <v/>
      </c>
      <c r="M546">
        <f>IF(L546=1,IF(COUNTIFS(C$5:C546,C546,L$5:L546,1)=1,1,0),0)</f>
        <v/>
      </c>
      <c r="N546">
        <f>IF(C546="",0,IF(AND(B546="office",E546="budget_probe",N(F546)&gt;=Inputs!$C$129),1,0))</f>
        <v/>
      </c>
      <c r="O546">
        <f>IF(N546=1,IF(COUNTIFS(C$5:C546,C546,N$5:N546,1)=1,1,0),0)</f>
        <v/>
      </c>
      <c r="P546">
        <f>IF(C546="",0,IF(AND(B546="brand",E546="renewal_answer",N(F546)&gt;=Inputs!$C$125),1,0))</f>
        <v/>
      </c>
      <c r="Q546">
        <f>IF(AND(B546="office",E546="budget_probe",ISNUMBER(F546)),F546,"")</f>
        <v/>
      </c>
      <c r="R546">
        <f>IF(AND(B546="brand",E546="budget_probe",ISNUMBER(F546)),F546,"")</f>
        <v/>
      </c>
    </row>
    <row r="547">
      <c r="A547" s="91" t="n"/>
      <c r="B547" s="92" t="n"/>
      <c r="C547" s="92" t="n"/>
      <c r="D547" s="92" t="n"/>
      <c r="E547" s="92" t="n"/>
      <c r="F547" s="92" t="n"/>
      <c r="G547" s="92" t="n"/>
      <c r="H547" s="92" t="n"/>
      <c r="I547" s="92" t="n"/>
      <c r="K547">
        <f>IF(C547="","",IF(COUNTIFS(C$5:C547,C547,E$5:E547,E547)=1,1,0))</f>
        <v/>
      </c>
      <c r="L547">
        <f>IF(C547="",0,IF(AND(B547="brand",E547="budget_probe",N(F547)&gt;=Inputs!$C$114,H547="Y"),1,0))</f>
        <v/>
      </c>
      <c r="M547">
        <f>IF(L547=1,IF(COUNTIFS(C$5:C547,C547,L$5:L547,1)=1,1,0),0)</f>
        <v/>
      </c>
      <c r="N547">
        <f>IF(C547="",0,IF(AND(B547="office",E547="budget_probe",N(F547)&gt;=Inputs!$C$129),1,0))</f>
        <v/>
      </c>
      <c r="O547">
        <f>IF(N547=1,IF(COUNTIFS(C$5:C547,C547,N$5:N547,1)=1,1,0),0)</f>
        <v/>
      </c>
      <c r="P547">
        <f>IF(C547="",0,IF(AND(B547="brand",E547="renewal_answer",N(F547)&gt;=Inputs!$C$125),1,0))</f>
        <v/>
      </c>
      <c r="Q547">
        <f>IF(AND(B547="office",E547="budget_probe",ISNUMBER(F547)),F547,"")</f>
        <v/>
      </c>
      <c r="R547">
        <f>IF(AND(B547="brand",E547="budget_probe",ISNUMBER(F547)),F547,"")</f>
        <v/>
      </c>
    </row>
    <row r="548">
      <c r="A548" s="91" t="n"/>
      <c r="B548" s="92" t="n"/>
      <c r="C548" s="92" t="n"/>
      <c r="D548" s="92" t="n"/>
      <c r="E548" s="92" t="n"/>
      <c r="F548" s="92" t="n"/>
      <c r="G548" s="92" t="n"/>
      <c r="H548" s="92" t="n"/>
      <c r="I548" s="92" t="n"/>
      <c r="K548">
        <f>IF(C548="","",IF(COUNTIFS(C$5:C548,C548,E$5:E548,E548)=1,1,0))</f>
        <v/>
      </c>
      <c r="L548">
        <f>IF(C548="",0,IF(AND(B548="brand",E548="budget_probe",N(F548)&gt;=Inputs!$C$114,H548="Y"),1,0))</f>
        <v/>
      </c>
      <c r="M548">
        <f>IF(L548=1,IF(COUNTIFS(C$5:C548,C548,L$5:L548,1)=1,1,0),0)</f>
        <v/>
      </c>
      <c r="N548">
        <f>IF(C548="",0,IF(AND(B548="office",E548="budget_probe",N(F548)&gt;=Inputs!$C$129),1,0))</f>
        <v/>
      </c>
      <c r="O548">
        <f>IF(N548=1,IF(COUNTIFS(C$5:C548,C548,N$5:N548,1)=1,1,0),0)</f>
        <v/>
      </c>
      <c r="P548">
        <f>IF(C548="",0,IF(AND(B548="brand",E548="renewal_answer",N(F548)&gt;=Inputs!$C$125),1,0))</f>
        <v/>
      </c>
      <c r="Q548">
        <f>IF(AND(B548="office",E548="budget_probe",ISNUMBER(F548)),F548,"")</f>
        <v/>
      </c>
      <c r="R548">
        <f>IF(AND(B548="brand",E548="budget_probe",ISNUMBER(F548)),F548,"")</f>
        <v/>
      </c>
    </row>
    <row r="549">
      <c r="A549" s="91" t="n"/>
      <c r="B549" s="92" t="n"/>
      <c r="C549" s="92" t="n"/>
      <c r="D549" s="92" t="n"/>
      <c r="E549" s="92" t="n"/>
      <c r="F549" s="92" t="n"/>
      <c r="G549" s="92" t="n"/>
      <c r="H549" s="92" t="n"/>
      <c r="I549" s="92" t="n"/>
      <c r="K549">
        <f>IF(C549="","",IF(COUNTIFS(C$5:C549,C549,E$5:E549,E549)=1,1,0))</f>
        <v/>
      </c>
      <c r="L549">
        <f>IF(C549="",0,IF(AND(B549="brand",E549="budget_probe",N(F549)&gt;=Inputs!$C$114,H549="Y"),1,0))</f>
        <v/>
      </c>
      <c r="M549">
        <f>IF(L549=1,IF(COUNTIFS(C$5:C549,C549,L$5:L549,1)=1,1,0),0)</f>
        <v/>
      </c>
      <c r="N549">
        <f>IF(C549="",0,IF(AND(B549="office",E549="budget_probe",N(F549)&gt;=Inputs!$C$129),1,0))</f>
        <v/>
      </c>
      <c r="O549">
        <f>IF(N549=1,IF(COUNTIFS(C$5:C549,C549,N$5:N549,1)=1,1,0),0)</f>
        <v/>
      </c>
      <c r="P549">
        <f>IF(C549="",0,IF(AND(B549="brand",E549="renewal_answer",N(F549)&gt;=Inputs!$C$125),1,0))</f>
        <v/>
      </c>
      <c r="Q549">
        <f>IF(AND(B549="office",E549="budget_probe",ISNUMBER(F549)),F549,"")</f>
        <v/>
      </c>
      <c r="R549">
        <f>IF(AND(B549="brand",E549="budget_probe",ISNUMBER(F549)),F549,"")</f>
        <v/>
      </c>
    </row>
    <row r="550">
      <c r="A550" s="91" t="n"/>
      <c r="B550" s="92" t="n"/>
      <c r="C550" s="92" t="n"/>
      <c r="D550" s="92" t="n"/>
      <c r="E550" s="92" t="n"/>
      <c r="F550" s="92" t="n"/>
      <c r="G550" s="92" t="n"/>
      <c r="H550" s="92" t="n"/>
      <c r="I550" s="92" t="n"/>
      <c r="K550">
        <f>IF(C550="","",IF(COUNTIFS(C$5:C550,C550,E$5:E550,E550)=1,1,0))</f>
        <v/>
      </c>
      <c r="L550">
        <f>IF(C550="",0,IF(AND(B550="brand",E550="budget_probe",N(F550)&gt;=Inputs!$C$114,H550="Y"),1,0))</f>
        <v/>
      </c>
      <c r="M550">
        <f>IF(L550=1,IF(COUNTIFS(C$5:C550,C550,L$5:L550,1)=1,1,0),0)</f>
        <v/>
      </c>
      <c r="N550">
        <f>IF(C550="",0,IF(AND(B550="office",E550="budget_probe",N(F550)&gt;=Inputs!$C$129),1,0))</f>
        <v/>
      </c>
      <c r="O550">
        <f>IF(N550=1,IF(COUNTIFS(C$5:C550,C550,N$5:N550,1)=1,1,0),0)</f>
        <v/>
      </c>
      <c r="P550">
        <f>IF(C550="",0,IF(AND(B550="brand",E550="renewal_answer",N(F550)&gt;=Inputs!$C$125),1,0))</f>
        <v/>
      </c>
      <c r="Q550">
        <f>IF(AND(B550="office",E550="budget_probe",ISNUMBER(F550)),F550,"")</f>
        <v/>
      </c>
      <c r="R550">
        <f>IF(AND(B550="brand",E550="budget_probe",ISNUMBER(F550)),F550,"")</f>
        <v/>
      </c>
    </row>
    <row r="551">
      <c r="A551" s="91" t="n"/>
      <c r="B551" s="92" t="n"/>
      <c r="C551" s="92" t="n"/>
      <c r="D551" s="92" t="n"/>
      <c r="E551" s="92" t="n"/>
      <c r="F551" s="92" t="n"/>
      <c r="G551" s="92" t="n"/>
      <c r="H551" s="92" t="n"/>
      <c r="I551" s="92" t="n"/>
      <c r="K551">
        <f>IF(C551="","",IF(COUNTIFS(C$5:C551,C551,E$5:E551,E551)=1,1,0))</f>
        <v/>
      </c>
      <c r="L551">
        <f>IF(C551="",0,IF(AND(B551="brand",E551="budget_probe",N(F551)&gt;=Inputs!$C$114,H551="Y"),1,0))</f>
        <v/>
      </c>
      <c r="M551">
        <f>IF(L551=1,IF(COUNTIFS(C$5:C551,C551,L$5:L551,1)=1,1,0),0)</f>
        <v/>
      </c>
      <c r="N551">
        <f>IF(C551="",0,IF(AND(B551="office",E551="budget_probe",N(F551)&gt;=Inputs!$C$129),1,0))</f>
        <v/>
      </c>
      <c r="O551">
        <f>IF(N551=1,IF(COUNTIFS(C$5:C551,C551,N$5:N551,1)=1,1,0),0)</f>
        <v/>
      </c>
      <c r="P551">
        <f>IF(C551="",0,IF(AND(B551="brand",E551="renewal_answer",N(F551)&gt;=Inputs!$C$125),1,0))</f>
        <v/>
      </c>
      <c r="Q551">
        <f>IF(AND(B551="office",E551="budget_probe",ISNUMBER(F551)),F551,"")</f>
        <v/>
      </c>
      <c r="R551">
        <f>IF(AND(B551="brand",E551="budget_probe",ISNUMBER(F551)),F551,"")</f>
        <v/>
      </c>
    </row>
    <row r="552">
      <c r="A552" s="91" t="n"/>
      <c r="B552" s="92" t="n"/>
      <c r="C552" s="92" t="n"/>
      <c r="D552" s="92" t="n"/>
      <c r="E552" s="92" t="n"/>
      <c r="F552" s="92" t="n"/>
      <c r="G552" s="92" t="n"/>
      <c r="H552" s="92" t="n"/>
      <c r="I552" s="92" t="n"/>
      <c r="K552">
        <f>IF(C552="","",IF(COUNTIFS(C$5:C552,C552,E$5:E552,E552)=1,1,0))</f>
        <v/>
      </c>
      <c r="L552">
        <f>IF(C552="",0,IF(AND(B552="brand",E552="budget_probe",N(F552)&gt;=Inputs!$C$114,H552="Y"),1,0))</f>
        <v/>
      </c>
      <c r="M552">
        <f>IF(L552=1,IF(COUNTIFS(C$5:C552,C552,L$5:L552,1)=1,1,0),0)</f>
        <v/>
      </c>
      <c r="N552">
        <f>IF(C552="",0,IF(AND(B552="office",E552="budget_probe",N(F552)&gt;=Inputs!$C$129),1,0))</f>
        <v/>
      </c>
      <c r="O552">
        <f>IF(N552=1,IF(COUNTIFS(C$5:C552,C552,N$5:N552,1)=1,1,0),0)</f>
        <v/>
      </c>
      <c r="P552">
        <f>IF(C552="",0,IF(AND(B552="brand",E552="renewal_answer",N(F552)&gt;=Inputs!$C$125),1,0))</f>
        <v/>
      </c>
      <c r="Q552">
        <f>IF(AND(B552="office",E552="budget_probe",ISNUMBER(F552)),F552,"")</f>
        <v/>
      </c>
      <c r="R552">
        <f>IF(AND(B552="brand",E552="budget_probe",ISNUMBER(F552)),F552,"")</f>
        <v/>
      </c>
    </row>
    <row r="553">
      <c r="A553" s="91" t="n"/>
      <c r="B553" s="92" t="n"/>
      <c r="C553" s="92" t="n"/>
      <c r="D553" s="92" t="n"/>
      <c r="E553" s="92" t="n"/>
      <c r="F553" s="92" t="n"/>
      <c r="G553" s="92" t="n"/>
      <c r="H553" s="92" t="n"/>
      <c r="I553" s="92" t="n"/>
      <c r="K553">
        <f>IF(C553="","",IF(COUNTIFS(C$5:C553,C553,E$5:E553,E553)=1,1,0))</f>
        <v/>
      </c>
      <c r="L553">
        <f>IF(C553="",0,IF(AND(B553="brand",E553="budget_probe",N(F553)&gt;=Inputs!$C$114,H553="Y"),1,0))</f>
        <v/>
      </c>
      <c r="M553">
        <f>IF(L553=1,IF(COUNTIFS(C$5:C553,C553,L$5:L553,1)=1,1,0),0)</f>
        <v/>
      </c>
      <c r="N553">
        <f>IF(C553="",0,IF(AND(B553="office",E553="budget_probe",N(F553)&gt;=Inputs!$C$129),1,0))</f>
        <v/>
      </c>
      <c r="O553">
        <f>IF(N553=1,IF(COUNTIFS(C$5:C553,C553,N$5:N553,1)=1,1,0),0)</f>
        <v/>
      </c>
      <c r="P553">
        <f>IF(C553="",0,IF(AND(B553="brand",E553="renewal_answer",N(F553)&gt;=Inputs!$C$125),1,0))</f>
        <v/>
      </c>
      <c r="Q553">
        <f>IF(AND(B553="office",E553="budget_probe",ISNUMBER(F553)),F553,"")</f>
        <v/>
      </c>
      <c r="R553">
        <f>IF(AND(B553="brand",E553="budget_probe",ISNUMBER(F553)),F553,"")</f>
        <v/>
      </c>
    </row>
    <row r="554">
      <c r="A554" s="91" t="n"/>
      <c r="B554" s="92" t="n"/>
      <c r="C554" s="92" t="n"/>
      <c r="D554" s="92" t="n"/>
      <c r="E554" s="92" t="n"/>
      <c r="F554" s="92" t="n"/>
      <c r="G554" s="92" t="n"/>
      <c r="H554" s="92" t="n"/>
      <c r="I554" s="92" t="n"/>
      <c r="K554">
        <f>IF(C554="","",IF(COUNTIFS(C$5:C554,C554,E$5:E554,E554)=1,1,0))</f>
        <v/>
      </c>
      <c r="L554">
        <f>IF(C554="",0,IF(AND(B554="brand",E554="budget_probe",N(F554)&gt;=Inputs!$C$114,H554="Y"),1,0))</f>
        <v/>
      </c>
      <c r="M554">
        <f>IF(L554=1,IF(COUNTIFS(C$5:C554,C554,L$5:L554,1)=1,1,0),0)</f>
        <v/>
      </c>
      <c r="N554">
        <f>IF(C554="",0,IF(AND(B554="office",E554="budget_probe",N(F554)&gt;=Inputs!$C$129),1,0))</f>
        <v/>
      </c>
      <c r="O554">
        <f>IF(N554=1,IF(COUNTIFS(C$5:C554,C554,N$5:N554,1)=1,1,0),0)</f>
        <v/>
      </c>
      <c r="P554">
        <f>IF(C554="",0,IF(AND(B554="brand",E554="renewal_answer",N(F554)&gt;=Inputs!$C$125),1,0))</f>
        <v/>
      </c>
      <c r="Q554">
        <f>IF(AND(B554="office",E554="budget_probe",ISNUMBER(F554)),F554,"")</f>
        <v/>
      </c>
      <c r="R554">
        <f>IF(AND(B554="brand",E554="budget_probe",ISNUMBER(F554)),F554,"")</f>
        <v/>
      </c>
    </row>
    <row r="555">
      <c r="A555" s="91" t="n"/>
      <c r="B555" s="92" t="n"/>
      <c r="C555" s="92" t="n"/>
      <c r="D555" s="92" t="n"/>
      <c r="E555" s="92" t="n"/>
      <c r="F555" s="92" t="n"/>
      <c r="G555" s="92" t="n"/>
      <c r="H555" s="92" t="n"/>
      <c r="I555" s="92" t="n"/>
      <c r="K555">
        <f>IF(C555="","",IF(COUNTIFS(C$5:C555,C555,E$5:E555,E555)=1,1,0))</f>
        <v/>
      </c>
      <c r="L555">
        <f>IF(C555="",0,IF(AND(B555="brand",E555="budget_probe",N(F555)&gt;=Inputs!$C$114,H555="Y"),1,0))</f>
        <v/>
      </c>
      <c r="M555">
        <f>IF(L555=1,IF(COUNTIFS(C$5:C555,C555,L$5:L555,1)=1,1,0),0)</f>
        <v/>
      </c>
      <c r="N555">
        <f>IF(C555="",0,IF(AND(B555="office",E555="budget_probe",N(F555)&gt;=Inputs!$C$129),1,0))</f>
        <v/>
      </c>
      <c r="O555">
        <f>IF(N555=1,IF(COUNTIFS(C$5:C555,C555,N$5:N555,1)=1,1,0),0)</f>
        <v/>
      </c>
      <c r="P555">
        <f>IF(C555="",0,IF(AND(B555="brand",E555="renewal_answer",N(F555)&gt;=Inputs!$C$125),1,0))</f>
        <v/>
      </c>
      <c r="Q555">
        <f>IF(AND(B555="office",E555="budget_probe",ISNUMBER(F555)),F555,"")</f>
        <v/>
      </c>
      <c r="R555">
        <f>IF(AND(B555="brand",E555="budget_probe",ISNUMBER(F555)),F555,"")</f>
        <v/>
      </c>
    </row>
    <row r="556">
      <c r="A556" s="91" t="n"/>
      <c r="B556" s="92" t="n"/>
      <c r="C556" s="92" t="n"/>
      <c r="D556" s="92" t="n"/>
      <c r="E556" s="92" t="n"/>
      <c r="F556" s="92" t="n"/>
      <c r="G556" s="92" t="n"/>
      <c r="H556" s="92" t="n"/>
      <c r="I556" s="92" t="n"/>
      <c r="K556">
        <f>IF(C556="","",IF(COUNTIFS(C$5:C556,C556,E$5:E556,E556)=1,1,0))</f>
        <v/>
      </c>
      <c r="L556">
        <f>IF(C556="",0,IF(AND(B556="brand",E556="budget_probe",N(F556)&gt;=Inputs!$C$114,H556="Y"),1,0))</f>
        <v/>
      </c>
      <c r="M556">
        <f>IF(L556=1,IF(COUNTIFS(C$5:C556,C556,L$5:L556,1)=1,1,0),0)</f>
        <v/>
      </c>
      <c r="N556">
        <f>IF(C556="",0,IF(AND(B556="office",E556="budget_probe",N(F556)&gt;=Inputs!$C$129),1,0))</f>
        <v/>
      </c>
      <c r="O556">
        <f>IF(N556=1,IF(COUNTIFS(C$5:C556,C556,N$5:N556,1)=1,1,0),0)</f>
        <v/>
      </c>
      <c r="P556">
        <f>IF(C556="",0,IF(AND(B556="brand",E556="renewal_answer",N(F556)&gt;=Inputs!$C$125),1,0))</f>
        <v/>
      </c>
      <c r="Q556">
        <f>IF(AND(B556="office",E556="budget_probe",ISNUMBER(F556)),F556,"")</f>
        <v/>
      </c>
      <c r="R556">
        <f>IF(AND(B556="brand",E556="budget_probe",ISNUMBER(F556)),F556,"")</f>
        <v/>
      </c>
    </row>
    <row r="557">
      <c r="A557" s="91" t="n"/>
      <c r="B557" s="92" t="n"/>
      <c r="C557" s="92" t="n"/>
      <c r="D557" s="92" t="n"/>
      <c r="E557" s="92" t="n"/>
      <c r="F557" s="92" t="n"/>
      <c r="G557" s="92" t="n"/>
      <c r="H557" s="92" t="n"/>
      <c r="I557" s="92" t="n"/>
      <c r="K557">
        <f>IF(C557="","",IF(COUNTIFS(C$5:C557,C557,E$5:E557,E557)=1,1,0))</f>
        <v/>
      </c>
      <c r="L557">
        <f>IF(C557="",0,IF(AND(B557="brand",E557="budget_probe",N(F557)&gt;=Inputs!$C$114,H557="Y"),1,0))</f>
        <v/>
      </c>
      <c r="M557">
        <f>IF(L557=1,IF(COUNTIFS(C$5:C557,C557,L$5:L557,1)=1,1,0),0)</f>
        <v/>
      </c>
      <c r="N557">
        <f>IF(C557="",0,IF(AND(B557="office",E557="budget_probe",N(F557)&gt;=Inputs!$C$129),1,0))</f>
        <v/>
      </c>
      <c r="O557">
        <f>IF(N557=1,IF(COUNTIFS(C$5:C557,C557,N$5:N557,1)=1,1,0),0)</f>
        <v/>
      </c>
      <c r="P557">
        <f>IF(C557="",0,IF(AND(B557="brand",E557="renewal_answer",N(F557)&gt;=Inputs!$C$125),1,0))</f>
        <v/>
      </c>
      <c r="Q557">
        <f>IF(AND(B557="office",E557="budget_probe",ISNUMBER(F557)),F557,"")</f>
        <v/>
      </c>
      <c r="R557">
        <f>IF(AND(B557="brand",E557="budget_probe",ISNUMBER(F557)),F557,"")</f>
        <v/>
      </c>
    </row>
    <row r="558">
      <c r="A558" s="91" t="n"/>
      <c r="B558" s="92" t="n"/>
      <c r="C558" s="92" t="n"/>
      <c r="D558" s="92" t="n"/>
      <c r="E558" s="92" t="n"/>
      <c r="F558" s="92" t="n"/>
      <c r="G558" s="92" t="n"/>
      <c r="H558" s="92" t="n"/>
      <c r="I558" s="92" t="n"/>
      <c r="K558">
        <f>IF(C558="","",IF(COUNTIFS(C$5:C558,C558,E$5:E558,E558)=1,1,0))</f>
        <v/>
      </c>
      <c r="L558">
        <f>IF(C558="",0,IF(AND(B558="brand",E558="budget_probe",N(F558)&gt;=Inputs!$C$114,H558="Y"),1,0))</f>
        <v/>
      </c>
      <c r="M558">
        <f>IF(L558=1,IF(COUNTIFS(C$5:C558,C558,L$5:L558,1)=1,1,0),0)</f>
        <v/>
      </c>
      <c r="N558">
        <f>IF(C558="",0,IF(AND(B558="office",E558="budget_probe",N(F558)&gt;=Inputs!$C$129),1,0))</f>
        <v/>
      </c>
      <c r="O558">
        <f>IF(N558=1,IF(COUNTIFS(C$5:C558,C558,N$5:N558,1)=1,1,0),0)</f>
        <v/>
      </c>
      <c r="P558">
        <f>IF(C558="",0,IF(AND(B558="brand",E558="renewal_answer",N(F558)&gt;=Inputs!$C$125),1,0))</f>
        <v/>
      </c>
      <c r="Q558">
        <f>IF(AND(B558="office",E558="budget_probe",ISNUMBER(F558)),F558,"")</f>
        <v/>
      </c>
      <c r="R558">
        <f>IF(AND(B558="brand",E558="budget_probe",ISNUMBER(F558)),F558,"")</f>
        <v/>
      </c>
    </row>
    <row r="559">
      <c r="A559" s="91" t="n"/>
      <c r="B559" s="92" t="n"/>
      <c r="C559" s="92" t="n"/>
      <c r="D559" s="92" t="n"/>
      <c r="E559" s="92" t="n"/>
      <c r="F559" s="92" t="n"/>
      <c r="G559" s="92" t="n"/>
      <c r="H559" s="92" t="n"/>
      <c r="I559" s="92" t="n"/>
      <c r="K559">
        <f>IF(C559="","",IF(COUNTIFS(C$5:C559,C559,E$5:E559,E559)=1,1,0))</f>
        <v/>
      </c>
      <c r="L559">
        <f>IF(C559="",0,IF(AND(B559="brand",E559="budget_probe",N(F559)&gt;=Inputs!$C$114,H559="Y"),1,0))</f>
        <v/>
      </c>
      <c r="M559">
        <f>IF(L559=1,IF(COUNTIFS(C$5:C559,C559,L$5:L559,1)=1,1,0),0)</f>
        <v/>
      </c>
      <c r="N559">
        <f>IF(C559="",0,IF(AND(B559="office",E559="budget_probe",N(F559)&gt;=Inputs!$C$129),1,0))</f>
        <v/>
      </c>
      <c r="O559">
        <f>IF(N559=1,IF(COUNTIFS(C$5:C559,C559,N$5:N559,1)=1,1,0),0)</f>
        <v/>
      </c>
      <c r="P559">
        <f>IF(C559="",0,IF(AND(B559="brand",E559="renewal_answer",N(F559)&gt;=Inputs!$C$125),1,0))</f>
        <v/>
      </c>
      <c r="Q559">
        <f>IF(AND(B559="office",E559="budget_probe",ISNUMBER(F559)),F559,"")</f>
        <v/>
      </c>
      <c r="R559">
        <f>IF(AND(B559="brand",E559="budget_probe",ISNUMBER(F559)),F559,"")</f>
        <v/>
      </c>
    </row>
    <row r="560">
      <c r="A560" s="91" t="n"/>
      <c r="B560" s="92" t="n"/>
      <c r="C560" s="92" t="n"/>
      <c r="D560" s="92" t="n"/>
      <c r="E560" s="92" t="n"/>
      <c r="F560" s="92" t="n"/>
      <c r="G560" s="92" t="n"/>
      <c r="H560" s="92" t="n"/>
      <c r="I560" s="92" t="n"/>
      <c r="K560">
        <f>IF(C560="","",IF(COUNTIFS(C$5:C560,C560,E$5:E560,E560)=1,1,0))</f>
        <v/>
      </c>
      <c r="L560">
        <f>IF(C560="",0,IF(AND(B560="brand",E560="budget_probe",N(F560)&gt;=Inputs!$C$114,H560="Y"),1,0))</f>
        <v/>
      </c>
      <c r="M560">
        <f>IF(L560=1,IF(COUNTIFS(C$5:C560,C560,L$5:L560,1)=1,1,0),0)</f>
        <v/>
      </c>
      <c r="N560">
        <f>IF(C560="",0,IF(AND(B560="office",E560="budget_probe",N(F560)&gt;=Inputs!$C$129),1,0))</f>
        <v/>
      </c>
      <c r="O560">
        <f>IF(N560=1,IF(COUNTIFS(C$5:C560,C560,N$5:N560,1)=1,1,0),0)</f>
        <v/>
      </c>
      <c r="P560">
        <f>IF(C560="",0,IF(AND(B560="brand",E560="renewal_answer",N(F560)&gt;=Inputs!$C$125),1,0))</f>
        <v/>
      </c>
      <c r="Q560">
        <f>IF(AND(B560="office",E560="budget_probe",ISNUMBER(F560)),F560,"")</f>
        <v/>
      </c>
      <c r="R560">
        <f>IF(AND(B560="brand",E560="budget_probe",ISNUMBER(F560)),F560,"")</f>
        <v/>
      </c>
    </row>
    <row r="561">
      <c r="A561" s="91" t="n"/>
      <c r="B561" s="92" t="n"/>
      <c r="C561" s="92" t="n"/>
      <c r="D561" s="92" t="n"/>
      <c r="E561" s="92" t="n"/>
      <c r="F561" s="92" t="n"/>
      <c r="G561" s="92" t="n"/>
      <c r="H561" s="92" t="n"/>
      <c r="I561" s="92" t="n"/>
      <c r="K561">
        <f>IF(C561="","",IF(COUNTIFS(C$5:C561,C561,E$5:E561,E561)=1,1,0))</f>
        <v/>
      </c>
      <c r="L561">
        <f>IF(C561="",0,IF(AND(B561="brand",E561="budget_probe",N(F561)&gt;=Inputs!$C$114,H561="Y"),1,0))</f>
        <v/>
      </c>
      <c r="M561">
        <f>IF(L561=1,IF(COUNTIFS(C$5:C561,C561,L$5:L561,1)=1,1,0),0)</f>
        <v/>
      </c>
      <c r="N561">
        <f>IF(C561="",0,IF(AND(B561="office",E561="budget_probe",N(F561)&gt;=Inputs!$C$129),1,0))</f>
        <v/>
      </c>
      <c r="O561">
        <f>IF(N561=1,IF(COUNTIFS(C$5:C561,C561,N$5:N561,1)=1,1,0),0)</f>
        <v/>
      </c>
      <c r="P561">
        <f>IF(C561="",0,IF(AND(B561="brand",E561="renewal_answer",N(F561)&gt;=Inputs!$C$125),1,0))</f>
        <v/>
      </c>
      <c r="Q561">
        <f>IF(AND(B561="office",E561="budget_probe",ISNUMBER(F561)),F561,"")</f>
        <v/>
      </c>
      <c r="R561">
        <f>IF(AND(B561="brand",E561="budget_probe",ISNUMBER(F561)),F561,"")</f>
        <v/>
      </c>
    </row>
    <row r="562">
      <c r="A562" s="91" t="n"/>
      <c r="B562" s="92" t="n"/>
      <c r="C562" s="92" t="n"/>
      <c r="D562" s="92" t="n"/>
      <c r="E562" s="92" t="n"/>
      <c r="F562" s="92" t="n"/>
      <c r="G562" s="92" t="n"/>
      <c r="H562" s="92" t="n"/>
      <c r="I562" s="92" t="n"/>
      <c r="K562">
        <f>IF(C562="","",IF(COUNTIFS(C$5:C562,C562,E$5:E562,E562)=1,1,0))</f>
        <v/>
      </c>
      <c r="L562">
        <f>IF(C562="",0,IF(AND(B562="brand",E562="budget_probe",N(F562)&gt;=Inputs!$C$114,H562="Y"),1,0))</f>
        <v/>
      </c>
      <c r="M562">
        <f>IF(L562=1,IF(COUNTIFS(C$5:C562,C562,L$5:L562,1)=1,1,0),0)</f>
        <v/>
      </c>
      <c r="N562">
        <f>IF(C562="",0,IF(AND(B562="office",E562="budget_probe",N(F562)&gt;=Inputs!$C$129),1,0))</f>
        <v/>
      </c>
      <c r="O562">
        <f>IF(N562=1,IF(COUNTIFS(C$5:C562,C562,N$5:N562,1)=1,1,0),0)</f>
        <v/>
      </c>
      <c r="P562">
        <f>IF(C562="",0,IF(AND(B562="brand",E562="renewal_answer",N(F562)&gt;=Inputs!$C$125),1,0))</f>
        <v/>
      </c>
      <c r="Q562">
        <f>IF(AND(B562="office",E562="budget_probe",ISNUMBER(F562)),F562,"")</f>
        <v/>
      </c>
      <c r="R562">
        <f>IF(AND(B562="brand",E562="budget_probe",ISNUMBER(F562)),F562,"")</f>
        <v/>
      </c>
    </row>
    <row r="563">
      <c r="A563" s="91" t="n"/>
      <c r="B563" s="92" t="n"/>
      <c r="C563" s="92" t="n"/>
      <c r="D563" s="92" t="n"/>
      <c r="E563" s="92" t="n"/>
      <c r="F563" s="92" t="n"/>
      <c r="G563" s="92" t="n"/>
      <c r="H563" s="92" t="n"/>
      <c r="I563" s="92" t="n"/>
      <c r="K563">
        <f>IF(C563="","",IF(COUNTIFS(C$5:C563,C563,E$5:E563,E563)=1,1,0))</f>
        <v/>
      </c>
      <c r="L563">
        <f>IF(C563="",0,IF(AND(B563="brand",E563="budget_probe",N(F563)&gt;=Inputs!$C$114,H563="Y"),1,0))</f>
        <v/>
      </c>
      <c r="M563">
        <f>IF(L563=1,IF(COUNTIFS(C$5:C563,C563,L$5:L563,1)=1,1,0),0)</f>
        <v/>
      </c>
      <c r="N563">
        <f>IF(C563="",0,IF(AND(B563="office",E563="budget_probe",N(F563)&gt;=Inputs!$C$129),1,0))</f>
        <v/>
      </c>
      <c r="O563">
        <f>IF(N563=1,IF(COUNTIFS(C$5:C563,C563,N$5:N563,1)=1,1,0),0)</f>
        <v/>
      </c>
      <c r="P563">
        <f>IF(C563="",0,IF(AND(B563="brand",E563="renewal_answer",N(F563)&gt;=Inputs!$C$125),1,0))</f>
        <v/>
      </c>
      <c r="Q563">
        <f>IF(AND(B563="office",E563="budget_probe",ISNUMBER(F563)),F563,"")</f>
        <v/>
      </c>
      <c r="R563">
        <f>IF(AND(B563="brand",E563="budget_probe",ISNUMBER(F563)),F563,"")</f>
        <v/>
      </c>
    </row>
    <row r="564">
      <c r="A564" s="91" t="n"/>
      <c r="B564" s="92" t="n"/>
      <c r="C564" s="92" t="n"/>
      <c r="D564" s="92" t="n"/>
      <c r="E564" s="92" t="n"/>
      <c r="F564" s="92" t="n"/>
      <c r="G564" s="92" t="n"/>
      <c r="H564" s="92" t="n"/>
      <c r="I564" s="92" t="n"/>
      <c r="K564">
        <f>IF(C564="","",IF(COUNTIFS(C$5:C564,C564,E$5:E564,E564)=1,1,0))</f>
        <v/>
      </c>
      <c r="L564">
        <f>IF(C564="",0,IF(AND(B564="brand",E564="budget_probe",N(F564)&gt;=Inputs!$C$114,H564="Y"),1,0))</f>
        <v/>
      </c>
      <c r="M564">
        <f>IF(L564=1,IF(COUNTIFS(C$5:C564,C564,L$5:L564,1)=1,1,0),0)</f>
        <v/>
      </c>
      <c r="N564">
        <f>IF(C564="",0,IF(AND(B564="office",E564="budget_probe",N(F564)&gt;=Inputs!$C$129),1,0))</f>
        <v/>
      </c>
      <c r="O564">
        <f>IF(N564=1,IF(COUNTIFS(C$5:C564,C564,N$5:N564,1)=1,1,0),0)</f>
        <v/>
      </c>
      <c r="P564">
        <f>IF(C564="",0,IF(AND(B564="brand",E564="renewal_answer",N(F564)&gt;=Inputs!$C$125),1,0))</f>
        <v/>
      </c>
      <c r="Q564">
        <f>IF(AND(B564="office",E564="budget_probe",ISNUMBER(F564)),F564,"")</f>
        <v/>
      </c>
      <c r="R564">
        <f>IF(AND(B564="brand",E564="budget_probe",ISNUMBER(F564)),F564,"")</f>
        <v/>
      </c>
    </row>
    <row r="565">
      <c r="A565" s="91" t="n"/>
      <c r="B565" s="92" t="n"/>
      <c r="C565" s="92" t="n"/>
      <c r="D565" s="92" t="n"/>
      <c r="E565" s="92" t="n"/>
      <c r="F565" s="92" t="n"/>
      <c r="G565" s="92" t="n"/>
      <c r="H565" s="92" t="n"/>
      <c r="I565" s="92" t="n"/>
      <c r="K565">
        <f>IF(C565="","",IF(COUNTIFS(C$5:C565,C565,E$5:E565,E565)=1,1,0))</f>
        <v/>
      </c>
      <c r="L565">
        <f>IF(C565="",0,IF(AND(B565="brand",E565="budget_probe",N(F565)&gt;=Inputs!$C$114,H565="Y"),1,0))</f>
        <v/>
      </c>
      <c r="M565">
        <f>IF(L565=1,IF(COUNTIFS(C$5:C565,C565,L$5:L565,1)=1,1,0),0)</f>
        <v/>
      </c>
      <c r="N565">
        <f>IF(C565="",0,IF(AND(B565="office",E565="budget_probe",N(F565)&gt;=Inputs!$C$129),1,0))</f>
        <v/>
      </c>
      <c r="O565">
        <f>IF(N565=1,IF(COUNTIFS(C$5:C565,C565,N$5:N565,1)=1,1,0),0)</f>
        <v/>
      </c>
      <c r="P565">
        <f>IF(C565="",0,IF(AND(B565="brand",E565="renewal_answer",N(F565)&gt;=Inputs!$C$125),1,0))</f>
        <v/>
      </c>
      <c r="Q565">
        <f>IF(AND(B565="office",E565="budget_probe",ISNUMBER(F565)),F565,"")</f>
        <v/>
      </c>
      <c r="R565">
        <f>IF(AND(B565="brand",E565="budget_probe",ISNUMBER(F565)),F565,"")</f>
        <v/>
      </c>
    </row>
    <row r="566">
      <c r="A566" s="91" t="n"/>
      <c r="B566" s="92" t="n"/>
      <c r="C566" s="92" t="n"/>
      <c r="D566" s="92" t="n"/>
      <c r="E566" s="92" t="n"/>
      <c r="F566" s="92" t="n"/>
      <c r="G566" s="92" t="n"/>
      <c r="H566" s="92" t="n"/>
      <c r="I566" s="92" t="n"/>
      <c r="K566">
        <f>IF(C566="","",IF(COUNTIFS(C$5:C566,C566,E$5:E566,E566)=1,1,0))</f>
        <v/>
      </c>
      <c r="L566">
        <f>IF(C566="",0,IF(AND(B566="brand",E566="budget_probe",N(F566)&gt;=Inputs!$C$114,H566="Y"),1,0))</f>
        <v/>
      </c>
      <c r="M566">
        <f>IF(L566=1,IF(COUNTIFS(C$5:C566,C566,L$5:L566,1)=1,1,0),0)</f>
        <v/>
      </c>
      <c r="N566">
        <f>IF(C566="",0,IF(AND(B566="office",E566="budget_probe",N(F566)&gt;=Inputs!$C$129),1,0))</f>
        <v/>
      </c>
      <c r="O566">
        <f>IF(N566=1,IF(COUNTIFS(C$5:C566,C566,N$5:N566,1)=1,1,0),0)</f>
        <v/>
      </c>
      <c r="P566">
        <f>IF(C566="",0,IF(AND(B566="brand",E566="renewal_answer",N(F566)&gt;=Inputs!$C$125),1,0))</f>
        <v/>
      </c>
      <c r="Q566">
        <f>IF(AND(B566="office",E566="budget_probe",ISNUMBER(F566)),F566,"")</f>
        <v/>
      </c>
      <c r="R566">
        <f>IF(AND(B566="brand",E566="budget_probe",ISNUMBER(F566)),F566,"")</f>
        <v/>
      </c>
    </row>
    <row r="567">
      <c r="A567" s="91" t="n"/>
      <c r="B567" s="92" t="n"/>
      <c r="C567" s="92" t="n"/>
      <c r="D567" s="92" t="n"/>
      <c r="E567" s="92" t="n"/>
      <c r="F567" s="92" t="n"/>
      <c r="G567" s="92" t="n"/>
      <c r="H567" s="92" t="n"/>
      <c r="I567" s="92" t="n"/>
      <c r="K567">
        <f>IF(C567="","",IF(COUNTIFS(C$5:C567,C567,E$5:E567,E567)=1,1,0))</f>
        <v/>
      </c>
      <c r="L567">
        <f>IF(C567="",0,IF(AND(B567="brand",E567="budget_probe",N(F567)&gt;=Inputs!$C$114,H567="Y"),1,0))</f>
        <v/>
      </c>
      <c r="M567">
        <f>IF(L567=1,IF(COUNTIFS(C$5:C567,C567,L$5:L567,1)=1,1,0),0)</f>
        <v/>
      </c>
      <c r="N567">
        <f>IF(C567="",0,IF(AND(B567="office",E567="budget_probe",N(F567)&gt;=Inputs!$C$129),1,0))</f>
        <v/>
      </c>
      <c r="O567">
        <f>IF(N567=1,IF(COUNTIFS(C$5:C567,C567,N$5:N567,1)=1,1,0),0)</f>
        <v/>
      </c>
      <c r="P567">
        <f>IF(C567="",0,IF(AND(B567="brand",E567="renewal_answer",N(F567)&gt;=Inputs!$C$125),1,0))</f>
        <v/>
      </c>
      <c r="Q567">
        <f>IF(AND(B567="office",E567="budget_probe",ISNUMBER(F567)),F567,"")</f>
        <v/>
      </c>
      <c r="R567">
        <f>IF(AND(B567="brand",E567="budget_probe",ISNUMBER(F567)),F567,"")</f>
        <v/>
      </c>
    </row>
    <row r="568">
      <c r="A568" s="91" t="n"/>
      <c r="B568" s="92" t="n"/>
      <c r="C568" s="92" t="n"/>
      <c r="D568" s="92" t="n"/>
      <c r="E568" s="92" t="n"/>
      <c r="F568" s="92" t="n"/>
      <c r="G568" s="92" t="n"/>
      <c r="H568" s="92" t="n"/>
      <c r="I568" s="92" t="n"/>
      <c r="K568">
        <f>IF(C568="","",IF(COUNTIFS(C$5:C568,C568,E$5:E568,E568)=1,1,0))</f>
        <v/>
      </c>
      <c r="L568">
        <f>IF(C568="",0,IF(AND(B568="brand",E568="budget_probe",N(F568)&gt;=Inputs!$C$114,H568="Y"),1,0))</f>
        <v/>
      </c>
      <c r="M568">
        <f>IF(L568=1,IF(COUNTIFS(C$5:C568,C568,L$5:L568,1)=1,1,0),0)</f>
        <v/>
      </c>
      <c r="N568">
        <f>IF(C568="",0,IF(AND(B568="office",E568="budget_probe",N(F568)&gt;=Inputs!$C$129),1,0))</f>
        <v/>
      </c>
      <c r="O568">
        <f>IF(N568=1,IF(COUNTIFS(C$5:C568,C568,N$5:N568,1)=1,1,0),0)</f>
        <v/>
      </c>
      <c r="P568">
        <f>IF(C568="",0,IF(AND(B568="brand",E568="renewal_answer",N(F568)&gt;=Inputs!$C$125),1,0))</f>
        <v/>
      </c>
      <c r="Q568">
        <f>IF(AND(B568="office",E568="budget_probe",ISNUMBER(F568)),F568,"")</f>
        <v/>
      </c>
      <c r="R568">
        <f>IF(AND(B568="brand",E568="budget_probe",ISNUMBER(F568)),F568,"")</f>
        <v/>
      </c>
    </row>
    <row r="569">
      <c r="A569" s="91" t="n"/>
      <c r="B569" s="92" t="n"/>
      <c r="C569" s="92" t="n"/>
      <c r="D569" s="92" t="n"/>
      <c r="E569" s="92" t="n"/>
      <c r="F569" s="92" t="n"/>
      <c r="G569" s="92" t="n"/>
      <c r="H569" s="92" t="n"/>
      <c r="I569" s="92" t="n"/>
      <c r="K569">
        <f>IF(C569="","",IF(COUNTIFS(C$5:C569,C569,E$5:E569,E569)=1,1,0))</f>
        <v/>
      </c>
      <c r="L569">
        <f>IF(C569="",0,IF(AND(B569="brand",E569="budget_probe",N(F569)&gt;=Inputs!$C$114,H569="Y"),1,0))</f>
        <v/>
      </c>
      <c r="M569">
        <f>IF(L569=1,IF(COUNTIFS(C$5:C569,C569,L$5:L569,1)=1,1,0),0)</f>
        <v/>
      </c>
      <c r="N569">
        <f>IF(C569="",0,IF(AND(B569="office",E569="budget_probe",N(F569)&gt;=Inputs!$C$129),1,0))</f>
        <v/>
      </c>
      <c r="O569">
        <f>IF(N569=1,IF(COUNTIFS(C$5:C569,C569,N$5:N569,1)=1,1,0),0)</f>
        <v/>
      </c>
      <c r="P569">
        <f>IF(C569="",0,IF(AND(B569="brand",E569="renewal_answer",N(F569)&gt;=Inputs!$C$125),1,0))</f>
        <v/>
      </c>
      <c r="Q569">
        <f>IF(AND(B569="office",E569="budget_probe",ISNUMBER(F569)),F569,"")</f>
        <v/>
      </c>
      <c r="R569">
        <f>IF(AND(B569="brand",E569="budget_probe",ISNUMBER(F569)),F569,"")</f>
        <v/>
      </c>
    </row>
    <row r="570">
      <c r="A570" s="91" t="n"/>
      <c r="B570" s="92" t="n"/>
      <c r="C570" s="92" t="n"/>
      <c r="D570" s="92" t="n"/>
      <c r="E570" s="92" t="n"/>
      <c r="F570" s="92" t="n"/>
      <c r="G570" s="92" t="n"/>
      <c r="H570" s="92" t="n"/>
      <c r="I570" s="92" t="n"/>
      <c r="K570">
        <f>IF(C570="","",IF(COUNTIFS(C$5:C570,C570,E$5:E570,E570)=1,1,0))</f>
        <v/>
      </c>
      <c r="L570">
        <f>IF(C570="",0,IF(AND(B570="brand",E570="budget_probe",N(F570)&gt;=Inputs!$C$114,H570="Y"),1,0))</f>
        <v/>
      </c>
      <c r="M570">
        <f>IF(L570=1,IF(COUNTIFS(C$5:C570,C570,L$5:L570,1)=1,1,0),0)</f>
        <v/>
      </c>
      <c r="N570">
        <f>IF(C570="",0,IF(AND(B570="office",E570="budget_probe",N(F570)&gt;=Inputs!$C$129),1,0))</f>
        <v/>
      </c>
      <c r="O570">
        <f>IF(N570=1,IF(COUNTIFS(C$5:C570,C570,N$5:N570,1)=1,1,0),0)</f>
        <v/>
      </c>
      <c r="P570">
        <f>IF(C570="",0,IF(AND(B570="brand",E570="renewal_answer",N(F570)&gt;=Inputs!$C$125),1,0))</f>
        <v/>
      </c>
      <c r="Q570">
        <f>IF(AND(B570="office",E570="budget_probe",ISNUMBER(F570)),F570,"")</f>
        <v/>
      </c>
      <c r="R570">
        <f>IF(AND(B570="brand",E570="budget_probe",ISNUMBER(F570)),F570,"")</f>
        <v/>
      </c>
    </row>
    <row r="571">
      <c r="A571" s="91" t="n"/>
      <c r="B571" s="92" t="n"/>
      <c r="C571" s="92" t="n"/>
      <c r="D571" s="92" t="n"/>
      <c r="E571" s="92" t="n"/>
      <c r="F571" s="92" t="n"/>
      <c r="G571" s="92" t="n"/>
      <c r="H571" s="92" t="n"/>
      <c r="I571" s="92" t="n"/>
      <c r="K571">
        <f>IF(C571="","",IF(COUNTIFS(C$5:C571,C571,E$5:E571,E571)=1,1,0))</f>
        <v/>
      </c>
      <c r="L571">
        <f>IF(C571="",0,IF(AND(B571="brand",E571="budget_probe",N(F571)&gt;=Inputs!$C$114,H571="Y"),1,0))</f>
        <v/>
      </c>
      <c r="M571">
        <f>IF(L571=1,IF(COUNTIFS(C$5:C571,C571,L$5:L571,1)=1,1,0),0)</f>
        <v/>
      </c>
      <c r="N571">
        <f>IF(C571="",0,IF(AND(B571="office",E571="budget_probe",N(F571)&gt;=Inputs!$C$129),1,0))</f>
        <v/>
      </c>
      <c r="O571">
        <f>IF(N571=1,IF(COUNTIFS(C$5:C571,C571,N$5:N571,1)=1,1,0),0)</f>
        <v/>
      </c>
      <c r="P571">
        <f>IF(C571="",0,IF(AND(B571="brand",E571="renewal_answer",N(F571)&gt;=Inputs!$C$125),1,0))</f>
        <v/>
      </c>
      <c r="Q571">
        <f>IF(AND(B571="office",E571="budget_probe",ISNUMBER(F571)),F571,"")</f>
        <v/>
      </c>
      <c r="R571">
        <f>IF(AND(B571="brand",E571="budget_probe",ISNUMBER(F571)),F571,"")</f>
        <v/>
      </c>
    </row>
    <row r="572">
      <c r="A572" s="91" t="n"/>
      <c r="B572" s="92" t="n"/>
      <c r="C572" s="92" t="n"/>
      <c r="D572" s="92" t="n"/>
      <c r="E572" s="92" t="n"/>
      <c r="F572" s="92" t="n"/>
      <c r="G572" s="92" t="n"/>
      <c r="H572" s="92" t="n"/>
      <c r="I572" s="92" t="n"/>
      <c r="K572">
        <f>IF(C572="","",IF(COUNTIFS(C$5:C572,C572,E$5:E572,E572)=1,1,0))</f>
        <v/>
      </c>
      <c r="L572">
        <f>IF(C572="",0,IF(AND(B572="brand",E572="budget_probe",N(F572)&gt;=Inputs!$C$114,H572="Y"),1,0))</f>
        <v/>
      </c>
      <c r="M572">
        <f>IF(L572=1,IF(COUNTIFS(C$5:C572,C572,L$5:L572,1)=1,1,0),0)</f>
        <v/>
      </c>
      <c r="N572">
        <f>IF(C572="",0,IF(AND(B572="office",E572="budget_probe",N(F572)&gt;=Inputs!$C$129),1,0))</f>
        <v/>
      </c>
      <c r="O572">
        <f>IF(N572=1,IF(COUNTIFS(C$5:C572,C572,N$5:N572,1)=1,1,0),0)</f>
        <v/>
      </c>
      <c r="P572">
        <f>IF(C572="",0,IF(AND(B572="brand",E572="renewal_answer",N(F572)&gt;=Inputs!$C$125),1,0))</f>
        <v/>
      </c>
      <c r="Q572">
        <f>IF(AND(B572="office",E572="budget_probe",ISNUMBER(F572)),F572,"")</f>
        <v/>
      </c>
      <c r="R572">
        <f>IF(AND(B572="brand",E572="budget_probe",ISNUMBER(F572)),F572,"")</f>
        <v/>
      </c>
    </row>
    <row r="573">
      <c r="A573" s="91" t="n"/>
      <c r="B573" s="92" t="n"/>
      <c r="C573" s="92" t="n"/>
      <c r="D573" s="92" t="n"/>
      <c r="E573" s="92" t="n"/>
      <c r="F573" s="92" t="n"/>
      <c r="G573" s="92" t="n"/>
      <c r="H573" s="92" t="n"/>
      <c r="I573" s="92" t="n"/>
      <c r="K573">
        <f>IF(C573="","",IF(COUNTIFS(C$5:C573,C573,E$5:E573,E573)=1,1,0))</f>
        <v/>
      </c>
      <c r="L573">
        <f>IF(C573="",0,IF(AND(B573="brand",E573="budget_probe",N(F573)&gt;=Inputs!$C$114,H573="Y"),1,0))</f>
        <v/>
      </c>
      <c r="M573">
        <f>IF(L573=1,IF(COUNTIFS(C$5:C573,C573,L$5:L573,1)=1,1,0),0)</f>
        <v/>
      </c>
      <c r="N573">
        <f>IF(C573="",0,IF(AND(B573="office",E573="budget_probe",N(F573)&gt;=Inputs!$C$129),1,0))</f>
        <v/>
      </c>
      <c r="O573">
        <f>IF(N573=1,IF(COUNTIFS(C$5:C573,C573,N$5:N573,1)=1,1,0),0)</f>
        <v/>
      </c>
      <c r="P573">
        <f>IF(C573="",0,IF(AND(B573="brand",E573="renewal_answer",N(F573)&gt;=Inputs!$C$125),1,0))</f>
        <v/>
      </c>
      <c r="Q573">
        <f>IF(AND(B573="office",E573="budget_probe",ISNUMBER(F573)),F573,"")</f>
        <v/>
      </c>
      <c r="R573">
        <f>IF(AND(B573="brand",E573="budget_probe",ISNUMBER(F573)),F573,"")</f>
        <v/>
      </c>
    </row>
    <row r="574">
      <c r="A574" s="91" t="n"/>
      <c r="B574" s="92" t="n"/>
      <c r="C574" s="92" t="n"/>
      <c r="D574" s="92" t="n"/>
      <c r="E574" s="92" t="n"/>
      <c r="F574" s="92" t="n"/>
      <c r="G574" s="92" t="n"/>
      <c r="H574" s="92" t="n"/>
      <c r="I574" s="92" t="n"/>
      <c r="K574">
        <f>IF(C574="","",IF(COUNTIFS(C$5:C574,C574,E$5:E574,E574)=1,1,0))</f>
        <v/>
      </c>
      <c r="L574">
        <f>IF(C574="",0,IF(AND(B574="brand",E574="budget_probe",N(F574)&gt;=Inputs!$C$114,H574="Y"),1,0))</f>
        <v/>
      </c>
      <c r="M574">
        <f>IF(L574=1,IF(COUNTIFS(C$5:C574,C574,L$5:L574,1)=1,1,0),0)</f>
        <v/>
      </c>
      <c r="N574">
        <f>IF(C574="",0,IF(AND(B574="office",E574="budget_probe",N(F574)&gt;=Inputs!$C$129),1,0))</f>
        <v/>
      </c>
      <c r="O574">
        <f>IF(N574=1,IF(COUNTIFS(C$5:C574,C574,N$5:N574,1)=1,1,0),0)</f>
        <v/>
      </c>
      <c r="P574">
        <f>IF(C574="",0,IF(AND(B574="brand",E574="renewal_answer",N(F574)&gt;=Inputs!$C$125),1,0))</f>
        <v/>
      </c>
      <c r="Q574">
        <f>IF(AND(B574="office",E574="budget_probe",ISNUMBER(F574)),F574,"")</f>
        <v/>
      </c>
      <c r="R574">
        <f>IF(AND(B574="brand",E574="budget_probe",ISNUMBER(F574)),F574,"")</f>
        <v/>
      </c>
    </row>
    <row r="575">
      <c r="A575" s="91" t="n"/>
      <c r="B575" s="92" t="n"/>
      <c r="C575" s="92" t="n"/>
      <c r="D575" s="92" t="n"/>
      <c r="E575" s="92" t="n"/>
      <c r="F575" s="92" t="n"/>
      <c r="G575" s="92" t="n"/>
      <c r="H575" s="92" t="n"/>
      <c r="I575" s="92" t="n"/>
      <c r="K575">
        <f>IF(C575="","",IF(COUNTIFS(C$5:C575,C575,E$5:E575,E575)=1,1,0))</f>
        <v/>
      </c>
      <c r="L575">
        <f>IF(C575="",0,IF(AND(B575="brand",E575="budget_probe",N(F575)&gt;=Inputs!$C$114,H575="Y"),1,0))</f>
        <v/>
      </c>
      <c r="M575">
        <f>IF(L575=1,IF(COUNTIFS(C$5:C575,C575,L$5:L575,1)=1,1,0),0)</f>
        <v/>
      </c>
      <c r="N575">
        <f>IF(C575="",0,IF(AND(B575="office",E575="budget_probe",N(F575)&gt;=Inputs!$C$129),1,0))</f>
        <v/>
      </c>
      <c r="O575">
        <f>IF(N575=1,IF(COUNTIFS(C$5:C575,C575,N$5:N575,1)=1,1,0),0)</f>
        <v/>
      </c>
      <c r="P575">
        <f>IF(C575="",0,IF(AND(B575="brand",E575="renewal_answer",N(F575)&gt;=Inputs!$C$125),1,0))</f>
        <v/>
      </c>
      <c r="Q575">
        <f>IF(AND(B575="office",E575="budget_probe",ISNUMBER(F575)),F575,"")</f>
        <v/>
      </c>
      <c r="R575">
        <f>IF(AND(B575="brand",E575="budget_probe",ISNUMBER(F575)),F575,"")</f>
        <v/>
      </c>
    </row>
    <row r="576">
      <c r="A576" s="91" t="n"/>
      <c r="B576" s="92" t="n"/>
      <c r="C576" s="92" t="n"/>
      <c r="D576" s="92" t="n"/>
      <c r="E576" s="92" t="n"/>
      <c r="F576" s="92" t="n"/>
      <c r="G576" s="92" t="n"/>
      <c r="H576" s="92" t="n"/>
      <c r="I576" s="92" t="n"/>
      <c r="K576">
        <f>IF(C576="","",IF(COUNTIFS(C$5:C576,C576,E$5:E576,E576)=1,1,0))</f>
        <v/>
      </c>
      <c r="L576">
        <f>IF(C576="",0,IF(AND(B576="brand",E576="budget_probe",N(F576)&gt;=Inputs!$C$114,H576="Y"),1,0))</f>
        <v/>
      </c>
      <c r="M576">
        <f>IF(L576=1,IF(COUNTIFS(C$5:C576,C576,L$5:L576,1)=1,1,0),0)</f>
        <v/>
      </c>
      <c r="N576">
        <f>IF(C576="",0,IF(AND(B576="office",E576="budget_probe",N(F576)&gt;=Inputs!$C$129),1,0))</f>
        <v/>
      </c>
      <c r="O576">
        <f>IF(N576=1,IF(COUNTIFS(C$5:C576,C576,N$5:N576,1)=1,1,0),0)</f>
        <v/>
      </c>
      <c r="P576">
        <f>IF(C576="",0,IF(AND(B576="brand",E576="renewal_answer",N(F576)&gt;=Inputs!$C$125),1,0))</f>
        <v/>
      </c>
      <c r="Q576">
        <f>IF(AND(B576="office",E576="budget_probe",ISNUMBER(F576)),F576,"")</f>
        <v/>
      </c>
      <c r="R576">
        <f>IF(AND(B576="brand",E576="budget_probe",ISNUMBER(F576)),F576,"")</f>
        <v/>
      </c>
    </row>
    <row r="577">
      <c r="A577" s="91" t="n"/>
      <c r="B577" s="92" t="n"/>
      <c r="C577" s="92" t="n"/>
      <c r="D577" s="92" t="n"/>
      <c r="E577" s="92" t="n"/>
      <c r="F577" s="92" t="n"/>
      <c r="G577" s="92" t="n"/>
      <c r="H577" s="92" t="n"/>
      <c r="I577" s="92" t="n"/>
      <c r="K577">
        <f>IF(C577="","",IF(COUNTIFS(C$5:C577,C577,E$5:E577,E577)=1,1,0))</f>
        <v/>
      </c>
      <c r="L577">
        <f>IF(C577="",0,IF(AND(B577="brand",E577="budget_probe",N(F577)&gt;=Inputs!$C$114,H577="Y"),1,0))</f>
        <v/>
      </c>
      <c r="M577">
        <f>IF(L577=1,IF(COUNTIFS(C$5:C577,C577,L$5:L577,1)=1,1,0),0)</f>
        <v/>
      </c>
      <c r="N577">
        <f>IF(C577="",0,IF(AND(B577="office",E577="budget_probe",N(F577)&gt;=Inputs!$C$129),1,0))</f>
        <v/>
      </c>
      <c r="O577">
        <f>IF(N577=1,IF(COUNTIFS(C$5:C577,C577,N$5:N577,1)=1,1,0),0)</f>
        <v/>
      </c>
      <c r="P577">
        <f>IF(C577="",0,IF(AND(B577="brand",E577="renewal_answer",N(F577)&gt;=Inputs!$C$125),1,0))</f>
        <v/>
      </c>
      <c r="Q577">
        <f>IF(AND(B577="office",E577="budget_probe",ISNUMBER(F577)),F577,"")</f>
        <v/>
      </c>
      <c r="R577">
        <f>IF(AND(B577="brand",E577="budget_probe",ISNUMBER(F577)),F577,"")</f>
        <v/>
      </c>
    </row>
    <row r="578">
      <c r="A578" s="91" t="n"/>
      <c r="B578" s="92" t="n"/>
      <c r="C578" s="92" t="n"/>
      <c r="D578" s="92" t="n"/>
      <c r="E578" s="92" t="n"/>
      <c r="F578" s="92" t="n"/>
      <c r="G578" s="92" t="n"/>
      <c r="H578" s="92" t="n"/>
      <c r="I578" s="92" t="n"/>
      <c r="K578">
        <f>IF(C578="","",IF(COUNTIFS(C$5:C578,C578,E$5:E578,E578)=1,1,0))</f>
        <v/>
      </c>
      <c r="L578">
        <f>IF(C578="",0,IF(AND(B578="brand",E578="budget_probe",N(F578)&gt;=Inputs!$C$114,H578="Y"),1,0))</f>
        <v/>
      </c>
      <c r="M578">
        <f>IF(L578=1,IF(COUNTIFS(C$5:C578,C578,L$5:L578,1)=1,1,0),0)</f>
        <v/>
      </c>
      <c r="N578">
        <f>IF(C578="",0,IF(AND(B578="office",E578="budget_probe",N(F578)&gt;=Inputs!$C$129),1,0))</f>
        <v/>
      </c>
      <c r="O578">
        <f>IF(N578=1,IF(COUNTIFS(C$5:C578,C578,N$5:N578,1)=1,1,0),0)</f>
        <v/>
      </c>
      <c r="P578">
        <f>IF(C578="",0,IF(AND(B578="brand",E578="renewal_answer",N(F578)&gt;=Inputs!$C$125),1,0))</f>
        <v/>
      </c>
      <c r="Q578">
        <f>IF(AND(B578="office",E578="budget_probe",ISNUMBER(F578)),F578,"")</f>
        <v/>
      </c>
      <c r="R578">
        <f>IF(AND(B578="brand",E578="budget_probe",ISNUMBER(F578)),F578,"")</f>
        <v/>
      </c>
    </row>
    <row r="579">
      <c r="A579" s="91" t="n"/>
      <c r="B579" s="92" t="n"/>
      <c r="C579" s="92" t="n"/>
      <c r="D579" s="92" t="n"/>
      <c r="E579" s="92" t="n"/>
      <c r="F579" s="92" t="n"/>
      <c r="G579" s="92" t="n"/>
      <c r="H579" s="92" t="n"/>
      <c r="I579" s="92" t="n"/>
      <c r="K579">
        <f>IF(C579="","",IF(COUNTIFS(C$5:C579,C579,E$5:E579,E579)=1,1,0))</f>
        <v/>
      </c>
      <c r="L579">
        <f>IF(C579="",0,IF(AND(B579="brand",E579="budget_probe",N(F579)&gt;=Inputs!$C$114,H579="Y"),1,0))</f>
        <v/>
      </c>
      <c r="M579">
        <f>IF(L579=1,IF(COUNTIFS(C$5:C579,C579,L$5:L579,1)=1,1,0),0)</f>
        <v/>
      </c>
      <c r="N579">
        <f>IF(C579="",0,IF(AND(B579="office",E579="budget_probe",N(F579)&gt;=Inputs!$C$129),1,0))</f>
        <v/>
      </c>
      <c r="O579">
        <f>IF(N579=1,IF(COUNTIFS(C$5:C579,C579,N$5:N579,1)=1,1,0),0)</f>
        <v/>
      </c>
      <c r="P579">
        <f>IF(C579="",0,IF(AND(B579="brand",E579="renewal_answer",N(F579)&gt;=Inputs!$C$125),1,0))</f>
        <v/>
      </c>
      <c r="Q579">
        <f>IF(AND(B579="office",E579="budget_probe",ISNUMBER(F579)),F579,"")</f>
        <v/>
      </c>
      <c r="R579">
        <f>IF(AND(B579="brand",E579="budget_probe",ISNUMBER(F579)),F579,"")</f>
        <v/>
      </c>
    </row>
    <row r="580">
      <c r="A580" s="91" t="n"/>
      <c r="B580" s="92" t="n"/>
      <c r="C580" s="92" t="n"/>
      <c r="D580" s="92" t="n"/>
      <c r="E580" s="92" t="n"/>
      <c r="F580" s="92" t="n"/>
      <c r="G580" s="92" t="n"/>
      <c r="H580" s="92" t="n"/>
      <c r="I580" s="92" t="n"/>
      <c r="K580">
        <f>IF(C580="","",IF(COUNTIFS(C$5:C580,C580,E$5:E580,E580)=1,1,0))</f>
        <v/>
      </c>
      <c r="L580">
        <f>IF(C580="",0,IF(AND(B580="brand",E580="budget_probe",N(F580)&gt;=Inputs!$C$114,H580="Y"),1,0))</f>
        <v/>
      </c>
      <c r="M580">
        <f>IF(L580=1,IF(COUNTIFS(C$5:C580,C580,L$5:L580,1)=1,1,0),0)</f>
        <v/>
      </c>
      <c r="N580">
        <f>IF(C580="",0,IF(AND(B580="office",E580="budget_probe",N(F580)&gt;=Inputs!$C$129),1,0))</f>
        <v/>
      </c>
      <c r="O580">
        <f>IF(N580=1,IF(COUNTIFS(C$5:C580,C580,N$5:N580,1)=1,1,0),0)</f>
        <v/>
      </c>
      <c r="P580">
        <f>IF(C580="",0,IF(AND(B580="brand",E580="renewal_answer",N(F580)&gt;=Inputs!$C$125),1,0))</f>
        <v/>
      </c>
      <c r="Q580">
        <f>IF(AND(B580="office",E580="budget_probe",ISNUMBER(F580)),F580,"")</f>
        <v/>
      </c>
      <c r="R580">
        <f>IF(AND(B580="brand",E580="budget_probe",ISNUMBER(F580)),F580,"")</f>
        <v/>
      </c>
    </row>
    <row r="581">
      <c r="A581" s="91" t="n"/>
      <c r="B581" s="92" t="n"/>
      <c r="C581" s="92" t="n"/>
      <c r="D581" s="92" t="n"/>
      <c r="E581" s="92" t="n"/>
      <c r="F581" s="92" t="n"/>
      <c r="G581" s="92" t="n"/>
      <c r="H581" s="92" t="n"/>
      <c r="I581" s="92" t="n"/>
      <c r="K581">
        <f>IF(C581="","",IF(COUNTIFS(C$5:C581,C581,E$5:E581,E581)=1,1,0))</f>
        <v/>
      </c>
      <c r="L581">
        <f>IF(C581="",0,IF(AND(B581="brand",E581="budget_probe",N(F581)&gt;=Inputs!$C$114,H581="Y"),1,0))</f>
        <v/>
      </c>
      <c r="M581">
        <f>IF(L581=1,IF(COUNTIFS(C$5:C581,C581,L$5:L581,1)=1,1,0),0)</f>
        <v/>
      </c>
      <c r="N581">
        <f>IF(C581="",0,IF(AND(B581="office",E581="budget_probe",N(F581)&gt;=Inputs!$C$129),1,0))</f>
        <v/>
      </c>
      <c r="O581">
        <f>IF(N581=1,IF(COUNTIFS(C$5:C581,C581,N$5:N581,1)=1,1,0),0)</f>
        <v/>
      </c>
      <c r="P581">
        <f>IF(C581="",0,IF(AND(B581="brand",E581="renewal_answer",N(F581)&gt;=Inputs!$C$125),1,0))</f>
        <v/>
      </c>
      <c r="Q581">
        <f>IF(AND(B581="office",E581="budget_probe",ISNUMBER(F581)),F581,"")</f>
        <v/>
      </c>
      <c r="R581">
        <f>IF(AND(B581="brand",E581="budget_probe",ISNUMBER(F581)),F581,"")</f>
        <v/>
      </c>
    </row>
    <row r="582">
      <c r="A582" s="91" t="n"/>
      <c r="B582" s="92" t="n"/>
      <c r="C582" s="92" t="n"/>
      <c r="D582" s="92" t="n"/>
      <c r="E582" s="92" t="n"/>
      <c r="F582" s="92" t="n"/>
      <c r="G582" s="92" t="n"/>
      <c r="H582" s="92" t="n"/>
      <c r="I582" s="92" t="n"/>
      <c r="K582">
        <f>IF(C582="","",IF(COUNTIFS(C$5:C582,C582,E$5:E582,E582)=1,1,0))</f>
        <v/>
      </c>
      <c r="L582">
        <f>IF(C582="",0,IF(AND(B582="brand",E582="budget_probe",N(F582)&gt;=Inputs!$C$114,H582="Y"),1,0))</f>
        <v/>
      </c>
      <c r="M582">
        <f>IF(L582=1,IF(COUNTIFS(C$5:C582,C582,L$5:L582,1)=1,1,0),0)</f>
        <v/>
      </c>
      <c r="N582">
        <f>IF(C582="",0,IF(AND(B582="office",E582="budget_probe",N(F582)&gt;=Inputs!$C$129),1,0))</f>
        <v/>
      </c>
      <c r="O582">
        <f>IF(N582=1,IF(COUNTIFS(C$5:C582,C582,N$5:N582,1)=1,1,0),0)</f>
        <v/>
      </c>
      <c r="P582">
        <f>IF(C582="",0,IF(AND(B582="brand",E582="renewal_answer",N(F582)&gt;=Inputs!$C$125),1,0))</f>
        <v/>
      </c>
      <c r="Q582">
        <f>IF(AND(B582="office",E582="budget_probe",ISNUMBER(F582)),F582,"")</f>
        <v/>
      </c>
      <c r="R582">
        <f>IF(AND(B582="brand",E582="budget_probe",ISNUMBER(F582)),F582,"")</f>
        <v/>
      </c>
    </row>
    <row r="583">
      <c r="A583" s="91" t="n"/>
      <c r="B583" s="92" t="n"/>
      <c r="C583" s="92" t="n"/>
      <c r="D583" s="92" t="n"/>
      <c r="E583" s="92" t="n"/>
      <c r="F583" s="92" t="n"/>
      <c r="G583" s="92" t="n"/>
      <c r="H583" s="92" t="n"/>
      <c r="I583" s="92" t="n"/>
      <c r="K583">
        <f>IF(C583="","",IF(COUNTIFS(C$5:C583,C583,E$5:E583,E583)=1,1,0))</f>
        <v/>
      </c>
      <c r="L583">
        <f>IF(C583="",0,IF(AND(B583="brand",E583="budget_probe",N(F583)&gt;=Inputs!$C$114,H583="Y"),1,0))</f>
        <v/>
      </c>
      <c r="M583">
        <f>IF(L583=1,IF(COUNTIFS(C$5:C583,C583,L$5:L583,1)=1,1,0),0)</f>
        <v/>
      </c>
      <c r="N583">
        <f>IF(C583="",0,IF(AND(B583="office",E583="budget_probe",N(F583)&gt;=Inputs!$C$129),1,0))</f>
        <v/>
      </c>
      <c r="O583">
        <f>IF(N583=1,IF(COUNTIFS(C$5:C583,C583,N$5:N583,1)=1,1,0),0)</f>
        <v/>
      </c>
      <c r="P583">
        <f>IF(C583="",0,IF(AND(B583="brand",E583="renewal_answer",N(F583)&gt;=Inputs!$C$125),1,0))</f>
        <v/>
      </c>
      <c r="Q583">
        <f>IF(AND(B583="office",E583="budget_probe",ISNUMBER(F583)),F583,"")</f>
        <v/>
      </c>
      <c r="R583">
        <f>IF(AND(B583="brand",E583="budget_probe",ISNUMBER(F583)),F583,"")</f>
        <v/>
      </c>
    </row>
    <row r="584">
      <c r="A584" s="91" t="n"/>
      <c r="B584" s="92" t="n"/>
      <c r="C584" s="92" t="n"/>
      <c r="D584" s="92" t="n"/>
      <c r="E584" s="92" t="n"/>
      <c r="F584" s="92" t="n"/>
      <c r="G584" s="92" t="n"/>
      <c r="H584" s="92" t="n"/>
      <c r="I584" s="92" t="n"/>
      <c r="K584">
        <f>IF(C584="","",IF(COUNTIFS(C$5:C584,C584,E$5:E584,E584)=1,1,0))</f>
        <v/>
      </c>
      <c r="L584">
        <f>IF(C584="",0,IF(AND(B584="brand",E584="budget_probe",N(F584)&gt;=Inputs!$C$114,H584="Y"),1,0))</f>
        <v/>
      </c>
      <c r="M584">
        <f>IF(L584=1,IF(COUNTIFS(C$5:C584,C584,L$5:L584,1)=1,1,0),0)</f>
        <v/>
      </c>
      <c r="N584">
        <f>IF(C584="",0,IF(AND(B584="office",E584="budget_probe",N(F584)&gt;=Inputs!$C$129),1,0))</f>
        <v/>
      </c>
      <c r="O584">
        <f>IF(N584=1,IF(COUNTIFS(C$5:C584,C584,N$5:N584,1)=1,1,0),0)</f>
        <v/>
      </c>
      <c r="P584">
        <f>IF(C584="",0,IF(AND(B584="brand",E584="renewal_answer",N(F584)&gt;=Inputs!$C$125),1,0))</f>
        <v/>
      </c>
      <c r="Q584">
        <f>IF(AND(B584="office",E584="budget_probe",ISNUMBER(F584)),F584,"")</f>
        <v/>
      </c>
      <c r="R584">
        <f>IF(AND(B584="brand",E584="budget_probe",ISNUMBER(F584)),F584,"")</f>
        <v/>
      </c>
    </row>
    <row r="585">
      <c r="A585" s="91" t="n"/>
      <c r="B585" s="92" t="n"/>
      <c r="C585" s="92" t="n"/>
      <c r="D585" s="92" t="n"/>
      <c r="E585" s="92" t="n"/>
      <c r="F585" s="92" t="n"/>
      <c r="G585" s="92" t="n"/>
      <c r="H585" s="92" t="n"/>
      <c r="I585" s="92" t="n"/>
      <c r="K585">
        <f>IF(C585="","",IF(COUNTIFS(C$5:C585,C585,E$5:E585,E585)=1,1,0))</f>
        <v/>
      </c>
      <c r="L585">
        <f>IF(C585="",0,IF(AND(B585="brand",E585="budget_probe",N(F585)&gt;=Inputs!$C$114,H585="Y"),1,0))</f>
        <v/>
      </c>
      <c r="M585">
        <f>IF(L585=1,IF(COUNTIFS(C$5:C585,C585,L$5:L585,1)=1,1,0),0)</f>
        <v/>
      </c>
      <c r="N585">
        <f>IF(C585="",0,IF(AND(B585="office",E585="budget_probe",N(F585)&gt;=Inputs!$C$129),1,0))</f>
        <v/>
      </c>
      <c r="O585">
        <f>IF(N585=1,IF(COUNTIFS(C$5:C585,C585,N$5:N585,1)=1,1,0),0)</f>
        <v/>
      </c>
      <c r="P585">
        <f>IF(C585="",0,IF(AND(B585="brand",E585="renewal_answer",N(F585)&gt;=Inputs!$C$125),1,0))</f>
        <v/>
      </c>
      <c r="Q585">
        <f>IF(AND(B585="office",E585="budget_probe",ISNUMBER(F585)),F585,"")</f>
        <v/>
      </c>
      <c r="R585">
        <f>IF(AND(B585="brand",E585="budget_probe",ISNUMBER(F585)),F585,"")</f>
        <v/>
      </c>
    </row>
    <row r="586">
      <c r="A586" s="91" t="n"/>
      <c r="B586" s="92" t="n"/>
      <c r="C586" s="92" t="n"/>
      <c r="D586" s="92" t="n"/>
      <c r="E586" s="92" t="n"/>
      <c r="F586" s="92" t="n"/>
      <c r="G586" s="92" t="n"/>
      <c r="H586" s="92" t="n"/>
      <c r="I586" s="92" t="n"/>
      <c r="K586">
        <f>IF(C586="","",IF(COUNTIFS(C$5:C586,C586,E$5:E586,E586)=1,1,0))</f>
        <v/>
      </c>
      <c r="L586">
        <f>IF(C586="",0,IF(AND(B586="brand",E586="budget_probe",N(F586)&gt;=Inputs!$C$114,H586="Y"),1,0))</f>
        <v/>
      </c>
      <c r="M586">
        <f>IF(L586=1,IF(COUNTIFS(C$5:C586,C586,L$5:L586,1)=1,1,0),0)</f>
        <v/>
      </c>
      <c r="N586">
        <f>IF(C586="",0,IF(AND(B586="office",E586="budget_probe",N(F586)&gt;=Inputs!$C$129),1,0))</f>
        <v/>
      </c>
      <c r="O586">
        <f>IF(N586=1,IF(COUNTIFS(C$5:C586,C586,N$5:N586,1)=1,1,0),0)</f>
        <v/>
      </c>
      <c r="P586">
        <f>IF(C586="",0,IF(AND(B586="brand",E586="renewal_answer",N(F586)&gt;=Inputs!$C$125),1,0))</f>
        <v/>
      </c>
      <c r="Q586">
        <f>IF(AND(B586="office",E586="budget_probe",ISNUMBER(F586)),F586,"")</f>
        <v/>
      </c>
      <c r="R586">
        <f>IF(AND(B586="brand",E586="budget_probe",ISNUMBER(F586)),F586,"")</f>
        <v/>
      </c>
    </row>
    <row r="587">
      <c r="A587" s="91" t="n"/>
      <c r="B587" s="92" t="n"/>
      <c r="C587" s="92" t="n"/>
      <c r="D587" s="92" t="n"/>
      <c r="E587" s="92" t="n"/>
      <c r="F587" s="92" t="n"/>
      <c r="G587" s="92" t="n"/>
      <c r="H587" s="92" t="n"/>
      <c r="I587" s="92" t="n"/>
      <c r="K587">
        <f>IF(C587="","",IF(COUNTIFS(C$5:C587,C587,E$5:E587,E587)=1,1,0))</f>
        <v/>
      </c>
      <c r="L587">
        <f>IF(C587="",0,IF(AND(B587="brand",E587="budget_probe",N(F587)&gt;=Inputs!$C$114,H587="Y"),1,0))</f>
        <v/>
      </c>
      <c r="M587">
        <f>IF(L587=1,IF(COUNTIFS(C$5:C587,C587,L$5:L587,1)=1,1,0),0)</f>
        <v/>
      </c>
      <c r="N587">
        <f>IF(C587="",0,IF(AND(B587="office",E587="budget_probe",N(F587)&gt;=Inputs!$C$129),1,0))</f>
        <v/>
      </c>
      <c r="O587">
        <f>IF(N587=1,IF(COUNTIFS(C$5:C587,C587,N$5:N587,1)=1,1,0),0)</f>
        <v/>
      </c>
      <c r="P587">
        <f>IF(C587="",0,IF(AND(B587="brand",E587="renewal_answer",N(F587)&gt;=Inputs!$C$125),1,0))</f>
        <v/>
      </c>
      <c r="Q587">
        <f>IF(AND(B587="office",E587="budget_probe",ISNUMBER(F587)),F587,"")</f>
        <v/>
      </c>
      <c r="R587">
        <f>IF(AND(B587="brand",E587="budget_probe",ISNUMBER(F587)),F587,"")</f>
        <v/>
      </c>
    </row>
    <row r="588">
      <c r="A588" s="91" t="n"/>
      <c r="B588" s="92" t="n"/>
      <c r="C588" s="92" t="n"/>
      <c r="D588" s="92" t="n"/>
      <c r="E588" s="92" t="n"/>
      <c r="F588" s="92" t="n"/>
      <c r="G588" s="92" t="n"/>
      <c r="H588" s="92" t="n"/>
      <c r="I588" s="92" t="n"/>
      <c r="K588">
        <f>IF(C588="","",IF(COUNTIFS(C$5:C588,C588,E$5:E588,E588)=1,1,0))</f>
        <v/>
      </c>
      <c r="L588">
        <f>IF(C588="",0,IF(AND(B588="brand",E588="budget_probe",N(F588)&gt;=Inputs!$C$114,H588="Y"),1,0))</f>
        <v/>
      </c>
      <c r="M588">
        <f>IF(L588=1,IF(COUNTIFS(C$5:C588,C588,L$5:L588,1)=1,1,0),0)</f>
        <v/>
      </c>
      <c r="N588">
        <f>IF(C588="",0,IF(AND(B588="office",E588="budget_probe",N(F588)&gt;=Inputs!$C$129),1,0))</f>
        <v/>
      </c>
      <c r="O588">
        <f>IF(N588=1,IF(COUNTIFS(C$5:C588,C588,N$5:N588,1)=1,1,0),0)</f>
        <v/>
      </c>
      <c r="P588">
        <f>IF(C588="",0,IF(AND(B588="brand",E588="renewal_answer",N(F588)&gt;=Inputs!$C$125),1,0))</f>
        <v/>
      </c>
      <c r="Q588">
        <f>IF(AND(B588="office",E588="budget_probe",ISNUMBER(F588)),F588,"")</f>
        <v/>
      </c>
      <c r="R588">
        <f>IF(AND(B588="brand",E588="budget_probe",ISNUMBER(F588)),F588,"")</f>
        <v/>
      </c>
    </row>
    <row r="589">
      <c r="A589" s="91" t="n"/>
      <c r="B589" s="92" t="n"/>
      <c r="C589" s="92" t="n"/>
      <c r="D589" s="92" t="n"/>
      <c r="E589" s="92" t="n"/>
      <c r="F589" s="92" t="n"/>
      <c r="G589" s="92" t="n"/>
      <c r="H589" s="92" t="n"/>
      <c r="I589" s="92" t="n"/>
      <c r="K589">
        <f>IF(C589="","",IF(COUNTIFS(C$5:C589,C589,E$5:E589,E589)=1,1,0))</f>
        <v/>
      </c>
      <c r="L589">
        <f>IF(C589="",0,IF(AND(B589="brand",E589="budget_probe",N(F589)&gt;=Inputs!$C$114,H589="Y"),1,0))</f>
        <v/>
      </c>
      <c r="M589">
        <f>IF(L589=1,IF(COUNTIFS(C$5:C589,C589,L$5:L589,1)=1,1,0),0)</f>
        <v/>
      </c>
      <c r="N589">
        <f>IF(C589="",0,IF(AND(B589="office",E589="budget_probe",N(F589)&gt;=Inputs!$C$129),1,0))</f>
        <v/>
      </c>
      <c r="O589">
        <f>IF(N589=1,IF(COUNTIFS(C$5:C589,C589,N$5:N589,1)=1,1,0),0)</f>
        <v/>
      </c>
      <c r="P589">
        <f>IF(C589="",0,IF(AND(B589="brand",E589="renewal_answer",N(F589)&gt;=Inputs!$C$125),1,0))</f>
        <v/>
      </c>
      <c r="Q589">
        <f>IF(AND(B589="office",E589="budget_probe",ISNUMBER(F589)),F589,"")</f>
        <v/>
      </c>
      <c r="R589">
        <f>IF(AND(B589="brand",E589="budget_probe",ISNUMBER(F589)),F589,"")</f>
        <v/>
      </c>
    </row>
    <row r="590">
      <c r="A590" s="91" t="n"/>
      <c r="B590" s="92" t="n"/>
      <c r="C590" s="92" t="n"/>
      <c r="D590" s="92" t="n"/>
      <c r="E590" s="92" t="n"/>
      <c r="F590" s="92" t="n"/>
      <c r="G590" s="92" t="n"/>
      <c r="H590" s="92" t="n"/>
      <c r="I590" s="92" t="n"/>
      <c r="K590">
        <f>IF(C590="","",IF(COUNTIFS(C$5:C590,C590,E$5:E590,E590)=1,1,0))</f>
        <v/>
      </c>
      <c r="L590">
        <f>IF(C590="",0,IF(AND(B590="brand",E590="budget_probe",N(F590)&gt;=Inputs!$C$114,H590="Y"),1,0))</f>
        <v/>
      </c>
      <c r="M590">
        <f>IF(L590=1,IF(COUNTIFS(C$5:C590,C590,L$5:L590,1)=1,1,0),0)</f>
        <v/>
      </c>
      <c r="N590">
        <f>IF(C590="",0,IF(AND(B590="office",E590="budget_probe",N(F590)&gt;=Inputs!$C$129),1,0))</f>
        <v/>
      </c>
      <c r="O590">
        <f>IF(N590=1,IF(COUNTIFS(C$5:C590,C590,N$5:N590,1)=1,1,0),0)</f>
        <v/>
      </c>
      <c r="P590">
        <f>IF(C590="",0,IF(AND(B590="brand",E590="renewal_answer",N(F590)&gt;=Inputs!$C$125),1,0))</f>
        <v/>
      </c>
      <c r="Q590">
        <f>IF(AND(B590="office",E590="budget_probe",ISNUMBER(F590)),F590,"")</f>
        <v/>
      </c>
      <c r="R590">
        <f>IF(AND(B590="brand",E590="budget_probe",ISNUMBER(F590)),F590,"")</f>
        <v/>
      </c>
    </row>
    <row r="591">
      <c r="A591" s="91" t="n"/>
      <c r="B591" s="92" t="n"/>
      <c r="C591" s="92" t="n"/>
      <c r="D591" s="92" t="n"/>
      <c r="E591" s="92" t="n"/>
      <c r="F591" s="92" t="n"/>
      <c r="G591" s="92" t="n"/>
      <c r="H591" s="92" t="n"/>
      <c r="I591" s="92" t="n"/>
      <c r="K591">
        <f>IF(C591="","",IF(COUNTIFS(C$5:C591,C591,E$5:E591,E591)=1,1,0))</f>
        <v/>
      </c>
      <c r="L591">
        <f>IF(C591="",0,IF(AND(B591="brand",E591="budget_probe",N(F591)&gt;=Inputs!$C$114,H591="Y"),1,0))</f>
        <v/>
      </c>
      <c r="M591">
        <f>IF(L591=1,IF(COUNTIFS(C$5:C591,C591,L$5:L591,1)=1,1,0),0)</f>
        <v/>
      </c>
      <c r="N591">
        <f>IF(C591="",0,IF(AND(B591="office",E591="budget_probe",N(F591)&gt;=Inputs!$C$129),1,0))</f>
        <v/>
      </c>
      <c r="O591">
        <f>IF(N591=1,IF(COUNTIFS(C$5:C591,C591,N$5:N591,1)=1,1,0),0)</f>
        <v/>
      </c>
      <c r="P591">
        <f>IF(C591="",0,IF(AND(B591="brand",E591="renewal_answer",N(F591)&gt;=Inputs!$C$125),1,0))</f>
        <v/>
      </c>
      <c r="Q591">
        <f>IF(AND(B591="office",E591="budget_probe",ISNUMBER(F591)),F591,"")</f>
        <v/>
      </c>
      <c r="R591">
        <f>IF(AND(B591="brand",E591="budget_probe",ISNUMBER(F591)),F591,"")</f>
        <v/>
      </c>
    </row>
    <row r="592">
      <c r="A592" s="91" t="n"/>
      <c r="B592" s="92" t="n"/>
      <c r="C592" s="92" t="n"/>
      <c r="D592" s="92" t="n"/>
      <c r="E592" s="92" t="n"/>
      <c r="F592" s="92" t="n"/>
      <c r="G592" s="92" t="n"/>
      <c r="H592" s="92" t="n"/>
      <c r="I592" s="92" t="n"/>
      <c r="K592">
        <f>IF(C592="","",IF(COUNTIFS(C$5:C592,C592,E$5:E592,E592)=1,1,0))</f>
        <v/>
      </c>
      <c r="L592">
        <f>IF(C592="",0,IF(AND(B592="brand",E592="budget_probe",N(F592)&gt;=Inputs!$C$114,H592="Y"),1,0))</f>
        <v/>
      </c>
      <c r="M592">
        <f>IF(L592=1,IF(COUNTIFS(C$5:C592,C592,L$5:L592,1)=1,1,0),0)</f>
        <v/>
      </c>
      <c r="N592">
        <f>IF(C592="",0,IF(AND(B592="office",E592="budget_probe",N(F592)&gt;=Inputs!$C$129),1,0))</f>
        <v/>
      </c>
      <c r="O592">
        <f>IF(N592=1,IF(COUNTIFS(C$5:C592,C592,N$5:N592,1)=1,1,0),0)</f>
        <v/>
      </c>
      <c r="P592">
        <f>IF(C592="",0,IF(AND(B592="brand",E592="renewal_answer",N(F592)&gt;=Inputs!$C$125),1,0))</f>
        <v/>
      </c>
      <c r="Q592">
        <f>IF(AND(B592="office",E592="budget_probe",ISNUMBER(F592)),F592,"")</f>
        <v/>
      </c>
      <c r="R592">
        <f>IF(AND(B592="brand",E592="budget_probe",ISNUMBER(F592)),F592,"")</f>
        <v/>
      </c>
    </row>
    <row r="593">
      <c r="A593" s="91" t="n"/>
      <c r="B593" s="92" t="n"/>
      <c r="C593" s="92" t="n"/>
      <c r="D593" s="92" t="n"/>
      <c r="E593" s="92" t="n"/>
      <c r="F593" s="92" t="n"/>
      <c r="G593" s="92" t="n"/>
      <c r="H593" s="92" t="n"/>
      <c r="I593" s="92" t="n"/>
      <c r="K593">
        <f>IF(C593="","",IF(COUNTIFS(C$5:C593,C593,E$5:E593,E593)=1,1,0))</f>
        <v/>
      </c>
      <c r="L593">
        <f>IF(C593="",0,IF(AND(B593="brand",E593="budget_probe",N(F593)&gt;=Inputs!$C$114,H593="Y"),1,0))</f>
        <v/>
      </c>
      <c r="M593">
        <f>IF(L593=1,IF(COUNTIFS(C$5:C593,C593,L$5:L593,1)=1,1,0),0)</f>
        <v/>
      </c>
      <c r="N593">
        <f>IF(C593="",0,IF(AND(B593="office",E593="budget_probe",N(F593)&gt;=Inputs!$C$129),1,0))</f>
        <v/>
      </c>
      <c r="O593">
        <f>IF(N593=1,IF(COUNTIFS(C$5:C593,C593,N$5:N593,1)=1,1,0),0)</f>
        <v/>
      </c>
      <c r="P593">
        <f>IF(C593="",0,IF(AND(B593="brand",E593="renewal_answer",N(F593)&gt;=Inputs!$C$125),1,0))</f>
        <v/>
      </c>
      <c r="Q593">
        <f>IF(AND(B593="office",E593="budget_probe",ISNUMBER(F593)),F593,"")</f>
        <v/>
      </c>
      <c r="R593">
        <f>IF(AND(B593="brand",E593="budget_probe",ISNUMBER(F593)),F593,"")</f>
        <v/>
      </c>
    </row>
    <row r="594">
      <c r="A594" s="91" t="n"/>
      <c r="B594" s="92" t="n"/>
      <c r="C594" s="92" t="n"/>
      <c r="D594" s="92" t="n"/>
      <c r="E594" s="92" t="n"/>
      <c r="F594" s="92" t="n"/>
      <c r="G594" s="92" t="n"/>
      <c r="H594" s="92" t="n"/>
      <c r="I594" s="92" t="n"/>
      <c r="K594">
        <f>IF(C594="","",IF(COUNTIFS(C$5:C594,C594,E$5:E594,E594)=1,1,0))</f>
        <v/>
      </c>
      <c r="L594">
        <f>IF(C594="",0,IF(AND(B594="brand",E594="budget_probe",N(F594)&gt;=Inputs!$C$114,H594="Y"),1,0))</f>
        <v/>
      </c>
      <c r="M594">
        <f>IF(L594=1,IF(COUNTIFS(C$5:C594,C594,L$5:L594,1)=1,1,0),0)</f>
        <v/>
      </c>
      <c r="N594">
        <f>IF(C594="",0,IF(AND(B594="office",E594="budget_probe",N(F594)&gt;=Inputs!$C$129),1,0))</f>
        <v/>
      </c>
      <c r="O594">
        <f>IF(N594=1,IF(COUNTIFS(C$5:C594,C594,N$5:N594,1)=1,1,0),0)</f>
        <v/>
      </c>
      <c r="P594">
        <f>IF(C594="",0,IF(AND(B594="brand",E594="renewal_answer",N(F594)&gt;=Inputs!$C$125),1,0))</f>
        <v/>
      </c>
      <c r="Q594">
        <f>IF(AND(B594="office",E594="budget_probe",ISNUMBER(F594)),F594,"")</f>
        <v/>
      </c>
      <c r="R594">
        <f>IF(AND(B594="brand",E594="budget_probe",ISNUMBER(F594)),F594,"")</f>
        <v/>
      </c>
    </row>
    <row r="595">
      <c r="A595" s="91" t="n"/>
      <c r="B595" s="92" t="n"/>
      <c r="C595" s="92" t="n"/>
      <c r="D595" s="92" t="n"/>
      <c r="E595" s="92" t="n"/>
      <c r="F595" s="92" t="n"/>
      <c r="G595" s="92" t="n"/>
      <c r="H595" s="92" t="n"/>
      <c r="I595" s="92" t="n"/>
      <c r="K595">
        <f>IF(C595="","",IF(COUNTIFS(C$5:C595,C595,E$5:E595,E595)=1,1,0))</f>
        <v/>
      </c>
      <c r="L595">
        <f>IF(C595="",0,IF(AND(B595="brand",E595="budget_probe",N(F595)&gt;=Inputs!$C$114,H595="Y"),1,0))</f>
        <v/>
      </c>
      <c r="M595">
        <f>IF(L595=1,IF(COUNTIFS(C$5:C595,C595,L$5:L595,1)=1,1,0),0)</f>
        <v/>
      </c>
      <c r="N595">
        <f>IF(C595="",0,IF(AND(B595="office",E595="budget_probe",N(F595)&gt;=Inputs!$C$129),1,0))</f>
        <v/>
      </c>
      <c r="O595">
        <f>IF(N595=1,IF(COUNTIFS(C$5:C595,C595,N$5:N595,1)=1,1,0),0)</f>
        <v/>
      </c>
      <c r="P595">
        <f>IF(C595="",0,IF(AND(B595="brand",E595="renewal_answer",N(F595)&gt;=Inputs!$C$125),1,0))</f>
        <v/>
      </c>
      <c r="Q595">
        <f>IF(AND(B595="office",E595="budget_probe",ISNUMBER(F595)),F595,"")</f>
        <v/>
      </c>
      <c r="R595">
        <f>IF(AND(B595="brand",E595="budget_probe",ISNUMBER(F595)),F595,"")</f>
        <v/>
      </c>
    </row>
    <row r="596">
      <c r="A596" s="91" t="n"/>
      <c r="B596" s="92" t="n"/>
      <c r="C596" s="92" t="n"/>
      <c r="D596" s="92" t="n"/>
      <c r="E596" s="92" t="n"/>
      <c r="F596" s="92" t="n"/>
      <c r="G596" s="92" t="n"/>
      <c r="H596" s="92" t="n"/>
      <c r="I596" s="92" t="n"/>
      <c r="K596">
        <f>IF(C596="","",IF(COUNTIFS(C$5:C596,C596,E$5:E596,E596)=1,1,0))</f>
        <v/>
      </c>
      <c r="L596">
        <f>IF(C596="",0,IF(AND(B596="brand",E596="budget_probe",N(F596)&gt;=Inputs!$C$114,H596="Y"),1,0))</f>
        <v/>
      </c>
      <c r="M596">
        <f>IF(L596=1,IF(COUNTIFS(C$5:C596,C596,L$5:L596,1)=1,1,0),0)</f>
        <v/>
      </c>
      <c r="N596">
        <f>IF(C596="",0,IF(AND(B596="office",E596="budget_probe",N(F596)&gt;=Inputs!$C$129),1,0))</f>
        <v/>
      </c>
      <c r="O596">
        <f>IF(N596=1,IF(COUNTIFS(C$5:C596,C596,N$5:N596,1)=1,1,0),0)</f>
        <v/>
      </c>
      <c r="P596">
        <f>IF(C596="",0,IF(AND(B596="brand",E596="renewal_answer",N(F596)&gt;=Inputs!$C$125),1,0))</f>
        <v/>
      </c>
      <c r="Q596">
        <f>IF(AND(B596="office",E596="budget_probe",ISNUMBER(F596)),F596,"")</f>
        <v/>
      </c>
      <c r="R596">
        <f>IF(AND(B596="brand",E596="budget_probe",ISNUMBER(F596)),F596,"")</f>
        <v/>
      </c>
    </row>
    <row r="597">
      <c r="A597" s="91" t="n"/>
      <c r="B597" s="92" t="n"/>
      <c r="C597" s="92" t="n"/>
      <c r="D597" s="92" t="n"/>
      <c r="E597" s="92" t="n"/>
      <c r="F597" s="92" t="n"/>
      <c r="G597" s="92" t="n"/>
      <c r="H597" s="92" t="n"/>
      <c r="I597" s="92" t="n"/>
      <c r="K597">
        <f>IF(C597="","",IF(COUNTIFS(C$5:C597,C597,E$5:E597,E597)=1,1,0))</f>
        <v/>
      </c>
      <c r="L597">
        <f>IF(C597="",0,IF(AND(B597="brand",E597="budget_probe",N(F597)&gt;=Inputs!$C$114,H597="Y"),1,0))</f>
        <v/>
      </c>
      <c r="M597">
        <f>IF(L597=1,IF(COUNTIFS(C$5:C597,C597,L$5:L597,1)=1,1,0),0)</f>
        <v/>
      </c>
      <c r="N597">
        <f>IF(C597="",0,IF(AND(B597="office",E597="budget_probe",N(F597)&gt;=Inputs!$C$129),1,0))</f>
        <v/>
      </c>
      <c r="O597">
        <f>IF(N597=1,IF(COUNTIFS(C$5:C597,C597,N$5:N597,1)=1,1,0),0)</f>
        <v/>
      </c>
      <c r="P597">
        <f>IF(C597="",0,IF(AND(B597="brand",E597="renewal_answer",N(F597)&gt;=Inputs!$C$125),1,0))</f>
        <v/>
      </c>
      <c r="Q597">
        <f>IF(AND(B597="office",E597="budget_probe",ISNUMBER(F597)),F597,"")</f>
        <v/>
      </c>
      <c r="R597">
        <f>IF(AND(B597="brand",E597="budget_probe",ISNUMBER(F597)),F597,"")</f>
        <v/>
      </c>
    </row>
    <row r="598">
      <c r="A598" s="91" t="n"/>
      <c r="B598" s="92" t="n"/>
      <c r="C598" s="92" t="n"/>
      <c r="D598" s="92" t="n"/>
      <c r="E598" s="92" t="n"/>
      <c r="F598" s="92" t="n"/>
      <c r="G598" s="92" t="n"/>
      <c r="H598" s="92" t="n"/>
      <c r="I598" s="92" t="n"/>
      <c r="K598">
        <f>IF(C598="","",IF(COUNTIFS(C$5:C598,C598,E$5:E598,E598)=1,1,0))</f>
        <v/>
      </c>
      <c r="L598">
        <f>IF(C598="",0,IF(AND(B598="brand",E598="budget_probe",N(F598)&gt;=Inputs!$C$114,H598="Y"),1,0))</f>
        <v/>
      </c>
      <c r="M598">
        <f>IF(L598=1,IF(COUNTIFS(C$5:C598,C598,L$5:L598,1)=1,1,0),0)</f>
        <v/>
      </c>
      <c r="N598">
        <f>IF(C598="",0,IF(AND(B598="office",E598="budget_probe",N(F598)&gt;=Inputs!$C$129),1,0))</f>
        <v/>
      </c>
      <c r="O598">
        <f>IF(N598=1,IF(COUNTIFS(C$5:C598,C598,N$5:N598,1)=1,1,0),0)</f>
        <v/>
      </c>
      <c r="P598">
        <f>IF(C598="",0,IF(AND(B598="brand",E598="renewal_answer",N(F598)&gt;=Inputs!$C$125),1,0))</f>
        <v/>
      </c>
      <c r="Q598">
        <f>IF(AND(B598="office",E598="budget_probe",ISNUMBER(F598)),F598,"")</f>
        <v/>
      </c>
      <c r="R598">
        <f>IF(AND(B598="brand",E598="budget_probe",ISNUMBER(F598)),F598,"")</f>
        <v/>
      </c>
    </row>
    <row r="599">
      <c r="A599" s="91" t="n"/>
      <c r="B599" s="92" t="n"/>
      <c r="C599" s="92" t="n"/>
      <c r="D599" s="92" t="n"/>
      <c r="E599" s="92" t="n"/>
      <c r="F599" s="92" t="n"/>
      <c r="G599" s="92" t="n"/>
      <c r="H599" s="92" t="n"/>
      <c r="I599" s="92" t="n"/>
      <c r="K599">
        <f>IF(C599="","",IF(COUNTIFS(C$5:C599,C599,E$5:E599,E599)=1,1,0))</f>
        <v/>
      </c>
      <c r="L599">
        <f>IF(C599="",0,IF(AND(B599="brand",E599="budget_probe",N(F599)&gt;=Inputs!$C$114,H599="Y"),1,0))</f>
        <v/>
      </c>
      <c r="M599">
        <f>IF(L599=1,IF(COUNTIFS(C$5:C599,C599,L$5:L599,1)=1,1,0),0)</f>
        <v/>
      </c>
      <c r="N599">
        <f>IF(C599="",0,IF(AND(B599="office",E599="budget_probe",N(F599)&gt;=Inputs!$C$129),1,0))</f>
        <v/>
      </c>
      <c r="O599">
        <f>IF(N599=1,IF(COUNTIFS(C$5:C599,C599,N$5:N599,1)=1,1,0),0)</f>
        <v/>
      </c>
      <c r="P599">
        <f>IF(C599="",0,IF(AND(B599="brand",E599="renewal_answer",N(F599)&gt;=Inputs!$C$125),1,0))</f>
        <v/>
      </c>
      <c r="Q599">
        <f>IF(AND(B599="office",E599="budget_probe",ISNUMBER(F599)),F599,"")</f>
        <v/>
      </c>
      <c r="R599">
        <f>IF(AND(B599="brand",E599="budget_probe",ISNUMBER(F599)),F599,"")</f>
        <v/>
      </c>
    </row>
    <row r="600">
      <c r="A600" s="91" t="n"/>
      <c r="B600" s="92" t="n"/>
      <c r="C600" s="92" t="n"/>
      <c r="D600" s="92" t="n"/>
      <c r="E600" s="92" t="n"/>
      <c r="F600" s="92" t="n"/>
      <c r="G600" s="92" t="n"/>
      <c r="H600" s="92" t="n"/>
      <c r="I600" s="92" t="n"/>
      <c r="K600">
        <f>IF(C600="","",IF(COUNTIFS(C$5:C600,C600,E$5:E600,E600)=1,1,0))</f>
        <v/>
      </c>
      <c r="L600">
        <f>IF(C600="",0,IF(AND(B600="brand",E600="budget_probe",N(F600)&gt;=Inputs!$C$114,H600="Y"),1,0))</f>
        <v/>
      </c>
      <c r="M600">
        <f>IF(L600=1,IF(COUNTIFS(C$5:C600,C600,L$5:L600,1)=1,1,0),0)</f>
        <v/>
      </c>
      <c r="N600">
        <f>IF(C600="",0,IF(AND(B600="office",E600="budget_probe",N(F600)&gt;=Inputs!$C$129),1,0))</f>
        <v/>
      </c>
      <c r="O600">
        <f>IF(N600=1,IF(COUNTIFS(C$5:C600,C600,N$5:N600,1)=1,1,0),0)</f>
        <v/>
      </c>
      <c r="P600">
        <f>IF(C600="",0,IF(AND(B600="brand",E600="renewal_answer",N(F600)&gt;=Inputs!$C$125),1,0))</f>
        <v/>
      </c>
      <c r="Q600">
        <f>IF(AND(B600="office",E600="budget_probe",ISNUMBER(F600)),F600,"")</f>
        <v/>
      </c>
      <c r="R600">
        <f>IF(AND(B600="brand",E600="budget_probe",ISNUMBER(F600)),F600,"")</f>
        <v/>
      </c>
    </row>
    <row r="601">
      <c r="A601" s="91" t="n"/>
      <c r="B601" s="92" t="n"/>
      <c r="C601" s="92" t="n"/>
      <c r="D601" s="92" t="n"/>
      <c r="E601" s="92" t="n"/>
      <c r="F601" s="92" t="n"/>
      <c r="G601" s="92" t="n"/>
      <c r="H601" s="92" t="n"/>
      <c r="I601" s="92" t="n"/>
      <c r="K601">
        <f>IF(C601="","",IF(COUNTIFS(C$5:C601,C601,E$5:E601,E601)=1,1,0))</f>
        <v/>
      </c>
      <c r="L601">
        <f>IF(C601="",0,IF(AND(B601="brand",E601="budget_probe",N(F601)&gt;=Inputs!$C$114,H601="Y"),1,0))</f>
        <v/>
      </c>
      <c r="M601">
        <f>IF(L601=1,IF(COUNTIFS(C$5:C601,C601,L$5:L601,1)=1,1,0),0)</f>
        <v/>
      </c>
      <c r="N601">
        <f>IF(C601="",0,IF(AND(B601="office",E601="budget_probe",N(F601)&gt;=Inputs!$C$129),1,0))</f>
        <v/>
      </c>
      <c r="O601">
        <f>IF(N601=1,IF(COUNTIFS(C$5:C601,C601,N$5:N601,1)=1,1,0),0)</f>
        <v/>
      </c>
      <c r="P601">
        <f>IF(C601="",0,IF(AND(B601="brand",E601="renewal_answer",N(F601)&gt;=Inputs!$C$125),1,0))</f>
        <v/>
      </c>
      <c r="Q601">
        <f>IF(AND(B601="office",E601="budget_probe",ISNUMBER(F601)),F601,"")</f>
        <v/>
      </c>
      <c r="R601">
        <f>IF(AND(B601="brand",E601="budget_probe",ISNUMBER(F601)),F601,"")</f>
        <v/>
      </c>
    </row>
    <row r="602">
      <c r="A602" s="91" t="n"/>
      <c r="B602" s="92" t="n"/>
      <c r="C602" s="92" t="n"/>
      <c r="D602" s="92" t="n"/>
      <c r="E602" s="92" t="n"/>
      <c r="F602" s="92" t="n"/>
      <c r="G602" s="92" t="n"/>
      <c r="H602" s="92" t="n"/>
      <c r="I602" s="92" t="n"/>
      <c r="K602">
        <f>IF(C602="","",IF(COUNTIFS(C$5:C602,C602,E$5:E602,E602)=1,1,0))</f>
        <v/>
      </c>
      <c r="L602">
        <f>IF(C602="",0,IF(AND(B602="brand",E602="budget_probe",N(F602)&gt;=Inputs!$C$114,H602="Y"),1,0))</f>
        <v/>
      </c>
      <c r="M602">
        <f>IF(L602=1,IF(COUNTIFS(C$5:C602,C602,L$5:L602,1)=1,1,0),0)</f>
        <v/>
      </c>
      <c r="N602">
        <f>IF(C602="",0,IF(AND(B602="office",E602="budget_probe",N(F602)&gt;=Inputs!$C$129),1,0))</f>
        <v/>
      </c>
      <c r="O602">
        <f>IF(N602=1,IF(COUNTIFS(C$5:C602,C602,N$5:N602,1)=1,1,0),0)</f>
        <v/>
      </c>
      <c r="P602">
        <f>IF(C602="",0,IF(AND(B602="brand",E602="renewal_answer",N(F602)&gt;=Inputs!$C$125),1,0))</f>
        <v/>
      </c>
      <c r="Q602">
        <f>IF(AND(B602="office",E602="budget_probe",ISNUMBER(F602)),F602,"")</f>
        <v/>
      </c>
      <c r="R602">
        <f>IF(AND(B602="brand",E602="budget_probe",ISNUMBER(F602)),F602,"")</f>
        <v/>
      </c>
    </row>
    <row r="603">
      <c r="A603" s="91" t="n"/>
      <c r="B603" s="92" t="n"/>
      <c r="C603" s="92" t="n"/>
      <c r="D603" s="92" t="n"/>
      <c r="E603" s="92" t="n"/>
      <c r="F603" s="92" t="n"/>
      <c r="G603" s="92" t="n"/>
      <c r="H603" s="92" t="n"/>
      <c r="I603" s="92" t="n"/>
      <c r="K603">
        <f>IF(C603="","",IF(COUNTIFS(C$5:C603,C603,E$5:E603,E603)=1,1,0))</f>
        <v/>
      </c>
      <c r="L603">
        <f>IF(C603="",0,IF(AND(B603="brand",E603="budget_probe",N(F603)&gt;=Inputs!$C$114,H603="Y"),1,0))</f>
        <v/>
      </c>
      <c r="M603">
        <f>IF(L603=1,IF(COUNTIFS(C$5:C603,C603,L$5:L603,1)=1,1,0),0)</f>
        <v/>
      </c>
      <c r="N603">
        <f>IF(C603="",0,IF(AND(B603="office",E603="budget_probe",N(F603)&gt;=Inputs!$C$129),1,0))</f>
        <v/>
      </c>
      <c r="O603">
        <f>IF(N603=1,IF(COUNTIFS(C$5:C603,C603,N$5:N603,1)=1,1,0),0)</f>
        <v/>
      </c>
      <c r="P603">
        <f>IF(C603="",0,IF(AND(B603="brand",E603="renewal_answer",N(F603)&gt;=Inputs!$C$125),1,0))</f>
        <v/>
      </c>
      <c r="Q603">
        <f>IF(AND(B603="office",E603="budget_probe",ISNUMBER(F603)),F603,"")</f>
        <v/>
      </c>
      <c r="R603">
        <f>IF(AND(B603="brand",E603="budget_probe",ISNUMBER(F603)),F603,"")</f>
        <v/>
      </c>
    </row>
    <row r="604">
      <c r="A604" s="91" t="n"/>
      <c r="B604" s="92" t="n"/>
      <c r="C604" s="92" t="n"/>
      <c r="D604" s="92" t="n"/>
      <c r="E604" s="92" t="n"/>
      <c r="F604" s="92" t="n"/>
      <c r="G604" s="92" t="n"/>
      <c r="H604" s="92" t="n"/>
      <c r="I604" s="92" t="n"/>
      <c r="K604">
        <f>IF(C604="","",IF(COUNTIFS(C$5:C604,C604,E$5:E604,E604)=1,1,0))</f>
        <v/>
      </c>
      <c r="L604">
        <f>IF(C604="",0,IF(AND(B604="brand",E604="budget_probe",N(F604)&gt;=Inputs!$C$114,H604="Y"),1,0))</f>
        <v/>
      </c>
      <c r="M604">
        <f>IF(L604=1,IF(COUNTIFS(C$5:C604,C604,L$5:L604,1)=1,1,0),0)</f>
        <v/>
      </c>
      <c r="N604">
        <f>IF(C604="",0,IF(AND(B604="office",E604="budget_probe",N(F604)&gt;=Inputs!$C$129),1,0))</f>
        <v/>
      </c>
      <c r="O604">
        <f>IF(N604=1,IF(COUNTIFS(C$5:C604,C604,N$5:N604,1)=1,1,0),0)</f>
        <v/>
      </c>
      <c r="P604">
        <f>IF(C604="",0,IF(AND(B604="brand",E604="renewal_answer",N(F604)&gt;=Inputs!$C$125),1,0))</f>
        <v/>
      </c>
      <c r="Q604">
        <f>IF(AND(B604="office",E604="budget_probe",ISNUMBER(F604)),F604,"")</f>
        <v/>
      </c>
      <c r="R604">
        <f>IF(AND(B604="brand",E604="budget_probe",ISNUMBER(F604)),F604,"")</f>
        <v/>
      </c>
    </row>
    <row r="605">
      <c r="A605" s="91" t="n"/>
      <c r="B605" s="92" t="n"/>
      <c r="C605" s="92" t="n"/>
      <c r="D605" s="92" t="n"/>
      <c r="E605" s="92" t="n"/>
      <c r="F605" s="92" t="n"/>
      <c r="G605" s="92" t="n"/>
      <c r="H605" s="92" t="n"/>
      <c r="I605" s="92" t="n"/>
      <c r="K605">
        <f>IF(C605="","",IF(COUNTIFS(C$5:C605,C605,E$5:E605,E605)=1,1,0))</f>
        <v/>
      </c>
      <c r="L605">
        <f>IF(C605="",0,IF(AND(B605="brand",E605="budget_probe",N(F605)&gt;=Inputs!$C$114,H605="Y"),1,0))</f>
        <v/>
      </c>
      <c r="M605">
        <f>IF(L605=1,IF(COUNTIFS(C$5:C605,C605,L$5:L605,1)=1,1,0),0)</f>
        <v/>
      </c>
      <c r="N605">
        <f>IF(C605="",0,IF(AND(B605="office",E605="budget_probe",N(F605)&gt;=Inputs!$C$129),1,0))</f>
        <v/>
      </c>
      <c r="O605">
        <f>IF(N605=1,IF(COUNTIFS(C$5:C605,C605,N$5:N605,1)=1,1,0),0)</f>
        <v/>
      </c>
      <c r="P605">
        <f>IF(C605="",0,IF(AND(B605="brand",E605="renewal_answer",N(F605)&gt;=Inputs!$C$125),1,0))</f>
        <v/>
      </c>
      <c r="Q605">
        <f>IF(AND(B605="office",E605="budget_probe",ISNUMBER(F605)),F605,"")</f>
        <v/>
      </c>
      <c r="R605">
        <f>IF(AND(B605="brand",E605="budget_probe",ISNUMBER(F605)),F605,"")</f>
        <v/>
      </c>
    </row>
    <row r="606">
      <c r="A606" s="91" t="n"/>
      <c r="B606" s="92" t="n"/>
      <c r="C606" s="92" t="n"/>
      <c r="D606" s="92" t="n"/>
      <c r="E606" s="92" t="n"/>
      <c r="F606" s="92" t="n"/>
      <c r="G606" s="92" t="n"/>
      <c r="H606" s="92" t="n"/>
      <c r="I606" s="92" t="n"/>
      <c r="K606">
        <f>IF(C606="","",IF(COUNTIFS(C$5:C606,C606,E$5:E606,E606)=1,1,0))</f>
        <v/>
      </c>
      <c r="L606">
        <f>IF(C606="",0,IF(AND(B606="brand",E606="budget_probe",N(F606)&gt;=Inputs!$C$114,H606="Y"),1,0))</f>
        <v/>
      </c>
      <c r="M606">
        <f>IF(L606=1,IF(COUNTIFS(C$5:C606,C606,L$5:L606,1)=1,1,0),0)</f>
        <v/>
      </c>
      <c r="N606">
        <f>IF(C606="",0,IF(AND(B606="office",E606="budget_probe",N(F606)&gt;=Inputs!$C$129),1,0))</f>
        <v/>
      </c>
      <c r="O606">
        <f>IF(N606=1,IF(COUNTIFS(C$5:C606,C606,N$5:N606,1)=1,1,0),0)</f>
        <v/>
      </c>
      <c r="P606">
        <f>IF(C606="",0,IF(AND(B606="brand",E606="renewal_answer",N(F606)&gt;=Inputs!$C$125),1,0))</f>
        <v/>
      </c>
      <c r="Q606">
        <f>IF(AND(B606="office",E606="budget_probe",ISNUMBER(F606)),F606,"")</f>
        <v/>
      </c>
      <c r="R606">
        <f>IF(AND(B606="brand",E606="budget_probe",ISNUMBER(F606)),F606,"")</f>
        <v/>
      </c>
    </row>
    <row r="607">
      <c r="A607" s="91" t="n"/>
      <c r="B607" s="92" t="n"/>
      <c r="C607" s="92" t="n"/>
      <c r="D607" s="92" t="n"/>
      <c r="E607" s="92" t="n"/>
      <c r="F607" s="92" t="n"/>
      <c r="G607" s="92" t="n"/>
      <c r="H607" s="92" t="n"/>
      <c r="I607" s="92" t="n"/>
      <c r="K607">
        <f>IF(C607="","",IF(COUNTIFS(C$5:C607,C607,E$5:E607,E607)=1,1,0))</f>
        <v/>
      </c>
      <c r="L607">
        <f>IF(C607="",0,IF(AND(B607="brand",E607="budget_probe",N(F607)&gt;=Inputs!$C$114,H607="Y"),1,0))</f>
        <v/>
      </c>
      <c r="M607">
        <f>IF(L607=1,IF(COUNTIFS(C$5:C607,C607,L$5:L607,1)=1,1,0),0)</f>
        <v/>
      </c>
      <c r="N607">
        <f>IF(C607="",0,IF(AND(B607="office",E607="budget_probe",N(F607)&gt;=Inputs!$C$129),1,0))</f>
        <v/>
      </c>
      <c r="O607">
        <f>IF(N607=1,IF(COUNTIFS(C$5:C607,C607,N$5:N607,1)=1,1,0),0)</f>
        <v/>
      </c>
      <c r="P607">
        <f>IF(C607="",0,IF(AND(B607="brand",E607="renewal_answer",N(F607)&gt;=Inputs!$C$125),1,0))</f>
        <v/>
      </c>
      <c r="Q607">
        <f>IF(AND(B607="office",E607="budget_probe",ISNUMBER(F607)),F607,"")</f>
        <v/>
      </c>
      <c r="R607">
        <f>IF(AND(B607="brand",E607="budget_probe",ISNUMBER(F607)),F607,"")</f>
        <v/>
      </c>
    </row>
    <row r="608">
      <c r="A608" s="91" t="n"/>
      <c r="B608" s="92" t="n"/>
      <c r="C608" s="92" t="n"/>
      <c r="D608" s="92" t="n"/>
      <c r="E608" s="92" t="n"/>
      <c r="F608" s="92" t="n"/>
      <c r="G608" s="92" t="n"/>
      <c r="H608" s="92" t="n"/>
      <c r="I608" s="92" t="n"/>
      <c r="K608">
        <f>IF(C608="","",IF(COUNTIFS(C$5:C608,C608,E$5:E608,E608)=1,1,0))</f>
        <v/>
      </c>
      <c r="L608">
        <f>IF(C608="",0,IF(AND(B608="brand",E608="budget_probe",N(F608)&gt;=Inputs!$C$114,H608="Y"),1,0))</f>
        <v/>
      </c>
      <c r="M608">
        <f>IF(L608=1,IF(COUNTIFS(C$5:C608,C608,L$5:L608,1)=1,1,0),0)</f>
        <v/>
      </c>
      <c r="N608">
        <f>IF(C608="",0,IF(AND(B608="office",E608="budget_probe",N(F608)&gt;=Inputs!$C$129),1,0))</f>
        <v/>
      </c>
      <c r="O608">
        <f>IF(N608=1,IF(COUNTIFS(C$5:C608,C608,N$5:N608,1)=1,1,0),0)</f>
        <v/>
      </c>
      <c r="P608">
        <f>IF(C608="",0,IF(AND(B608="brand",E608="renewal_answer",N(F608)&gt;=Inputs!$C$125),1,0))</f>
        <v/>
      </c>
      <c r="Q608">
        <f>IF(AND(B608="office",E608="budget_probe",ISNUMBER(F608)),F608,"")</f>
        <v/>
      </c>
      <c r="R608">
        <f>IF(AND(B608="brand",E608="budget_probe",ISNUMBER(F608)),F608,"")</f>
        <v/>
      </c>
    </row>
    <row r="609">
      <c r="A609" s="91" t="n"/>
      <c r="B609" s="92" t="n"/>
      <c r="C609" s="92" t="n"/>
      <c r="D609" s="92" t="n"/>
      <c r="E609" s="92" t="n"/>
      <c r="F609" s="92" t="n"/>
      <c r="G609" s="92" t="n"/>
      <c r="H609" s="92" t="n"/>
      <c r="I609" s="92" t="n"/>
      <c r="K609">
        <f>IF(C609="","",IF(COUNTIFS(C$5:C609,C609,E$5:E609,E609)=1,1,0))</f>
        <v/>
      </c>
      <c r="L609">
        <f>IF(C609="",0,IF(AND(B609="brand",E609="budget_probe",N(F609)&gt;=Inputs!$C$114,H609="Y"),1,0))</f>
        <v/>
      </c>
      <c r="M609">
        <f>IF(L609=1,IF(COUNTIFS(C$5:C609,C609,L$5:L609,1)=1,1,0),0)</f>
        <v/>
      </c>
      <c r="N609">
        <f>IF(C609="",0,IF(AND(B609="office",E609="budget_probe",N(F609)&gt;=Inputs!$C$129),1,0))</f>
        <v/>
      </c>
      <c r="O609">
        <f>IF(N609=1,IF(COUNTIFS(C$5:C609,C609,N$5:N609,1)=1,1,0),0)</f>
        <v/>
      </c>
      <c r="P609">
        <f>IF(C609="",0,IF(AND(B609="brand",E609="renewal_answer",N(F609)&gt;=Inputs!$C$125),1,0))</f>
        <v/>
      </c>
      <c r="Q609">
        <f>IF(AND(B609="office",E609="budget_probe",ISNUMBER(F609)),F609,"")</f>
        <v/>
      </c>
      <c r="R609">
        <f>IF(AND(B609="brand",E609="budget_probe",ISNUMBER(F609)),F609,"")</f>
        <v/>
      </c>
    </row>
    <row r="610">
      <c r="A610" s="91" t="n"/>
      <c r="B610" s="92" t="n"/>
      <c r="C610" s="92" t="n"/>
      <c r="D610" s="92" t="n"/>
      <c r="E610" s="92" t="n"/>
      <c r="F610" s="92" t="n"/>
      <c r="G610" s="92" t="n"/>
      <c r="H610" s="92" t="n"/>
      <c r="I610" s="92" t="n"/>
      <c r="K610">
        <f>IF(C610="","",IF(COUNTIFS(C$5:C610,C610,E$5:E610,E610)=1,1,0))</f>
        <v/>
      </c>
      <c r="L610">
        <f>IF(C610="",0,IF(AND(B610="brand",E610="budget_probe",N(F610)&gt;=Inputs!$C$114,H610="Y"),1,0))</f>
        <v/>
      </c>
      <c r="M610">
        <f>IF(L610=1,IF(COUNTIFS(C$5:C610,C610,L$5:L610,1)=1,1,0),0)</f>
        <v/>
      </c>
      <c r="N610">
        <f>IF(C610="",0,IF(AND(B610="office",E610="budget_probe",N(F610)&gt;=Inputs!$C$129),1,0))</f>
        <v/>
      </c>
      <c r="O610">
        <f>IF(N610=1,IF(COUNTIFS(C$5:C610,C610,N$5:N610,1)=1,1,0),0)</f>
        <v/>
      </c>
      <c r="P610">
        <f>IF(C610="",0,IF(AND(B610="brand",E610="renewal_answer",N(F610)&gt;=Inputs!$C$125),1,0))</f>
        <v/>
      </c>
      <c r="Q610">
        <f>IF(AND(B610="office",E610="budget_probe",ISNUMBER(F610)),F610,"")</f>
        <v/>
      </c>
      <c r="R610">
        <f>IF(AND(B610="brand",E610="budget_probe",ISNUMBER(F610)),F610,"")</f>
        <v/>
      </c>
    </row>
    <row r="611">
      <c r="A611" s="91" t="n"/>
      <c r="B611" s="92" t="n"/>
      <c r="C611" s="92" t="n"/>
      <c r="D611" s="92" t="n"/>
      <c r="E611" s="92" t="n"/>
      <c r="F611" s="92" t="n"/>
      <c r="G611" s="92" t="n"/>
      <c r="H611" s="92" t="n"/>
      <c r="I611" s="92" t="n"/>
      <c r="K611">
        <f>IF(C611="","",IF(COUNTIFS(C$5:C611,C611,E$5:E611,E611)=1,1,0))</f>
        <v/>
      </c>
      <c r="L611">
        <f>IF(C611="",0,IF(AND(B611="brand",E611="budget_probe",N(F611)&gt;=Inputs!$C$114,H611="Y"),1,0))</f>
        <v/>
      </c>
      <c r="M611">
        <f>IF(L611=1,IF(COUNTIFS(C$5:C611,C611,L$5:L611,1)=1,1,0),0)</f>
        <v/>
      </c>
      <c r="N611">
        <f>IF(C611="",0,IF(AND(B611="office",E611="budget_probe",N(F611)&gt;=Inputs!$C$129),1,0))</f>
        <v/>
      </c>
      <c r="O611">
        <f>IF(N611=1,IF(COUNTIFS(C$5:C611,C611,N$5:N611,1)=1,1,0),0)</f>
        <v/>
      </c>
      <c r="P611">
        <f>IF(C611="",0,IF(AND(B611="brand",E611="renewal_answer",N(F611)&gt;=Inputs!$C$125),1,0))</f>
        <v/>
      </c>
      <c r="Q611">
        <f>IF(AND(B611="office",E611="budget_probe",ISNUMBER(F611)),F611,"")</f>
        <v/>
      </c>
      <c r="R611">
        <f>IF(AND(B611="brand",E611="budget_probe",ISNUMBER(F611)),F611,"")</f>
        <v/>
      </c>
    </row>
    <row r="612">
      <c r="A612" s="91" t="n"/>
      <c r="B612" s="92" t="n"/>
      <c r="C612" s="92" t="n"/>
      <c r="D612" s="92" t="n"/>
      <c r="E612" s="92" t="n"/>
      <c r="F612" s="92" t="n"/>
      <c r="G612" s="92" t="n"/>
      <c r="H612" s="92" t="n"/>
      <c r="I612" s="92" t="n"/>
      <c r="K612">
        <f>IF(C612="","",IF(COUNTIFS(C$5:C612,C612,E$5:E612,E612)=1,1,0))</f>
        <v/>
      </c>
      <c r="L612">
        <f>IF(C612="",0,IF(AND(B612="brand",E612="budget_probe",N(F612)&gt;=Inputs!$C$114,H612="Y"),1,0))</f>
        <v/>
      </c>
      <c r="M612">
        <f>IF(L612=1,IF(COUNTIFS(C$5:C612,C612,L$5:L612,1)=1,1,0),0)</f>
        <v/>
      </c>
      <c r="N612">
        <f>IF(C612="",0,IF(AND(B612="office",E612="budget_probe",N(F612)&gt;=Inputs!$C$129),1,0))</f>
        <v/>
      </c>
      <c r="O612">
        <f>IF(N612=1,IF(COUNTIFS(C$5:C612,C612,N$5:N612,1)=1,1,0),0)</f>
        <v/>
      </c>
      <c r="P612">
        <f>IF(C612="",0,IF(AND(B612="brand",E612="renewal_answer",N(F612)&gt;=Inputs!$C$125),1,0))</f>
        <v/>
      </c>
      <c r="Q612">
        <f>IF(AND(B612="office",E612="budget_probe",ISNUMBER(F612)),F612,"")</f>
        <v/>
      </c>
      <c r="R612">
        <f>IF(AND(B612="brand",E612="budget_probe",ISNUMBER(F612)),F612,"")</f>
        <v/>
      </c>
    </row>
    <row r="613">
      <c r="A613" s="91" t="n"/>
      <c r="B613" s="92" t="n"/>
      <c r="C613" s="92" t="n"/>
      <c r="D613" s="92" t="n"/>
      <c r="E613" s="92" t="n"/>
      <c r="F613" s="92" t="n"/>
      <c r="G613" s="92" t="n"/>
      <c r="H613" s="92" t="n"/>
      <c r="I613" s="92" t="n"/>
      <c r="K613">
        <f>IF(C613="","",IF(COUNTIFS(C$5:C613,C613,E$5:E613,E613)=1,1,0))</f>
        <v/>
      </c>
      <c r="L613">
        <f>IF(C613="",0,IF(AND(B613="brand",E613="budget_probe",N(F613)&gt;=Inputs!$C$114,H613="Y"),1,0))</f>
        <v/>
      </c>
      <c r="M613">
        <f>IF(L613=1,IF(COUNTIFS(C$5:C613,C613,L$5:L613,1)=1,1,0),0)</f>
        <v/>
      </c>
      <c r="N613">
        <f>IF(C613="",0,IF(AND(B613="office",E613="budget_probe",N(F613)&gt;=Inputs!$C$129),1,0))</f>
        <v/>
      </c>
      <c r="O613">
        <f>IF(N613=1,IF(COUNTIFS(C$5:C613,C613,N$5:N613,1)=1,1,0),0)</f>
        <v/>
      </c>
      <c r="P613">
        <f>IF(C613="",0,IF(AND(B613="brand",E613="renewal_answer",N(F613)&gt;=Inputs!$C$125),1,0))</f>
        <v/>
      </c>
      <c r="Q613">
        <f>IF(AND(B613="office",E613="budget_probe",ISNUMBER(F613)),F613,"")</f>
        <v/>
      </c>
      <c r="R613">
        <f>IF(AND(B613="brand",E613="budget_probe",ISNUMBER(F613)),F613,"")</f>
        <v/>
      </c>
    </row>
    <row r="614">
      <c r="A614" s="91" t="n"/>
      <c r="B614" s="92" t="n"/>
      <c r="C614" s="92" t="n"/>
      <c r="D614" s="92" t="n"/>
      <c r="E614" s="92" t="n"/>
      <c r="F614" s="92" t="n"/>
      <c r="G614" s="92" t="n"/>
      <c r="H614" s="92" t="n"/>
      <c r="I614" s="92" t="n"/>
      <c r="K614">
        <f>IF(C614="","",IF(COUNTIFS(C$5:C614,C614,E$5:E614,E614)=1,1,0))</f>
        <v/>
      </c>
      <c r="L614">
        <f>IF(C614="",0,IF(AND(B614="brand",E614="budget_probe",N(F614)&gt;=Inputs!$C$114,H614="Y"),1,0))</f>
        <v/>
      </c>
      <c r="M614">
        <f>IF(L614=1,IF(COUNTIFS(C$5:C614,C614,L$5:L614,1)=1,1,0),0)</f>
        <v/>
      </c>
      <c r="N614">
        <f>IF(C614="",0,IF(AND(B614="office",E614="budget_probe",N(F614)&gt;=Inputs!$C$129),1,0))</f>
        <v/>
      </c>
      <c r="O614">
        <f>IF(N614=1,IF(COUNTIFS(C$5:C614,C614,N$5:N614,1)=1,1,0),0)</f>
        <v/>
      </c>
      <c r="P614">
        <f>IF(C614="",0,IF(AND(B614="brand",E614="renewal_answer",N(F614)&gt;=Inputs!$C$125),1,0))</f>
        <v/>
      </c>
      <c r="Q614">
        <f>IF(AND(B614="office",E614="budget_probe",ISNUMBER(F614)),F614,"")</f>
        <v/>
      </c>
      <c r="R614">
        <f>IF(AND(B614="brand",E614="budget_probe",ISNUMBER(F614)),F614,"")</f>
        <v/>
      </c>
    </row>
    <row r="615">
      <c r="A615" s="91" t="n"/>
      <c r="B615" s="92" t="n"/>
      <c r="C615" s="92" t="n"/>
      <c r="D615" s="92" t="n"/>
      <c r="E615" s="92" t="n"/>
      <c r="F615" s="92" t="n"/>
      <c r="G615" s="92" t="n"/>
      <c r="H615" s="92" t="n"/>
      <c r="I615" s="92" t="n"/>
      <c r="K615">
        <f>IF(C615="","",IF(COUNTIFS(C$5:C615,C615,E$5:E615,E615)=1,1,0))</f>
        <v/>
      </c>
      <c r="L615">
        <f>IF(C615="",0,IF(AND(B615="brand",E615="budget_probe",N(F615)&gt;=Inputs!$C$114,H615="Y"),1,0))</f>
        <v/>
      </c>
      <c r="M615">
        <f>IF(L615=1,IF(COUNTIFS(C$5:C615,C615,L$5:L615,1)=1,1,0),0)</f>
        <v/>
      </c>
      <c r="N615">
        <f>IF(C615="",0,IF(AND(B615="office",E615="budget_probe",N(F615)&gt;=Inputs!$C$129),1,0))</f>
        <v/>
      </c>
      <c r="O615">
        <f>IF(N615=1,IF(COUNTIFS(C$5:C615,C615,N$5:N615,1)=1,1,0),0)</f>
        <v/>
      </c>
      <c r="P615">
        <f>IF(C615="",0,IF(AND(B615="brand",E615="renewal_answer",N(F615)&gt;=Inputs!$C$125),1,0))</f>
        <v/>
      </c>
      <c r="Q615">
        <f>IF(AND(B615="office",E615="budget_probe",ISNUMBER(F615)),F615,"")</f>
        <v/>
      </c>
      <c r="R615">
        <f>IF(AND(B615="brand",E615="budget_probe",ISNUMBER(F615)),F615,"")</f>
        <v/>
      </c>
    </row>
    <row r="616">
      <c r="A616" s="91" t="n"/>
      <c r="B616" s="92" t="n"/>
      <c r="C616" s="92" t="n"/>
      <c r="D616" s="92" t="n"/>
      <c r="E616" s="92" t="n"/>
      <c r="F616" s="92" t="n"/>
      <c r="G616" s="92" t="n"/>
      <c r="H616" s="92" t="n"/>
      <c r="I616" s="92" t="n"/>
      <c r="K616">
        <f>IF(C616="","",IF(COUNTIFS(C$5:C616,C616,E$5:E616,E616)=1,1,0))</f>
        <v/>
      </c>
      <c r="L616">
        <f>IF(C616="",0,IF(AND(B616="brand",E616="budget_probe",N(F616)&gt;=Inputs!$C$114,H616="Y"),1,0))</f>
        <v/>
      </c>
      <c r="M616">
        <f>IF(L616=1,IF(COUNTIFS(C$5:C616,C616,L$5:L616,1)=1,1,0),0)</f>
        <v/>
      </c>
      <c r="N616">
        <f>IF(C616="",0,IF(AND(B616="office",E616="budget_probe",N(F616)&gt;=Inputs!$C$129),1,0))</f>
        <v/>
      </c>
      <c r="O616">
        <f>IF(N616=1,IF(COUNTIFS(C$5:C616,C616,N$5:N616,1)=1,1,0),0)</f>
        <v/>
      </c>
      <c r="P616">
        <f>IF(C616="",0,IF(AND(B616="brand",E616="renewal_answer",N(F616)&gt;=Inputs!$C$125),1,0))</f>
        <v/>
      </c>
      <c r="Q616">
        <f>IF(AND(B616="office",E616="budget_probe",ISNUMBER(F616)),F616,"")</f>
        <v/>
      </c>
      <c r="R616">
        <f>IF(AND(B616="brand",E616="budget_probe",ISNUMBER(F616)),F616,"")</f>
        <v/>
      </c>
    </row>
    <row r="617">
      <c r="A617" s="91" t="n"/>
      <c r="B617" s="92" t="n"/>
      <c r="C617" s="92" t="n"/>
      <c r="D617" s="92" t="n"/>
      <c r="E617" s="92" t="n"/>
      <c r="F617" s="92" t="n"/>
      <c r="G617" s="92" t="n"/>
      <c r="H617" s="92" t="n"/>
      <c r="I617" s="92" t="n"/>
      <c r="K617">
        <f>IF(C617="","",IF(COUNTIFS(C$5:C617,C617,E$5:E617,E617)=1,1,0))</f>
        <v/>
      </c>
      <c r="L617">
        <f>IF(C617="",0,IF(AND(B617="brand",E617="budget_probe",N(F617)&gt;=Inputs!$C$114,H617="Y"),1,0))</f>
        <v/>
      </c>
      <c r="M617">
        <f>IF(L617=1,IF(COUNTIFS(C$5:C617,C617,L$5:L617,1)=1,1,0),0)</f>
        <v/>
      </c>
      <c r="N617">
        <f>IF(C617="",0,IF(AND(B617="office",E617="budget_probe",N(F617)&gt;=Inputs!$C$129),1,0))</f>
        <v/>
      </c>
      <c r="O617">
        <f>IF(N617=1,IF(COUNTIFS(C$5:C617,C617,N$5:N617,1)=1,1,0),0)</f>
        <v/>
      </c>
      <c r="P617">
        <f>IF(C617="",0,IF(AND(B617="brand",E617="renewal_answer",N(F617)&gt;=Inputs!$C$125),1,0))</f>
        <v/>
      </c>
      <c r="Q617">
        <f>IF(AND(B617="office",E617="budget_probe",ISNUMBER(F617)),F617,"")</f>
        <v/>
      </c>
      <c r="R617">
        <f>IF(AND(B617="brand",E617="budget_probe",ISNUMBER(F617)),F617,"")</f>
        <v/>
      </c>
    </row>
    <row r="618">
      <c r="A618" s="91" t="n"/>
      <c r="B618" s="92" t="n"/>
      <c r="C618" s="92" t="n"/>
      <c r="D618" s="92" t="n"/>
      <c r="E618" s="92" t="n"/>
      <c r="F618" s="92" t="n"/>
      <c r="G618" s="92" t="n"/>
      <c r="H618" s="92" t="n"/>
      <c r="I618" s="92" t="n"/>
      <c r="K618">
        <f>IF(C618="","",IF(COUNTIFS(C$5:C618,C618,E$5:E618,E618)=1,1,0))</f>
        <v/>
      </c>
      <c r="L618">
        <f>IF(C618="",0,IF(AND(B618="brand",E618="budget_probe",N(F618)&gt;=Inputs!$C$114,H618="Y"),1,0))</f>
        <v/>
      </c>
      <c r="M618">
        <f>IF(L618=1,IF(COUNTIFS(C$5:C618,C618,L$5:L618,1)=1,1,0),0)</f>
        <v/>
      </c>
      <c r="N618">
        <f>IF(C618="",0,IF(AND(B618="office",E618="budget_probe",N(F618)&gt;=Inputs!$C$129),1,0))</f>
        <v/>
      </c>
      <c r="O618">
        <f>IF(N618=1,IF(COUNTIFS(C$5:C618,C618,N$5:N618,1)=1,1,0),0)</f>
        <v/>
      </c>
      <c r="P618">
        <f>IF(C618="",0,IF(AND(B618="brand",E618="renewal_answer",N(F618)&gt;=Inputs!$C$125),1,0))</f>
        <v/>
      </c>
      <c r="Q618">
        <f>IF(AND(B618="office",E618="budget_probe",ISNUMBER(F618)),F618,"")</f>
        <v/>
      </c>
      <c r="R618">
        <f>IF(AND(B618="brand",E618="budget_probe",ISNUMBER(F618)),F618,"")</f>
        <v/>
      </c>
    </row>
    <row r="619">
      <c r="A619" s="91" t="n"/>
      <c r="B619" s="92" t="n"/>
      <c r="C619" s="92" t="n"/>
      <c r="D619" s="92" t="n"/>
      <c r="E619" s="92" t="n"/>
      <c r="F619" s="92" t="n"/>
      <c r="G619" s="92" t="n"/>
      <c r="H619" s="92" t="n"/>
      <c r="I619" s="92" t="n"/>
      <c r="K619">
        <f>IF(C619="","",IF(COUNTIFS(C$5:C619,C619,E$5:E619,E619)=1,1,0))</f>
        <v/>
      </c>
      <c r="L619">
        <f>IF(C619="",0,IF(AND(B619="brand",E619="budget_probe",N(F619)&gt;=Inputs!$C$114,H619="Y"),1,0))</f>
        <v/>
      </c>
      <c r="M619">
        <f>IF(L619=1,IF(COUNTIFS(C$5:C619,C619,L$5:L619,1)=1,1,0),0)</f>
        <v/>
      </c>
      <c r="N619">
        <f>IF(C619="",0,IF(AND(B619="office",E619="budget_probe",N(F619)&gt;=Inputs!$C$129),1,0))</f>
        <v/>
      </c>
      <c r="O619">
        <f>IF(N619=1,IF(COUNTIFS(C$5:C619,C619,N$5:N619,1)=1,1,0),0)</f>
        <v/>
      </c>
      <c r="P619">
        <f>IF(C619="",0,IF(AND(B619="brand",E619="renewal_answer",N(F619)&gt;=Inputs!$C$125),1,0))</f>
        <v/>
      </c>
      <c r="Q619">
        <f>IF(AND(B619="office",E619="budget_probe",ISNUMBER(F619)),F619,"")</f>
        <v/>
      </c>
      <c r="R619">
        <f>IF(AND(B619="brand",E619="budget_probe",ISNUMBER(F619)),F619,"")</f>
        <v/>
      </c>
    </row>
    <row r="620">
      <c r="A620" s="91" t="n"/>
      <c r="B620" s="92" t="n"/>
      <c r="C620" s="92" t="n"/>
      <c r="D620" s="92" t="n"/>
      <c r="E620" s="92" t="n"/>
      <c r="F620" s="92" t="n"/>
      <c r="G620" s="92" t="n"/>
      <c r="H620" s="92" t="n"/>
      <c r="I620" s="92" t="n"/>
      <c r="K620">
        <f>IF(C620="","",IF(COUNTIFS(C$5:C620,C620,E$5:E620,E620)=1,1,0))</f>
        <v/>
      </c>
      <c r="L620">
        <f>IF(C620="",0,IF(AND(B620="brand",E620="budget_probe",N(F620)&gt;=Inputs!$C$114,H620="Y"),1,0))</f>
        <v/>
      </c>
      <c r="M620">
        <f>IF(L620=1,IF(COUNTIFS(C$5:C620,C620,L$5:L620,1)=1,1,0),0)</f>
        <v/>
      </c>
      <c r="N620">
        <f>IF(C620="",0,IF(AND(B620="office",E620="budget_probe",N(F620)&gt;=Inputs!$C$129),1,0))</f>
        <v/>
      </c>
      <c r="O620">
        <f>IF(N620=1,IF(COUNTIFS(C$5:C620,C620,N$5:N620,1)=1,1,0),0)</f>
        <v/>
      </c>
      <c r="P620">
        <f>IF(C620="",0,IF(AND(B620="brand",E620="renewal_answer",N(F620)&gt;=Inputs!$C$125),1,0))</f>
        <v/>
      </c>
      <c r="Q620">
        <f>IF(AND(B620="office",E620="budget_probe",ISNUMBER(F620)),F620,"")</f>
        <v/>
      </c>
      <c r="R620">
        <f>IF(AND(B620="brand",E620="budget_probe",ISNUMBER(F620)),F620,"")</f>
        <v/>
      </c>
    </row>
    <row r="621">
      <c r="A621" s="91" t="n"/>
      <c r="B621" s="92" t="n"/>
      <c r="C621" s="92" t="n"/>
      <c r="D621" s="92" t="n"/>
      <c r="E621" s="92" t="n"/>
      <c r="F621" s="92" t="n"/>
      <c r="G621" s="92" t="n"/>
      <c r="H621" s="92" t="n"/>
      <c r="I621" s="92" t="n"/>
      <c r="K621">
        <f>IF(C621="","",IF(COUNTIFS(C$5:C621,C621,E$5:E621,E621)=1,1,0))</f>
        <v/>
      </c>
      <c r="L621">
        <f>IF(C621="",0,IF(AND(B621="brand",E621="budget_probe",N(F621)&gt;=Inputs!$C$114,H621="Y"),1,0))</f>
        <v/>
      </c>
      <c r="M621">
        <f>IF(L621=1,IF(COUNTIFS(C$5:C621,C621,L$5:L621,1)=1,1,0),0)</f>
        <v/>
      </c>
      <c r="N621">
        <f>IF(C621="",0,IF(AND(B621="office",E621="budget_probe",N(F621)&gt;=Inputs!$C$129),1,0))</f>
        <v/>
      </c>
      <c r="O621">
        <f>IF(N621=1,IF(COUNTIFS(C$5:C621,C621,N$5:N621,1)=1,1,0),0)</f>
        <v/>
      </c>
      <c r="P621">
        <f>IF(C621="",0,IF(AND(B621="brand",E621="renewal_answer",N(F621)&gt;=Inputs!$C$125),1,0))</f>
        <v/>
      </c>
      <c r="Q621">
        <f>IF(AND(B621="office",E621="budget_probe",ISNUMBER(F621)),F621,"")</f>
        <v/>
      </c>
      <c r="R621">
        <f>IF(AND(B621="brand",E621="budget_probe",ISNUMBER(F621)),F621,"")</f>
        <v/>
      </c>
    </row>
    <row r="622">
      <c r="A622" s="91" t="n"/>
      <c r="B622" s="92" t="n"/>
      <c r="C622" s="92" t="n"/>
      <c r="D622" s="92" t="n"/>
      <c r="E622" s="92" t="n"/>
      <c r="F622" s="92" t="n"/>
      <c r="G622" s="92" t="n"/>
      <c r="H622" s="92" t="n"/>
      <c r="I622" s="92" t="n"/>
      <c r="K622">
        <f>IF(C622="","",IF(COUNTIFS(C$5:C622,C622,E$5:E622,E622)=1,1,0))</f>
        <v/>
      </c>
      <c r="L622">
        <f>IF(C622="",0,IF(AND(B622="brand",E622="budget_probe",N(F622)&gt;=Inputs!$C$114,H622="Y"),1,0))</f>
        <v/>
      </c>
      <c r="M622">
        <f>IF(L622=1,IF(COUNTIFS(C$5:C622,C622,L$5:L622,1)=1,1,0),0)</f>
        <v/>
      </c>
      <c r="N622">
        <f>IF(C622="",0,IF(AND(B622="office",E622="budget_probe",N(F622)&gt;=Inputs!$C$129),1,0))</f>
        <v/>
      </c>
      <c r="O622">
        <f>IF(N622=1,IF(COUNTIFS(C$5:C622,C622,N$5:N622,1)=1,1,0),0)</f>
        <v/>
      </c>
      <c r="P622">
        <f>IF(C622="",0,IF(AND(B622="brand",E622="renewal_answer",N(F622)&gt;=Inputs!$C$125),1,0))</f>
        <v/>
      </c>
      <c r="Q622">
        <f>IF(AND(B622="office",E622="budget_probe",ISNUMBER(F622)),F622,"")</f>
        <v/>
      </c>
      <c r="R622">
        <f>IF(AND(B622="brand",E622="budget_probe",ISNUMBER(F622)),F622,"")</f>
        <v/>
      </c>
    </row>
    <row r="623">
      <c r="A623" s="91" t="n"/>
      <c r="B623" s="92" t="n"/>
      <c r="C623" s="92" t="n"/>
      <c r="D623" s="92" t="n"/>
      <c r="E623" s="92" t="n"/>
      <c r="F623" s="92" t="n"/>
      <c r="G623" s="92" t="n"/>
      <c r="H623" s="92" t="n"/>
      <c r="I623" s="92" t="n"/>
      <c r="K623">
        <f>IF(C623="","",IF(COUNTIFS(C$5:C623,C623,E$5:E623,E623)=1,1,0))</f>
        <v/>
      </c>
      <c r="L623">
        <f>IF(C623="",0,IF(AND(B623="brand",E623="budget_probe",N(F623)&gt;=Inputs!$C$114,H623="Y"),1,0))</f>
        <v/>
      </c>
      <c r="M623">
        <f>IF(L623=1,IF(COUNTIFS(C$5:C623,C623,L$5:L623,1)=1,1,0),0)</f>
        <v/>
      </c>
      <c r="N623">
        <f>IF(C623="",0,IF(AND(B623="office",E623="budget_probe",N(F623)&gt;=Inputs!$C$129),1,0))</f>
        <v/>
      </c>
      <c r="O623">
        <f>IF(N623=1,IF(COUNTIFS(C$5:C623,C623,N$5:N623,1)=1,1,0),0)</f>
        <v/>
      </c>
      <c r="P623">
        <f>IF(C623="",0,IF(AND(B623="brand",E623="renewal_answer",N(F623)&gt;=Inputs!$C$125),1,0))</f>
        <v/>
      </c>
      <c r="Q623">
        <f>IF(AND(B623="office",E623="budget_probe",ISNUMBER(F623)),F623,"")</f>
        <v/>
      </c>
      <c r="R623">
        <f>IF(AND(B623="brand",E623="budget_probe",ISNUMBER(F623)),F623,"")</f>
        <v/>
      </c>
    </row>
    <row r="624">
      <c r="A624" s="91" t="n"/>
      <c r="B624" s="92" t="n"/>
      <c r="C624" s="92" t="n"/>
      <c r="D624" s="92" t="n"/>
      <c r="E624" s="92" t="n"/>
      <c r="F624" s="92" t="n"/>
      <c r="G624" s="92" t="n"/>
      <c r="H624" s="92" t="n"/>
      <c r="I624" s="92" t="n"/>
      <c r="K624">
        <f>IF(C624="","",IF(COUNTIFS(C$5:C624,C624,E$5:E624,E624)=1,1,0))</f>
        <v/>
      </c>
      <c r="L624">
        <f>IF(C624="",0,IF(AND(B624="brand",E624="budget_probe",N(F624)&gt;=Inputs!$C$114,H624="Y"),1,0))</f>
        <v/>
      </c>
      <c r="M624">
        <f>IF(L624=1,IF(COUNTIFS(C$5:C624,C624,L$5:L624,1)=1,1,0),0)</f>
        <v/>
      </c>
      <c r="N624">
        <f>IF(C624="",0,IF(AND(B624="office",E624="budget_probe",N(F624)&gt;=Inputs!$C$129),1,0))</f>
        <v/>
      </c>
      <c r="O624">
        <f>IF(N624=1,IF(COUNTIFS(C$5:C624,C624,N$5:N624,1)=1,1,0),0)</f>
        <v/>
      </c>
      <c r="P624">
        <f>IF(C624="",0,IF(AND(B624="brand",E624="renewal_answer",N(F624)&gt;=Inputs!$C$125),1,0))</f>
        <v/>
      </c>
      <c r="Q624">
        <f>IF(AND(B624="office",E624="budget_probe",ISNUMBER(F624)),F624,"")</f>
        <v/>
      </c>
      <c r="R624">
        <f>IF(AND(B624="brand",E624="budget_probe",ISNUMBER(F624)),F624,"")</f>
        <v/>
      </c>
    </row>
    <row r="625">
      <c r="A625" s="91" t="n"/>
      <c r="B625" s="92" t="n"/>
      <c r="C625" s="92" t="n"/>
      <c r="D625" s="92" t="n"/>
      <c r="E625" s="92" t="n"/>
      <c r="F625" s="92" t="n"/>
      <c r="G625" s="92" t="n"/>
      <c r="H625" s="92" t="n"/>
      <c r="I625" s="92" t="n"/>
      <c r="K625">
        <f>IF(C625="","",IF(COUNTIFS(C$5:C625,C625,E$5:E625,E625)=1,1,0))</f>
        <v/>
      </c>
      <c r="L625">
        <f>IF(C625="",0,IF(AND(B625="brand",E625="budget_probe",N(F625)&gt;=Inputs!$C$114,H625="Y"),1,0))</f>
        <v/>
      </c>
      <c r="M625">
        <f>IF(L625=1,IF(COUNTIFS(C$5:C625,C625,L$5:L625,1)=1,1,0),0)</f>
        <v/>
      </c>
      <c r="N625">
        <f>IF(C625="",0,IF(AND(B625="office",E625="budget_probe",N(F625)&gt;=Inputs!$C$129),1,0))</f>
        <v/>
      </c>
      <c r="O625">
        <f>IF(N625=1,IF(COUNTIFS(C$5:C625,C625,N$5:N625,1)=1,1,0),0)</f>
        <v/>
      </c>
      <c r="P625">
        <f>IF(C625="",0,IF(AND(B625="brand",E625="renewal_answer",N(F625)&gt;=Inputs!$C$125),1,0))</f>
        <v/>
      </c>
      <c r="Q625">
        <f>IF(AND(B625="office",E625="budget_probe",ISNUMBER(F625)),F625,"")</f>
        <v/>
      </c>
      <c r="R625">
        <f>IF(AND(B625="brand",E625="budget_probe",ISNUMBER(F625)),F625,"")</f>
        <v/>
      </c>
    </row>
    <row r="626">
      <c r="A626" s="91" t="n"/>
      <c r="B626" s="92" t="n"/>
      <c r="C626" s="92" t="n"/>
      <c r="D626" s="92" t="n"/>
      <c r="E626" s="92" t="n"/>
      <c r="F626" s="92" t="n"/>
      <c r="G626" s="92" t="n"/>
      <c r="H626" s="92" t="n"/>
      <c r="I626" s="92" t="n"/>
      <c r="K626">
        <f>IF(C626="","",IF(COUNTIFS(C$5:C626,C626,E$5:E626,E626)=1,1,0))</f>
        <v/>
      </c>
      <c r="L626">
        <f>IF(C626="",0,IF(AND(B626="brand",E626="budget_probe",N(F626)&gt;=Inputs!$C$114,H626="Y"),1,0))</f>
        <v/>
      </c>
      <c r="M626">
        <f>IF(L626=1,IF(COUNTIFS(C$5:C626,C626,L$5:L626,1)=1,1,0),0)</f>
        <v/>
      </c>
      <c r="N626">
        <f>IF(C626="",0,IF(AND(B626="office",E626="budget_probe",N(F626)&gt;=Inputs!$C$129),1,0))</f>
        <v/>
      </c>
      <c r="O626">
        <f>IF(N626=1,IF(COUNTIFS(C$5:C626,C626,N$5:N626,1)=1,1,0),0)</f>
        <v/>
      </c>
      <c r="P626">
        <f>IF(C626="",0,IF(AND(B626="brand",E626="renewal_answer",N(F626)&gt;=Inputs!$C$125),1,0))</f>
        <v/>
      </c>
      <c r="Q626">
        <f>IF(AND(B626="office",E626="budget_probe",ISNUMBER(F626)),F626,"")</f>
        <v/>
      </c>
      <c r="R626">
        <f>IF(AND(B626="brand",E626="budget_probe",ISNUMBER(F626)),F626,"")</f>
        <v/>
      </c>
    </row>
    <row r="627">
      <c r="A627" s="91" t="n"/>
      <c r="B627" s="92" t="n"/>
      <c r="C627" s="92" t="n"/>
      <c r="D627" s="92" t="n"/>
      <c r="E627" s="92" t="n"/>
      <c r="F627" s="92" t="n"/>
      <c r="G627" s="92" t="n"/>
      <c r="H627" s="92" t="n"/>
      <c r="I627" s="92" t="n"/>
      <c r="K627">
        <f>IF(C627="","",IF(COUNTIFS(C$5:C627,C627,E$5:E627,E627)=1,1,0))</f>
        <v/>
      </c>
      <c r="L627">
        <f>IF(C627="",0,IF(AND(B627="brand",E627="budget_probe",N(F627)&gt;=Inputs!$C$114,H627="Y"),1,0))</f>
        <v/>
      </c>
      <c r="M627">
        <f>IF(L627=1,IF(COUNTIFS(C$5:C627,C627,L$5:L627,1)=1,1,0),0)</f>
        <v/>
      </c>
      <c r="N627">
        <f>IF(C627="",0,IF(AND(B627="office",E627="budget_probe",N(F627)&gt;=Inputs!$C$129),1,0))</f>
        <v/>
      </c>
      <c r="O627">
        <f>IF(N627=1,IF(COUNTIFS(C$5:C627,C627,N$5:N627,1)=1,1,0),0)</f>
        <v/>
      </c>
      <c r="P627">
        <f>IF(C627="",0,IF(AND(B627="brand",E627="renewal_answer",N(F627)&gt;=Inputs!$C$125),1,0))</f>
        <v/>
      </c>
      <c r="Q627">
        <f>IF(AND(B627="office",E627="budget_probe",ISNUMBER(F627)),F627,"")</f>
        <v/>
      </c>
      <c r="R627">
        <f>IF(AND(B627="brand",E627="budget_probe",ISNUMBER(F627)),F627,"")</f>
        <v/>
      </c>
    </row>
    <row r="628">
      <c r="A628" s="91" t="n"/>
      <c r="B628" s="92" t="n"/>
      <c r="C628" s="92" t="n"/>
      <c r="D628" s="92" t="n"/>
      <c r="E628" s="92" t="n"/>
      <c r="F628" s="92" t="n"/>
      <c r="G628" s="92" t="n"/>
      <c r="H628" s="92" t="n"/>
      <c r="I628" s="92" t="n"/>
      <c r="K628">
        <f>IF(C628="","",IF(COUNTIFS(C$5:C628,C628,E$5:E628,E628)=1,1,0))</f>
        <v/>
      </c>
      <c r="L628">
        <f>IF(C628="",0,IF(AND(B628="brand",E628="budget_probe",N(F628)&gt;=Inputs!$C$114,H628="Y"),1,0))</f>
        <v/>
      </c>
      <c r="M628">
        <f>IF(L628=1,IF(COUNTIFS(C$5:C628,C628,L$5:L628,1)=1,1,0),0)</f>
        <v/>
      </c>
      <c r="N628">
        <f>IF(C628="",0,IF(AND(B628="office",E628="budget_probe",N(F628)&gt;=Inputs!$C$129),1,0))</f>
        <v/>
      </c>
      <c r="O628">
        <f>IF(N628=1,IF(COUNTIFS(C$5:C628,C628,N$5:N628,1)=1,1,0),0)</f>
        <v/>
      </c>
      <c r="P628">
        <f>IF(C628="",0,IF(AND(B628="brand",E628="renewal_answer",N(F628)&gt;=Inputs!$C$125),1,0))</f>
        <v/>
      </c>
      <c r="Q628">
        <f>IF(AND(B628="office",E628="budget_probe",ISNUMBER(F628)),F628,"")</f>
        <v/>
      </c>
      <c r="R628">
        <f>IF(AND(B628="brand",E628="budget_probe",ISNUMBER(F628)),F628,"")</f>
        <v/>
      </c>
    </row>
    <row r="629">
      <c r="A629" s="91" t="n"/>
      <c r="B629" s="92" t="n"/>
      <c r="C629" s="92" t="n"/>
      <c r="D629" s="92" t="n"/>
      <c r="E629" s="92" t="n"/>
      <c r="F629" s="92" t="n"/>
      <c r="G629" s="92" t="n"/>
      <c r="H629" s="92" t="n"/>
      <c r="I629" s="92" t="n"/>
      <c r="K629">
        <f>IF(C629="","",IF(COUNTIFS(C$5:C629,C629,E$5:E629,E629)=1,1,0))</f>
        <v/>
      </c>
      <c r="L629">
        <f>IF(C629="",0,IF(AND(B629="brand",E629="budget_probe",N(F629)&gt;=Inputs!$C$114,H629="Y"),1,0))</f>
        <v/>
      </c>
      <c r="M629">
        <f>IF(L629=1,IF(COUNTIFS(C$5:C629,C629,L$5:L629,1)=1,1,0),0)</f>
        <v/>
      </c>
      <c r="N629">
        <f>IF(C629="",0,IF(AND(B629="office",E629="budget_probe",N(F629)&gt;=Inputs!$C$129),1,0))</f>
        <v/>
      </c>
      <c r="O629">
        <f>IF(N629=1,IF(COUNTIFS(C$5:C629,C629,N$5:N629,1)=1,1,0),0)</f>
        <v/>
      </c>
      <c r="P629">
        <f>IF(C629="",0,IF(AND(B629="brand",E629="renewal_answer",N(F629)&gt;=Inputs!$C$125),1,0))</f>
        <v/>
      </c>
      <c r="Q629">
        <f>IF(AND(B629="office",E629="budget_probe",ISNUMBER(F629)),F629,"")</f>
        <v/>
      </c>
      <c r="R629">
        <f>IF(AND(B629="brand",E629="budget_probe",ISNUMBER(F629)),F629,"")</f>
        <v/>
      </c>
    </row>
    <row r="630">
      <c r="A630" s="91" t="n"/>
      <c r="B630" s="92" t="n"/>
      <c r="C630" s="92" t="n"/>
      <c r="D630" s="92" t="n"/>
      <c r="E630" s="92" t="n"/>
      <c r="F630" s="92" t="n"/>
      <c r="G630" s="92" t="n"/>
      <c r="H630" s="92" t="n"/>
      <c r="I630" s="92" t="n"/>
      <c r="K630">
        <f>IF(C630="","",IF(COUNTIFS(C$5:C630,C630,E$5:E630,E630)=1,1,0))</f>
        <v/>
      </c>
      <c r="L630">
        <f>IF(C630="",0,IF(AND(B630="brand",E630="budget_probe",N(F630)&gt;=Inputs!$C$114,H630="Y"),1,0))</f>
        <v/>
      </c>
      <c r="M630">
        <f>IF(L630=1,IF(COUNTIFS(C$5:C630,C630,L$5:L630,1)=1,1,0),0)</f>
        <v/>
      </c>
      <c r="N630">
        <f>IF(C630="",0,IF(AND(B630="office",E630="budget_probe",N(F630)&gt;=Inputs!$C$129),1,0))</f>
        <v/>
      </c>
      <c r="O630">
        <f>IF(N630=1,IF(COUNTIFS(C$5:C630,C630,N$5:N630,1)=1,1,0),0)</f>
        <v/>
      </c>
      <c r="P630">
        <f>IF(C630="",0,IF(AND(B630="brand",E630="renewal_answer",N(F630)&gt;=Inputs!$C$125),1,0))</f>
        <v/>
      </c>
      <c r="Q630">
        <f>IF(AND(B630="office",E630="budget_probe",ISNUMBER(F630)),F630,"")</f>
        <v/>
      </c>
      <c r="R630">
        <f>IF(AND(B630="brand",E630="budget_probe",ISNUMBER(F630)),F630,"")</f>
        <v/>
      </c>
    </row>
    <row r="631">
      <c r="A631" s="91" t="n"/>
      <c r="B631" s="92" t="n"/>
      <c r="C631" s="92" t="n"/>
      <c r="D631" s="92" t="n"/>
      <c r="E631" s="92" t="n"/>
      <c r="F631" s="92" t="n"/>
      <c r="G631" s="92" t="n"/>
      <c r="H631" s="92" t="n"/>
      <c r="I631" s="92" t="n"/>
      <c r="K631">
        <f>IF(C631="","",IF(COUNTIFS(C$5:C631,C631,E$5:E631,E631)=1,1,0))</f>
        <v/>
      </c>
      <c r="L631">
        <f>IF(C631="",0,IF(AND(B631="brand",E631="budget_probe",N(F631)&gt;=Inputs!$C$114,H631="Y"),1,0))</f>
        <v/>
      </c>
      <c r="M631">
        <f>IF(L631=1,IF(COUNTIFS(C$5:C631,C631,L$5:L631,1)=1,1,0),0)</f>
        <v/>
      </c>
      <c r="N631">
        <f>IF(C631="",0,IF(AND(B631="office",E631="budget_probe",N(F631)&gt;=Inputs!$C$129),1,0))</f>
        <v/>
      </c>
      <c r="O631">
        <f>IF(N631=1,IF(COUNTIFS(C$5:C631,C631,N$5:N631,1)=1,1,0),0)</f>
        <v/>
      </c>
      <c r="P631">
        <f>IF(C631="",0,IF(AND(B631="brand",E631="renewal_answer",N(F631)&gt;=Inputs!$C$125),1,0))</f>
        <v/>
      </c>
      <c r="Q631">
        <f>IF(AND(B631="office",E631="budget_probe",ISNUMBER(F631)),F631,"")</f>
        <v/>
      </c>
      <c r="R631">
        <f>IF(AND(B631="brand",E631="budget_probe",ISNUMBER(F631)),F631,"")</f>
        <v/>
      </c>
    </row>
    <row r="632">
      <c r="A632" s="91" t="n"/>
      <c r="B632" s="92" t="n"/>
      <c r="C632" s="92" t="n"/>
      <c r="D632" s="92" t="n"/>
      <c r="E632" s="92" t="n"/>
      <c r="F632" s="92" t="n"/>
      <c r="G632" s="92" t="n"/>
      <c r="H632" s="92" t="n"/>
      <c r="I632" s="92" t="n"/>
      <c r="K632">
        <f>IF(C632="","",IF(COUNTIFS(C$5:C632,C632,E$5:E632,E632)=1,1,0))</f>
        <v/>
      </c>
      <c r="L632">
        <f>IF(C632="",0,IF(AND(B632="brand",E632="budget_probe",N(F632)&gt;=Inputs!$C$114,H632="Y"),1,0))</f>
        <v/>
      </c>
      <c r="M632">
        <f>IF(L632=1,IF(COUNTIFS(C$5:C632,C632,L$5:L632,1)=1,1,0),0)</f>
        <v/>
      </c>
      <c r="N632">
        <f>IF(C632="",0,IF(AND(B632="office",E632="budget_probe",N(F632)&gt;=Inputs!$C$129),1,0))</f>
        <v/>
      </c>
      <c r="O632">
        <f>IF(N632=1,IF(COUNTIFS(C$5:C632,C632,N$5:N632,1)=1,1,0),0)</f>
        <v/>
      </c>
      <c r="P632">
        <f>IF(C632="",0,IF(AND(B632="brand",E632="renewal_answer",N(F632)&gt;=Inputs!$C$125),1,0))</f>
        <v/>
      </c>
      <c r="Q632">
        <f>IF(AND(B632="office",E632="budget_probe",ISNUMBER(F632)),F632,"")</f>
        <v/>
      </c>
      <c r="R632">
        <f>IF(AND(B632="brand",E632="budget_probe",ISNUMBER(F632)),F632,"")</f>
        <v/>
      </c>
    </row>
    <row r="633">
      <c r="A633" s="91" t="n"/>
      <c r="B633" s="92" t="n"/>
      <c r="C633" s="92" t="n"/>
      <c r="D633" s="92" t="n"/>
      <c r="E633" s="92" t="n"/>
      <c r="F633" s="92" t="n"/>
      <c r="G633" s="92" t="n"/>
      <c r="H633" s="92" t="n"/>
      <c r="I633" s="92" t="n"/>
      <c r="K633">
        <f>IF(C633="","",IF(COUNTIFS(C$5:C633,C633,E$5:E633,E633)=1,1,0))</f>
        <v/>
      </c>
      <c r="L633">
        <f>IF(C633="",0,IF(AND(B633="brand",E633="budget_probe",N(F633)&gt;=Inputs!$C$114,H633="Y"),1,0))</f>
        <v/>
      </c>
      <c r="M633">
        <f>IF(L633=1,IF(COUNTIFS(C$5:C633,C633,L$5:L633,1)=1,1,0),0)</f>
        <v/>
      </c>
      <c r="N633">
        <f>IF(C633="",0,IF(AND(B633="office",E633="budget_probe",N(F633)&gt;=Inputs!$C$129),1,0))</f>
        <v/>
      </c>
      <c r="O633">
        <f>IF(N633=1,IF(COUNTIFS(C$5:C633,C633,N$5:N633,1)=1,1,0),0)</f>
        <v/>
      </c>
      <c r="P633">
        <f>IF(C633="",0,IF(AND(B633="brand",E633="renewal_answer",N(F633)&gt;=Inputs!$C$125),1,0))</f>
        <v/>
      </c>
      <c r="Q633">
        <f>IF(AND(B633="office",E633="budget_probe",ISNUMBER(F633)),F633,"")</f>
        <v/>
      </c>
      <c r="R633">
        <f>IF(AND(B633="brand",E633="budget_probe",ISNUMBER(F633)),F633,"")</f>
        <v/>
      </c>
    </row>
    <row r="634">
      <c r="A634" s="91" t="n"/>
      <c r="B634" s="92" t="n"/>
      <c r="C634" s="92" t="n"/>
      <c r="D634" s="92" t="n"/>
      <c r="E634" s="92" t="n"/>
      <c r="F634" s="92" t="n"/>
      <c r="G634" s="92" t="n"/>
      <c r="H634" s="92" t="n"/>
      <c r="I634" s="92" t="n"/>
      <c r="K634">
        <f>IF(C634="","",IF(COUNTIFS(C$5:C634,C634,E$5:E634,E634)=1,1,0))</f>
        <v/>
      </c>
      <c r="L634">
        <f>IF(C634="",0,IF(AND(B634="brand",E634="budget_probe",N(F634)&gt;=Inputs!$C$114,H634="Y"),1,0))</f>
        <v/>
      </c>
      <c r="M634">
        <f>IF(L634=1,IF(COUNTIFS(C$5:C634,C634,L$5:L634,1)=1,1,0),0)</f>
        <v/>
      </c>
      <c r="N634">
        <f>IF(C634="",0,IF(AND(B634="office",E634="budget_probe",N(F634)&gt;=Inputs!$C$129),1,0))</f>
        <v/>
      </c>
      <c r="O634">
        <f>IF(N634=1,IF(COUNTIFS(C$5:C634,C634,N$5:N634,1)=1,1,0),0)</f>
        <v/>
      </c>
      <c r="P634">
        <f>IF(C634="",0,IF(AND(B634="brand",E634="renewal_answer",N(F634)&gt;=Inputs!$C$125),1,0))</f>
        <v/>
      </c>
      <c r="Q634">
        <f>IF(AND(B634="office",E634="budget_probe",ISNUMBER(F634)),F634,"")</f>
        <v/>
      </c>
      <c r="R634">
        <f>IF(AND(B634="brand",E634="budget_probe",ISNUMBER(F634)),F634,"")</f>
        <v/>
      </c>
    </row>
    <row r="635">
      <c r="A635" s="91" t="n"/>
      <c r="B635" s="92" t="n"/>
      <c r="C635" s="92" t="n"/>
      <c r="D635" s="92" t="n"/>
      <c r="E635" s="92" t="n"/>
      <c r="F635" s="92" t="n"/>
      <c r="G635" s="92" t="n"/>
      <c r="H635" s="92" t="n"/>
      <c r="I635" s="92" t="n"/>
      <c r="K635">
        <f>IF(C635="","",IF(COUNTIFS(C$5:C635,C635,E$5:E635,E635)=1,1,0))</f>
        <v/>
      </c>
      <c r="L635">
        <f>IF(C635="",0,IF(AND(B635="brand",E635="budget_probe",N(F635)&gt;=Inputs!$C$114,H635="Y"),1,0))</f>
        <v/>
      </c>
      <c r="M635">
        <f>IF(L635=1,IF(COUNTIFS(C$5:C635,C635,L$5:L635,1)=1,1,0),0)</f>
        <v/>
      </c>
      <c r="N635">
        <f>IF(C635="",0,IF(AND(B635="office",E635="budget_probe",N(F635)&gt;=Inputs!$C$129),1,0))</f>
        <v/>
      </c>
      <c r="O635">
        <f>IF(N635=1,IF(COUNTIFS(C$5:C635,C635,N$5:N635,1)=1,1,0),0)</f>
        <v/>
      </c>
      <c r="P635">
        <f>IF(C635="",0,IF(AND(B635="brand",E635="renewal_answer",N(F635)&gt;=Inputs!$C$125),1,0))</f>
        <v/>
      </c>
      <c r="Q635">
        <f>IF(AND(B635="office",E635="budget_probe",ISNUMBER(F635)),F635,"")</f>
        <v/>
      </c>
      <c r="R635">
        <f>IF(AND(B635="brand",E635="budget_probe",ISNUMBER(F635)),F635,"")</f>
        <v/>
      </c>
    </row>
    <row r="636">
      <c r="A636" s="91" t="n"/>
      <c r="B636" s="92" t="n"/>
      <c r="C636" s="92" t="n"/>
      <c r="D636" s="92" t="n"/>
      <c r="E636" s="92" t="n"/>
      <c r="F636" s="92" t="n"/>
      <c r="G636" s="92" t="n"/>
      <c r="H636" s="92" t="n"/>
      <c r="I636" s="92" t="n"/>
      <c r="K636">
        <f>IF(C636="","",IF(COUNTIFS(C$5:C636,C636,E$5:E636,E636)=1,1,0))</f>
        <v/>
      </c>
      <c r="L636">
        <f>IF(C636="",0,IF(AND(B636="brand",E636="budget_probe",N(F636)&gt;=Inputs!$C$114,H636="Y"),1,0))</f>
        <v/>
      </c>
      <c r="M636">
        <f>IF(L636=1,IF(COUNTIFS(C$5:C636,C636,L$5:L636,1)=1,1,0),0)</f>
        <v/>
      </c>
      <c r="N636">
        <f>IF(C636="",0,IF(AND(B636="office",E636="budget_probe",N(F636)&gt;=Inputs!$C$129),1,0))</f>
        <v/>
      </c>
      <c r="O636">
        <f>IF(N636=1,IF(COUNTIFS(C$5:C636,C636,N$5:N636,1)=1,1,0),0)</f>
        <v/>
      </c>
      <c r="P636">
        <f>IF(C636="",0,IF(AND(B636="brand",E636="renewal_answer",N(F636)&gt;=Inputs!$C$125),1,0))</f>
        <v/>
      </c>
      <c r="Q636">
        <f>IF(AND(B636="office",E636="budget_probe",ISNUMBER(F636)),F636,"")</f>
        <v/>
      </c>
      <c r="R636">
        <f>IF(AND(B636="brand",E636="budget_probe",ISNUMBER(F636)),F636,"")</f>
        <v/>
      </c>
    </row>
    <row r="637">
      <c r="A637" s="91" t="n"/>
      <c r="B637" s="92" t="n"/>
      <c r="C637" s="92" t="n"/>
      <c r="D637" s="92" t="n"/>
      <c r="E637" s="92" t="n"/>
      <c r="F637" s="92" t="n"/>
      <c r="G637" s="92" t="n"/>
      <c r="H637" s="92" t="n"/>
      <c r="I637" s="92" t="n"/>
      <c r="K637">
        <f>IF(C637="","",IF(COUNTIFS(C$5:C637,C637,E$5:E637,E637)=1,1,0))</f>
        <v/>
      </c>
      <c r="L637">
        <f>IF(C637="",0,IF(AND(B637="brand",E637="budget_probe",N(F637)&gt;=Inputs!$C$114,H637="Y"),1,0))</f>
        <v/>
      </c>
      <c r="M637">
        <f>IF(L637=1,IF(COUNTIFS(C$5:C637,C637,L$5:L637,1)=1,1,0),0)</f>
        <v/>
      </c>
      <c r="N637">
        <f>IF(C637="",0,IF(AND(B637="office",E637="budget_probe",N(F637)&gt;=Inputs!$C$129),1,0))</f>
        <v/>
      </c>
      <c r="O637">
        <f>IF(N637=1,IF(COUNTIFS(C$5:C637,C637,N$5:N637,1)=1,1,0),0)</f>
        <v/>
      </c>
      <c r="P637">
        <f>IF(C637="",0,IF(AND(B637="brand",E637="renewal_answer",N(F637)&gt;=Inputs!$C$125),1,0))</f>
        <v/>
      </c>
      <c r="Q637">
        <f>IF(AND(B637="office",E637="budget_probe",ISNUMBER(F637)),F637,"")</f>
        <v/>
      </c>
      <c r="R637">
        <f>IF(AND(B637="brand",E637="budget_probe",ISNUMBER(F637)),F637,"")</f>
        <v/>
      </c>
    </row>
    <row r="638">
      <c r="A638" s="91" t="n"/>
      <c r="B638" s="92" t="n"/>
      <c r="C638" s="92" t="n"/>
      <c r="D638" s="92" t="n"/>
      <c r="E638" s="92" t="n"/>
      <c r="F638" s="92" t="n"/>
      <c r="G638" s="92" t="n"/>
      <c r="H638" s="92" t="n"/>
      <c r="I638" s="92" t="n"/>
      <c r="K638">
        <f>IF(C638="","",IF(COUNTIFS(C$5:C638,C638,E$5:E638,E638)=1,1,0))</f>
        <v/>
      </c>
      <c r="L638">
        <f>IF(C638="",0,IF(AND(B638="brand",E638="budget_probe",N(F638)&gt;=Inputs!$C$114,H638="Y"),1,0))</f>
        <v/>
      </c>
      <c r="M638">
        <f>IF(L638=1,IF(COUNTIFS(C$5:C638,C638,L$5:L638,1)=1,1,0),0)</f>
        <v/>
      </c>
      <c r="N638">
        <f>IF(C638="",0,IF(AND(B638="office",E638="budget_probe",N(F638)&gt;=Inputs!$C$129),1,0))</f>
        <v/>
      </c>
      <c r="O638">
        <f>IF(N638=1,IF(COUNTIFS(C$5:C638,C638,N$5:N638,1)=1,1,0),0)</f>
        <v/>
      </c>
      <c r="P638">
        <f>IF(C638="",0,IF(AND(B638="brand",E638="renewal_answer",N(F638)&gt;=Inputs!$C$125),1,0))</f>
        <v/>
      </c>
      <c r="Q638">
        <f>IF(AND(B638="office",E638="budget_probe",ISNUMBER(F638)),F638,"")</f>
        <v/>
      </c>
      <c r="R638">
        <f>IF(AND(B638="brand",E638="budget_probe",ISNUMBER(F638)),F638,"")</f>
        <v/>
      </c>
    </row>
    <row r="639">
      <c r="A639" s="91" t="n"/>
      <c r="B639" s="92" t="n"/>
      <c r="C639" s="92" t="n"/>
      <c r="D639" s="92" t="n"/>
      <c r="E639" s="92" t="n"/>
      <c r="F639" s="92" t="n"/>
      <c r="G639" s="92" t="n"/>
      <c r="H639" s="92" t="n"/>
      <c r="I639" s="92" t="n"/>
      <c r="K639">
        <f>IF(C639="","",IF(COUNTIFS(C$5:C639,C639,E$5:E639,E639)=1,1,0))</f>
        <v/>
      </c>
      <c r="L639">
        <f>IF(C639="",0,IF(AND(B639="brand",E639="budget_probe",N(F639)&gt;=Inputs!$C$114,H639="Y"),1,0))</f>
        <v/>
      </c>
      <c r="M639">
        <f>IF(L639=1,IF(COUNTIFS(C$5:C639,C639,L$5:L639,1)=1,1,0),0)</f>
        <v/>
      </c>
      <c r="N639">
        <f>IF(C639="",0,IF(AND(B639="office",E639="budget_probe",N(F639)&gt;=Inputs!$C$129),1,0))</f>
        <v/>
      </c>
      <c r="O639">
        <f>IF(N639=1,IF(COUNTIFS(C$5:C639,C639,N$5:N639,1)=1,1,0),0)</f>
        <v/>
      </c>
      <c r="P639">
        <f>IF(C639="",0,IF(AND(B639="brand",E639="renewal_answer",N(F639)&gt;=Inputs!$C$125),1,0))</f>
        <v/>
      </c>
      <c r="Q639">
        <f>IF(AND(B639="office",E639="budget_probe",ISNUMBER(F639)),F639,"")</f>
        <v/>
      </c>
      <c r="R639">
        <f>IF(AND(B639="brand",E639="budget_probe",ISNUMBER(F639)),F639,"")</f>
        <v/>
      </c>
    </row>
    <row r="640">
      <c r="A640" s="91" t="n"/>
      <c r="B640" s="92" t="n"/>
      <c r="C640" s="92" t="n"/>
      <c r="D640" s="92" t="n"/>
      <c r="E640" s="92" t="n"/>
      <c r="F640" s="92" t="n"/>
      <c r="G640" s="92" t="n"/>
      <c r="H640" s="92" t="n"/>
      <c r="I640" s="92" t="n"/>
      <c r="K640">
        <f>IF(C640="","",IF(COUNTIFS(C$5:C640,C640,E$5:E640,E640)=1,1,0))</f>
        <v/>
      </c>
      <c r="L640">
        <f>IF(C640="",0,IF(AND(B640="brand",E640="budget_probe",N(F640)&gt;=Inputs!$C$114,H640="Y"),1,0))</f>
        <v/>
      </c>
      <c r="M640">
        <f>IF(L640=1,IF(COUNTIFS(C$5:C640,C640,L$5:L640,1)=1,1,0),0)</f>
        <v/>
      </c>
      <c r="N640">
        <f>IF(C640="",0,IF(AND(B640="office",E640="budget_probe",N(F640)&gt;=Inputs!$C$129),1,0))</f>
        <v/>
      </c>
      <c r="O640">
        <f>IF(N640=1,IF(COUNTIFS(C$5:C640,C640,N$5:N640,1)=1,1,0),0)</f>
        <v/>
      </c>
      <c r="P640">
        <f>IF(C640="",0,IF(AND(B640="brand",E640="renewal_answer",N(F640)&gt;=Inputs!$C$125),1,0))</f>
        <v/>
      </c>
      <c r="Q640">
        <f>IF(AND(B640="office",E640="budget_probe",ISNUMBER(F640)),F640,"")</f>
        <v/>
      </c>
      <c r="R640">
        <f>IF(AND(B640="brand",E640="budget_probe",ISNUMBER(F640)),F640,"")</f>
        <v/>
      </c>
    </row>
    <row r="641">
      <c r="A641" s="91" t="n"/>
      <c r="B641" s="92" t="n"/>
      <c r="C641" s="92" t="n"/>
      <c r="D641" s="92" t="n"/>
      <c r="E641" s="92" t="n"/>
      <c r="F641" s="92" t="n"/>
      <c r="G641" s="92" t="n"/>
      <c r="H641" s="92" t="n"/>
      <c r="I641" s="92" t="n"/>
      <c r="K641">
        <f>IF(C641="","",IF(COUNTIFS(C$5:C641,C641,E$5:E641,E641)=1,1,0))</f>
        <v/>
      </c>
      <c r="L641">
        <f>IF(C641="",0,IF(AND(B641="brand",E641="budget_probe",N(F641)&gt;=Inputs!$C$114,H641="Y"),1,0))</f>
        <v/>
      </c>
      <c r="M641">
        <f>IF(L641=1,IF(COUNTIFS(C$5:C641,C641,L$5:L641,1)=1,1,0),0)</f>
        <v/>
      </c>
      <c r="N641">
        <f>IF(C641="",0,IF(AND(B641="office",E641="budget_probe",N(F641)&gt;=Inputs!$C$129),1,0))</f>
        <v/>
      </c>
      <c r="O641">
        <f>IF(N641=1,IF(COUNTIFS(C$5:C641,C641,N$5:N641,1)=1,1,0),0)</f>
        <v/>
      </c>
      <c r="P641">
        <f>IF(C641="",0,IF(AND(B641="brand",E641="renewal_answer",N(F641)&gt;=Inputs!$C$125),1,0))</f>
        <v/>
      </c>
      <c r="Q641">
        <f>IF(AND(B641="office",E641="budget_probe",ISNUMBER(F641)),F641,"")</f>
        <v/>
      </c>
      <c r="R641">
        <f>IF(AND(B641="brand",E641="budget_probe",ISNUMBER(F641)),F641,"")</f>
        <v/>
      </c>
    </row>
    <row r="642">
      <c r="A642" s="91" t="n"/>
      <c r="B642" s="92" t="n"/>
      <c r="C642" s="92" t="n"/>
      <c r="D642" s="92" t="n"/>
      <c r="E642" s="92" t="n"/>
      <c r="F642" s="92" t="n"/>
      <c r="G642" s="92" t="n"/>
      <c r="H642" s="92" t="n"/>
      <c r="I642" s="92" t="n"/>
      <c r="K642">
        <f>IF(C642="","",IF(COUNTIFS(C$5:C642,C642,E$5:E642,E642)=1,1,0))</f>
        <v/>
      </c>
      <c r="L642">
        <f>IF(C642="",0,IF(AND(B642="brand",E642="budget_probe",N(F642)&gt;=Inputs!$C$114,H642="Y"),1,0))</f>
        <v/>
      </c>
      <c r="M642">
        <f>IF(L642=1,IF(COUNTIFS(C$5:C642,C642,L$5:L642,1)=1,1,0),0)</f>
        <v/>
      </c>
      <c r="N642">
        <f>IF(C642="",0,IF(AND(B642="office",E642="budget_probe",N(F642)&gt;=Inputs!$C$129),1,0))</f>
        <v/>
      </c>
      <c r="O642">
        <f>IF(N642=1,IF(COUNTIFS(C$5:C642,C642,N$5:N642,1)=1,1,0),0)</f>
        <v/>
      </c>
      <c r="P642">
        <f>IF(C642="",0,IF(AND(B642="brand",E642="renewal_answer",N(F642)&gt;=Inputs!$C$125),1,0))</f>
        <v/>
      </c>
      <c r="Q642">
        <f>IF(AND(B642="office",E642="budget_probe",ISNUMBER(F642)),F642,"")</f>
        <v/>
      </c>
      <c r="R642">
        <f>IF(AND(B642="brand",E642="budget_probe",ISNUMBER(F642)),F642,"")</f>
        <v/>
      </c>
    </row>
    <row r="643">
      <c r="A643" s="91" t="n"/>
      <c r="B643" s="92" t="n"/>
      <c r="C643" s="92" t="n"/>
      <c r="D643" s="92" t="n"/>
      <c r="E643" s="92" t="n"/>
      <c r="F643" s="92" t="n"/>
      <c r="G643" s="92" t="n"/>
      <c r="H643" s="92" t="n"/>
      <c r="I643" s="92" t="n"/>
      <c r="K643">
        <f>IF(C643="","",IF(COUNTIFS(C$5:C643,C643,E$5:E643,E643)=1,1,0))</f>
        <v/>
      </c>
      <c r="L643">
        <f>IF(C643="",0,IF(AND(B643="brand",E643="budget_probe",N(F643)&gt;=Inputs!$C$114,H643="Y"),1,0))</f>
        <v/>
      </c>
      <c r="M643">
        <f>IF(L643=1,IF(COUNTIFS(C$5:C643,C643,L$5:L643,1)=1,1,0),0)</f>
        <v/>
      </c>
      <c r="N643">
        <f>IF(C643="",0,IF(AND(B643="office",E643="budget_probe",N(F643)&gt;=Inputs!$C$129),1,0))</f>
        <v/>
      </c>
      <c r="O643">
        <f>IF(N643=1,IF(COUNTIFS(C$5:C643,C643,N$5:N643,1)=1,1,0),0)</f>
        <v/>
      </c>
      <c r="P643">
        <f>IF(C643="",0,IF(AND(B643="brand",E643="renewal_answer",N(F643)&gt;=Inputs!$C$125),1,0))</f>
        <v/>
      </c>
      <c r="Q643">
        <f>IF(AND(B643="office",E643="budget_probe",ISNUMBER(F643)),F643,"")</f>
        <v/>
      </c>
      <c r="R643">
        <f>IF(AND(B643="brand",E643="budget_probe",ISNUMBER(F643)),F643,"")</f>
        <v/>
      </c>
    </row>
    <row r="644">
      <c r="A644" s="91" t="n"/>
      <c r="B644" s="92" t="n"/>
      <c r="C644" s="92" t="n"/>
      <c r="D644" s="92" t="n"/>
      <c r="E644" s="92" t="n"/>
      <c r="F644" s="92" t="n"/>
      <c r="G644" s="92" t="n"/>
      <c r="H644" s="92" t="n"/>
      <c r="I644" s="92" t="n"/>
      <c r="K644">
        <f>IF(C644="","",IF(COUNTIFS(C$5:C644,C644,E$5:E644,E644)=1,1,0))</f>
        <v/>
      </c>
      <c r="L644">
        <f>IF(C644="",0,IF(AND(B644="brand",E644="budget_probe",N(F644)&gt;=Inputs!$C$114,H644="Y"),1,0))</f>
        <v/>
      </c>
      <c r="M644">
        <f>IF(L644=1,IF(COUNTIFS(C$5:C644,C644,L$5:L644,1)=1,1,0),0)</f>
        <v/>
      </c>
      <c r="N644">
        <f>IF(C644="",0,IF(AND(B644="office",E644="budget_probe",N(F644)&gt;=Inputs!$C$129),1,0))</f>
        <v/>
      </c>
      <c r="O644">
        <f>IF(N644=1,IF(COUNTIFS(C$5:C644,C644,N$5:N644,1)=1,1,0),0)</f>
        <v/>
      </c>
      <c r="P644">
        <f>IF(C644="",0,IF(AND(B644="brand",E644="renewal_answer",N(F644)&gt;=Inputs!$C$125),1,0))</f>
        <v/>
      </c>
      <c r="Q644">
        <f>IF(AND(B644="office",E644="budget_probe",ISNUMBER(F644)),F644,"")</f>
        <v/>
      </c>
      <c r="R644">
        <f>IF(AND(B644="brand",E644="budget_probe",ISNUMBER(F644)),F644,"")</f>
        <v/>
      </c>
    </row>
    <row r="645">
      <c r="A645" s="91" t="n"/>
      <c r="B645" s="92" t="n"/>
      <c r="C645" s="92" t="n"/>
      <c r="D645" s="92" t="n"/>
      <c r="E645" s="92" t="n"/>
      <c r="F645" s="92" t="n"/>
      <c r="G645" s="92" t="n"/>
      <c r="H645" s="92" t="n"/>
      <c r="I645" s="92" t="n"/>
      <c r="K645">
        <f>IF(C645="","",IF(COUNTIFS(C$5:C645,C645,E$5:E645,E645)=1,1,0))</f>
        <v/>
      </c>
      <c r="L645">
        <f>IF(C645="",0,IF(AND(B645="brand",E645="budget_probe",N(F645)&gt;=Inputs!$C$114,H645="Y"),1,0))</f>
        <v/>
      </c>
      <c r="M645">
        <f>IF(L645=1,IF(COUNTIFS(C$5:C645,C645,L$5:L645,1)=1,1,0),0)</f>
        <v/>
      </c>
      <c r="N645">
        <f>IF(C645="",0,IF(AND(B645="office",E645="budget_probe",N(F645)&gt;=Inputs!$C$129),1,0))</f>
        <v/>
      </c>
      <c r="O645">
        <f>IF(N645=1,IF(COUNTIFS(C$5:C645,C645,N$5:N645,1)=1,1,0),0)</f>
        <v/>
      </c>
      <c r="P645">
        <f>IF(C645="",0,IF(AND(B645="brand",E645="renewal_answer",N(F645)&gt;=Inputs!$C$125),1,0))</f>
        <v/>
      </c>
      <c r="Q645">
        <f>IF(AND(B645="office",E645="budget_probe",ISNUMBER(F645)),F645,"")</f>
        <v/>
      </c>
      <c r="R645">
        <f>IF(AND(B645="brand",E645="budget_probe",ISNUMBER(F645)),F645,"")</f>
        <v/>
      </c>
    </row>
    <row r="646">
      <c r="A646" s="91" t="n"/>
      <c r="B646" s="92" t="n"/>
      <c r="C646" s="92" t="n"/>
      <c r="D646" s="92" t="n"/>
      <c r="E646" s="92" t="n"/>
      <c r="F646" s="92" t="n"/>
      <c r="G646" s="92" t="n"/>
      <c r="H646" s="92" t="n"/>
      <c r="I646" s="92" t="n"/>
      <c r="K646">
        <f>IF(C646="","",IF(COUNTIFS(C$5:C646,C646,E$5:E646,E646)=1,1,0))</f>
        <v/>
      </c>
      <c r="L646">
        <f>IF(C646="",0,IF(AND(B646="brand",E646="budget_probe",N(F646)&gt;=Inputs!$C$114,H646="Y"),1,0))</f>
        <v/>
      </c>
      <c r="M646">
        <f>IF(L646=1,IF(COUNTIFS(C$5:C646,C646,L$5:L646,1)=1,1,0),0)</f>
        <v/>
      </c>
      <c r="N646">
        <f>IF(C646="",0,IF(AND(B646="office",E646="budget_probe",N(F646)&gt;=Inputs!$C$129),1,0))</f>
        <v/>
      </c>
      <c r="O646">
        <f>IF(N646=1,IF(COUNTIFS(C$5:C646,C646,N$5:N646,1)=1,1,0),0)</f>
        <v/>
      </c>
      <c r="P646">
        <f>IF(C646="",0,IF(AND(B646="brand",E646="renewal_answer",N(F646)&gt;=Inputs!$C$125),1,0))</f>
        <v/>
      </c>
      <c r="Q646">
        <f>IF(AND(B646="office",E646="budget_probe",ISNUMBER(F646)),F646,"")</f>
        <v/>
      </c>
      <c r="R646">
        <f>IF(AND(B646="brand",E646="budget_probe",ISNUMBER(F646)),F646,"")</f>
        <v/>
      </c>
    </row>
    <row r="647">
      <c r="A647" s="91" t="n"/>
      <c r="B647" s="92" t="n"/>
      <c r="C647" s="92" t="n"/>
      <c r="D647" s="92" t="n"/>
      <c r="E647" s="92" t="n"/>
      <c r="F647" s="92" t="n"/>
      <c r="G647" s="92" t="n"/>
      <c r="H647" s="92" t="n"/>
      <c r="I647" s="92" t="n"/>
      <c r="K647">
        <f>IF(C647="","",IF(COUNTIFS(C$5:C647,C647,E$5:E647,E647)=1,1,0))</f>
        <v/>
      </c>
      <c r="L647">
        <f>IF(C647="",0,IF(AND(B647="brand",E647="budget_probe",N(F647)&gt;=Inputs!$C$114,H647="Y"),1,0))</f>
        <v/>
      </c>
      <c r="M647">
        <f>IF(L647=1,IF(COUNTIFS(C$5:C647,C647,L$5:L647,1)=1,1,0),0)</f>
        <v/>
      </c>
      <c r="N647">
        <f>IF(C647="",0,IF(AND(B647="office",E647="budget_probe",N(F647)&gt;=Inputs!$C$129),1,0))</f>
        <v/>
      </c>
      <c r="O647">
        <f>IF(N647=1,IF(COUNTIFS(C$5:C647,C647,N$5:N647,1)=1,1,0),0)</f>
        <v/>
      </c>
      <c r="P647">
        <f>IF(C647="",0,IF(AND(B647="brand",E647="renewal_answer",N(F647)&gt;=Inputs!$C$125),1,0))</f>
        <v/>
      </c>
      <c r="Q647">
        <f>IF(AND(B647="office",E647="budget_probe",ISNUMBER(F647)),F647,"")</f>
        <v/>
      </c>
      <c r="R647">
        <f>IF(AND(B647="brand",E647="budget_probe",ISNUMBER(F647)),F647,"")</f>
        <v/>
      </c>
    </row>
    <row r="648">
      <c r="A648" s="91" t="n"/>
      <c r="B648" s="92" t="n"/>
      <c r="C648" s="92" t="n"/>
      <c r="D648" s="92" t="n"/>
      <c r="E648" s="92" t="n"/>
      <c r="F648" s="92" t="n"/>
      <c r="G648" s="92" t="n"/>
      <c r="H648" s="92" t="n"/>
      <c r="I648" s="92" t="n"/>
      <c r="K648">
        <f>IF(C648="","",IF(COUNTIFS(C$5:C648,C648,E$5:E648,E648)=1,1,0))</f>
        <v/>
      </c>
      <c r="L648">
        <f>IF(C648="",0,IF(AND(B648="brand",E648="budget_probe",N(F648)&gt;=Inputs!$C$114,H648="Y"),1,0))</f>
        <v/>
      </c>
      <c r="M648">
        <f>IF(L648=1,IF(COUNTIFS(C$5:C648,C648,L$5:L648,1)=1,1,0),0)</f>
        <v/>
      </c>
      <c r="N648">
        <f>IF(C648="",0,IF(AND(B648="office",E648="budget_probe",N(F648)&gt;=Inputs!$C$129),1,0))</f>
        <v/>
      </c>
      <c r="O648">
        <f>IF(N648=1,IF(COUNTIFS(C$5:C648,C648,N$5:N648,1)=1,1,0),0)</f>
        <v/>
      </c>
      <c r="P648">
        <f>IF(C648="",0,IF(AND(B648="brand",E648="renewal_answer",N(F648)&gt;=Inputs!$C$125),1,0))</f>
        <v/>
      </c>
      <c r="Q648">
        <f>IF(AND(B648="office",E648="budget_probe",ISNUMBER(F648)),F648,"")</f>
        <v/>
      </c>
      <c r="R648">
        <f>IF(AND(B648="brand",E648="budget_probe",ISNUMBER(F648)),F648,"")</f>
        <v/>
      </c>
    </row>
    <row r="649">
      <c r="A649" s="91" t="n"/>
      <c r="B649" s="92" t="n"/>
      <c r="C649" s="92" t="n"/>
      <c r="D649" s="92" t="n"/>
      <c r="E649" s="92" t="n"/>
      <c r="F649" s="92" t="n"/>
      <c r="G649" s="92" t="n"/>
      <c r="H649" s="92" t="n"/>
      <c r="I649" s="92" t="n"/>
      <c r="K649">
        <f>IF(C649="","",IF(COUNTIFS(C$5:C649,C649,E$5:E649,E649)=1,1,0))</f>
        <v/>
      </c>
      <c r="L649">
        <f>IF(C649="",0,IF(AND(B649="brand",E649="budget_probe",N(F649)&gt;=Inputs!$C$114,H649="Y"),1,0))</f>
        <v/>
      </c>
      <c r="M649">
        <f>IF(L649=1,IF(COUNTIFS(C$5:C649,C649,L$5:L649,1)=1,1,0),0)</f>
        <v/>
      </c>
      <c r="N649">
        <f>IF(C649="",0,IF(AND(B649="office",E649="budget_probe",N(F649)&gt;=Inputs!$C$129),1,0))</f>
        <v/>
      </c>
      <c r="O649">
        <f>IF(N649=1,IF(COUNTIFS(C$5:C649,C649,N$5:N649,1)=1,1,0),0)</f>
        <v/>
      </c>
      <c r="P649">
        <f>IF(C649="",0,IF(AND(B649="brand",E649="renewal_answer",N(F649)&gt;=Inputs!$C$125),1,0))</f>
        <v/>
      </c>
      <c r="Q649">
        <f>IF(AND(B649="office",E649="budget_probe",ISNUMBER(F649)),F649,"")</f>
        <v/>
      </c>
      <c r="R649">
        <f>IF(AND(B649="brand",E649="budget_probe",ISNUMBER(F649)),F649,"")</f>
        <v/>
      </c>
    </row>
    <row r="650">
      <c r="A650" s="91" t="n"/>
      <c r="B650" s="92" t="n"/>
      <c r="C650" s="92" t="n"/>
      <c r="D650" s="92" t="n"/>
      <c r="E650" s="92" t="n"/>
      <c r="F650" s="92" t="n"/>
      <c r="G650" s="92" t="n"/>
      <c r="H650" s="92" t="n"/>
      <c r="I650" s="92" t="n"/>
      <c r="K650">
        <f>IF(C650="","",IF(COUNTIFS(C$5:C650,C650,E$5:E650,E650)=1,1,0))</f>
        <v/>
      </c>
      <c r="L650">
        <f>IF(C650="",0,IF(AND(B650="brand",E650="budget_probe",N(F650)&gt;=Inputs!$C$114,H650="Y"),1,0))</f>
        <v/>
      </c>
      <c r="M650">
        <f>IF(L650=1,IF(COUNTIFS(C$5:C650,C650,L$5:L650,1)=1,1,0),0)</f>
        <v/>
      </c>
      <c r="N650">
        <f>IF(C650="",0,IF(AND(B650="office",E650="budget_probe",N(F650)&gt;=Inputs!$C$129),1,0))</f>
        <v/>
      </c>
      <c r="O650">
        <f>IF(N650=1,IF(COUNTIFS(C$5:C650,C650,N$5:N650,1)=1,1,0),0)</f>
        <v/>
      </c>
      <c r="P650">
        <f>IF(C650="",0,IF(AND(B650="brand",E650="renewal_answer",N(F650)&gt;=Inputs!$C$125),1,0))</f>
        <v/>
      </c>
      <c r="Q650">
        <f>IF(AND(B650="office",E650="budget_probe",ISNUMBER(F650)),F650,"")</f>
        <v/>
      </c>
      <c r="R650">
        <f>IF(AND(B650="brand",E650="budget_probe",ISNUMBER(F650)),F650,"")</f>
        <v/>
      </c>
    </row>
    <row r="651">
      <c r="A651" s="91" t="n"/>
      <c r="B651" s="92" t="n"/>
      <c r="C651" s="92" t="n"/>
      <c r="D651" s="92" t="n"/>
      <c r="E651" s="92" t="n"/>
      <c r="F651" s="92" t="n"/>
      <c r="G651" s="92" t="n"/>
      <c r="H651" s="92" t="n"/>
      <c r="I651" s="92" t="n"/>
      <c r="K651">
        <f>IF(C651="","",IF(COUNTIFS(C$5:C651,C651,E$5:E651,E651)=1,1,0))</f>
        <v/>
      </c>
      <c r="L651">
        <f>IF(C651="",0,IF(AND(B651="brand",E651="budget_probe",N(F651)&gt;=Inputs!$C$114,H651="Y"),1,0))</f>
        <v/>
      </c>
      <c r="M651">
        <f>IF(L651=1,IF(COUNTIFS(C$5:C651,C651,L$5:L651,1)=1,1,0),0)</f>
        <v/>
      </c>
      <c r="N651">
        <f>IF(C651="",0,IF(AND(B651="office",E651="budget_probe",N(F651)&gt;=Inputs!$C$129),1,0))</f>
        <v/>
      </c>
      <c r="O651">
        <f>IF(N651=1,IF(COUNTIFS(C$5:C651,C651,N$5:N651,1)=1,1,0),0)</f>
        <v/>
      </c>
      <c r="P651">
        <f>IF(C651="",0,IF(AND(B651="brand",E651="renewal_answer",N(F651)&gt;=Inputs!$C$125),1,0))</f>
        <v/>
      </c>
      <c r="Q651">
        <f>IF(AND(B651="office",E651="budget_probe",ISNUMBER(F651)),F651,"")</f>
        <v/>
      </c>
      <c r="R651">
        <f>IF(AND(B651="brand",E651="budget_probe",ISNUMBER(F651)),F651,"")</f>
        <v/>
      </c>
    </row>
    <row r="652">
      <c r="A652" s="91" t="n"/>
      <c r="B652" s="92" t="n"/>
      <c r="C652" s="92" t="n"/>
      <c r="D652" s="92" t="n"/>
      <c r="E652" s="92" t="n"/>
      <c r="F652" s="92" t="n"/>
      <c r="G652" s="92" t="n"/>
      <c r="H652" s="92" t="n"/>
      <c r="I652" s="92" t="n"/>
      <c r="K652">
        <f>IF(C652="","",IF(COUNTIFS(C$5:C652,C652,E$5:E652,E652)=1,1,0))</f>
        <v/>
      </c>
      <c r="L652">
        <f>IF(C652="",0,IF(AND(B652="brand",E652="budget_probe",N(F652)&gt;=Inputs!$C$114,H652="Y"),1,0))</f>
        <v/>
      </c>
      <c r="M652">
        <f>IF(L652=1,IF(COUNTIFS(C$5:C652,C652,L$5:L652,1)=1,1,0),0)</f>
        <v/>
      </c>
      <c r="N652">
        <f>IF(C652="",0,IF(AND(B652="office",E652="budget_probe",N(F652)&gt;=Inputs!$C$129),1,0))</f>
        <v/>
      </c>
      <c r="O652">
        <f>IF(N652=1,IF(COUNTIFS(C$5:C652,C652,N$5:N652,1)=1,1,0),0)</f>
        <v/>
      </c>
      <c r="P652">
        <f>IF(C652="",0,IF(AND(B652="brand",E652="renewal_answer",N(F652)&gt;=Inputs!$C$125),1,0))</f>
        <v/>
      </c>
      <c r="Q652">
        <f>IF(AND(B652="office",E652="budget_probe",ISNUMBER(F652)),F652,"")</f>
        <v/>
      </c>
      <c r="R652">
        <f>IF(AND(B652="brand",E652="budget_probe",ISNUMBER(F652)),F652,"")</f>
        <v/>
      </c>
    </row>
    <row r="653">
      <c r="A653" s="91" t="n"/>
      <c r="B653" s="92" t="n"/>
      <c r="C653" s="92" t="n"/>
      <c r="D653" s="92" t="n"/>
      <c r="E653" s="92" t="n"/>
      <c r="F653" s="92" t="n"/>
      <c r="G653" s="92" t="n"/>
      <c r="H653" s="92" t="n"/>
      <c r="I653" s="92" t="n"/>
      <c r="K653">
        <f>IF(C653="","",IF(COUNTIFS(C$5:C653,C653,E$5:E653,E653)=1,1,0))</f>
        <v/>
      </c>
      <c r="L653">
        <f>IF(C653="",0,IF(AND(B653="brand",E653="budget_probe",N(F653)&gt;=Inputs!$C$114,H653="Y"),1,0))</f>
        <v/>
      </c>
      <c r="M653">
        <f>IF(L653=1,IF(COUNTIFS(C$5:C653,C653,L$5:L653,1)=1,1,0),0)</f>
        <v/>
      </c>
      <c r="N653">
        <f>IF(C653="",0,IF(AND(B653="office",E653="budget_probe",N(F653)&gt;=Inputs!$C$129),1,0))</f>
        <v/>
      </c>
      <c r="O653">
        <f>IF(N653=1,IF(COUNTIFS(C$5:C653,C653,N$5:N653,1)=1,1,0),0)</f>
        <v/>
      </c>
      <c r="P653">
        <f>IF(C653="",0,IF(AND(B653="brand",E653="renewal_answer",N(F653)&gt;=Inputs!$C$125),1,0))</f>
        <v/>
      </c>
      <c r="Q653">
        <f>IF(AND(B653="office",E653="budget_probe",ISNUMBER(F653)),F653,"")</f>
        <v/>
      </c>
      <c r="R653">
        <f>IF(AND(B653="brand",E653="budget_probe",ISNUMBER(F653)),F653,"")</f>
        <v/>
      </c>
    </row>
    <row r="654">
      <c r="A654" s="91" t="n"/>
      <c r="B654" s="92" t="n"/>
      <c r="C654" s="92" t="n"/>
      <c r="D654" s="92" t="n"/>
      <c r="E654" s="92" t="n"/>
      <c r="F654" s="92" t="n"/>
      <c r="G654" s="92" t="n"/>
      <c r="H654" s="92" t="n"/>
      <c r="I654" s="92" t="n"/>
      <c r="K654">
        <f>IF(C654="","",IF(COUNTIFS(C$5:C654,C654,E$5:E654,E654)=1,1,0))</f>
        <v/>
      </c>
      <c r="L654">
        <f>IF(C654="",0,IF(AND(B654="brand",E654="budget_probe",N(F654)&gt;=Inputs!$C$114,H654="Y"),1,0))</f>
        <v/>
      </c>
      <c r="M654">
        <f>IF(L654=1,IF(COUNTIFS(C$5:C654,C654,L$5:L654,1)=1,1,0),0)</f>
        <v/>
      </c>
      <c r="N654">
        <f>IF(C654="",0,IF(AND(B654="office",E654="budget_probe",N(F654)&gt;=Inputs!$C$129),1,0))</f>
        <v/>
      </c>
      <c r="O654">
        <f>IF(N654=1,IF(COUNTIFS(C$5:C654,C654,N$5:N654,1)=1,1,0),0)</f>
        <v/>
      </c>
      <c r="P654">
        <f>IF(C654="",0,IF(AND(B654="brand",E654="renewal_answer",N(F654)&gt;=Inputs!$C$125),1,0))</f>
        <v/>
      </c>
      <c r="Q654">
        <f>IF(AND(B654="office",E654="budget_probe",ISNUMBER(F654)),F654,"")</f>
        <v/>
      </c>
      <c r="R654">
        <f>IF(AND(B654="brand",E654="budget_probe",ISNUMBER(F654)),F654,"")</f>
        <v/>
      </c>
    </row>
    <row r="655">
      <c r="A655" s="91" t="n"/>
      <c r="B655" s="92" t="n"/>
      <c r="C655" s="92" t="n"/>
      <c r="D655" s="92" t="n"/>
      <c r="E655" s="92" t="n"/>
      <c r="F655" s="92" t="n"/>
      <c r="G655" s="92" t="n"/>
      <c r="H655" s="92" t="n"/>
      <c r="I655" s="92" t="n"/>
      <c r="K655">
        <f>IF(C655="","",IF(COUNTIFS(C$5:C655,C655,E$5:E655,E655)=1,1,0))</f>
        <v/>
      </c>
      <c r="L655">
        <f>IF(C655="",0,IF(AND(B655="brand",E655="budget_probe",N(F655)&gt;=Inputs!$C$114,H655="Y"),1,0))</f>
        <v/>
      </c>
      <c r="M655">
        <f>IF(L655=1,IF(COUNTIFS(C$5:C655,C655,L$5:L655,1)=1,1,0),0)</f>
        <v/>
      </c>
      <c r="N655">
        <f>IF(C655="",0,IF(AND(B655="office",E655="budget_probe",N(F655)&gt;=Inputs!$C$129),1,0))</f>
        <v/>
      </c>
      <c r="O655">
        <f>IF(N655=1,IF(COUNTIFS(C$5:C655,C655,N$5:N655,1)=1,1,0),0)</f>
        <v/>
      </c>
      <c r="P655">
        <f>IF(C655="",0,IF(AND(B655="brand",E655="renewal_answer",N(F655)&gt;=Inputs!$C$125),1,0))</f>
        <v/>
      </c>
      <c r="Q655">
        <f>IF(AND(B655="office",E655="budget_probe",ISNUMBER(F655)),F655,"")</f>
        <v/>
      </c>
      <c r="R655">
        <f>IF(AND(B655="brand",E655="budget_probe",ISNUMBER(F655)),F655,"")</f>
        <v/>
      </c>
    </row>
    <row r="656">
      <c r="A656" s="91" t="n"/>
      <c r="B656" s="92" t="n"/>
      <c r="C656" s="92" t="n"/>
      <c r="D656" s="92" t="n"/>
      <c r="E656" s="92" t="n"/>
      <c r="F656" s="92" t="n"/>
      <c r="G656" s="92" t="n"/>
      <c r="H656" s="92" t="n"/>
      <c r="I656" s="92" t="n"/>
      <c r="K656">
        <f>IF(C656="","",IF(COUNTIFS(C$5:C656,C656,E$5:E656,E656)=1,1,0))</f>
        <v/>
      </c>
      <c r="L656">
        <f>IF(C656="",0,IF(AND(B656="brand",E656="budget_probe",N(F656)&gt;=Inputs!$C$114,H656="Y"),1,0))</f>
        <v/>
      </c>
      <c r="M656">
        <f>IF(L656=1,IF(COUNTIFS(C$5:C656,C656,L$5:L656,1)=1,1,0),0)</f>
        <v/>
      </c>
      <c r="N656">
        <f>IF(C656="",0,IF(AND(B656="office",E656="budget_probe",N(F656)&gt;=Inputs!$C$129),1,0))</f>
        <v/>
      </c>
      <c r="O656">
        <f>IF(N656=1,IF(COUNTIFS(C$5:C656,C656,N$5:N656,1)=1,1,0),0)</f>
        <v/>
      </c>
      <c r="P656">
        <f>IF(C656="",0,IF(AND(B656="brand",E656="renewal_answer",N(F656)&gt;=Inputs!$C$125),1,0))</f>
        <v/>
      </c>
      <c r="Q656">
        <f>IF(AND(B656="office",E656="budget_probe",ISNUMBER(F656)),F656,"")</f>
        <v/>
      </c>
      <c r="R656">
        <f>IF(AND(B656="brand",E656="budget_probe",ISNUMBER(F656)),F656,"")</f>
        <v/>
      </c>
    </row>
    <row r="657">
      <c r="A657" s="91" t="n"/>
      <c r="B657" s="92" t="n"/>
      <c r="C657" s="92" t="n"/>
      <c r="D657" s="92" t="n"/>
      <c r="E657" s="92" t="n"/>
      <c r="F657" s="92" t="n"/>
      <c r="G657" s="92" t="n"/>
      <c r="H657" s="92" t="n"/>
      <c r="I657" s="92" t="n"/>
      <c r="K657">
        <f>IF(C657="","",IF(COUNTIFS(C$5:C657,C657,E$5:E657,E657)=1,1,0))</f>
        <v/>
      </c>
      <c r="L657">
        <f>IF(C657="",0,IF(AND(B657="brand",E657="budget_probe",N(F657)&gt;=Inputs!$C$114,H657="Y"),1,0))</f>
        <v/>
      </c>
      <c r="M657">
        <f>IF(L657=1,IF(COUNTIFS(C$5:C657,C657,L$5:L657,1)=1,1,0),0)</f>
        <v/>
      </c>
      <c r="N657">
        <f>IF(C657="",0,IF(AND(B657="office",E657="budget_probe",N(F657)&gt;=Inputs!$C$129),1,0))</f>
        <v/>
      </c>
      <c r="O657">
        <f>IF(N657=1,IF(COUNTIFS(C$5:C657,C657,N$5:N657,1)=1,1,0),0)</f>
        <v/>
      </c>
      <c r="P657">
        <f>IF(C657="",0,IF(AND(B657="brand",E657="renewal_answer",N(F657)&gt;=Inputs!$C$125),1,0))</f>
        <v/>
      </c>
      <c r="Q657">
        <f>IF(AND(B657="office",E657="budget_probe",ISNUMBER(F657)),F657,"")</f>
        <v/>
      </c>
      <c r="R657">
        <f>IF(AND(B657="brand",E657="budget_probe",ISNUMBER(F657)),F657,"")</f>
        <v/>
      </c>
    </row>
    <row r="658">
      <c r="A658" s="91" t="n"/>
      <c r="B658" s="92" t="n"/>
      <c r="C658" s="92" t="n"/>
      <c r="D658" s="92" t="n"/>
      <c r="E658" s="92" t="n"/>
      <c r="F658" s="92" t="n"/>
      <c r="G658" s="92" t="n"/>
      <c r="H658" s="92" t="n"/>
      <c r="I658" s="92" t="n"/>
      <c r="K658">
        <f>IF(C658="","",IF(COUNTIFS(C$5:C658,C658,E$5:E658,E658)=1,1,0))</f>
        <v/>
      </c>
      <c r="L658">
        <f>IF(C658="",0,IF(AND(B658="brand",E658="budget_probe",N(F658)&gt;=Inputs!$C$114,H658="Y"),1,0))</f>
        <v/>
      </c>
      <c r="M658">
        <f>IF(L658=1,IF(COUNTIFS(C$5:C658,C658,L$5:L658,1)=1,1,0),0)</f>
        <v/>
      </c>
      <c r="N658">
        <f>IF(C658="",0,IF(AND(B658="office",E658="budget_probe",N(F658)&gt;=Inputs!$C$129),1,0))</f>
        <v/>
      </c>
      <c r="O658">
        <f>IF(N658=1,IF(COUNTIFS(C$5:C658,C658,N$5:N658,1)=1,1,0),0)</f>
        <v/>
      </c>
      <c r="P658">
        <f>IF(C658="",0,IF(AND(B658="brand",E658="renewal_answer",N(F658)&gt;=Inputs!$C$125),1,0))</f>
        <v/>
      </c>
      <c r="Q658">
        <f>IF(AND(B658="office",E658="budget_probe",ISNUMBER(F658)),F658,"")</f>
        <v/>
      </c>
      <c r="R658">
        <f>IF(AND(B658="brand",E658="budget_probe",ISNUMBER(F658)),F658,"")</f>
        <v/>
      </c>
    </row>
    <row r="659">
      <c r="A659" s="91" t="n"/>
      <c r="B659" s="92" t="n"/>
      <c r="C659" s="92" t="n"/>
      <c r="D659" s="92" t="n"/>
      <c r="E659" s="92" t="n"/>
      <c r="F659" s="92" t="n"/>
      <c r="G659" s="92" t="n"/>
      <c r="H659" s="92" t="n"/>
      <c r="I659" s="92" t="n"/>
      <c r="K659">
        <f>IF(C659="","",IF(COUNTIFS(C$5:C659,C659,E$5:E659,E659)=1,1,0))</f>
        <v/>
      </c>
      <c r="L659">
        <f>IF(C659="",0,IF(AND(B659="brand",E659="budget_probe",N(F659)&gt;=Inputs!$C$114,H659="Y"),1,0))</f>
        <v/>
      </c>
      <c r="M659">
        <f>IF(L659=1,IF(COUNTIFS(C$5:C659,C659,L$5:L659,1)=1,1,0),0)</f>
        <v/>
      </c>
      <c r="N659">
        <f>IF(C659="",0,IF(AND(B659="office",E659="budget_probe",N(F659)&gt;=Inputs!$C$129),1,0))</f>
        <v/>
      </c>
      <c r="O659">
        <f>IF(N659=1,IF(COUNTIFS(C$5:C659,C659,N$5:N659,1)=1,1,0),0)</f>
        <v/>
      </c>
      <c r="P659">
        <f>IF(C659="",0,IF(AND(B659="brand",E659="renewal_answer",N(F659)&gt;=Inputs!$C$125),1,0))</f>
        <v/>
      </c>
      <c r="Q659">
        <f>IF(AND(B659="office",E659="budget_probe",ISNUMBER(F659)),F659,"")</f>
        <v/>
      </c>
      <c r="R659">
        <f>IF(AND(B659="brand",E659="budget_probe",ISNUMBER(F659)),F659,"")</f>
        <v/>
      </c>
    </row>
    <row r="660">
      <c r="A660" s="91" t="n"/>
      <c r="B660" s="92" t="n"/>
      <c r="C660" s="92" t="n"/>
      <c r="D660" s="92" t="n"/>
      <c r="E660" s="92" t="n"/>
      <c r="F660" s="92" t="n"/>
      <c r="G660" s="92" t="n"/>
      <c r="H660" s="92" t="n"/>
      <c r="I660" s="92" t="n"/>
      <c r="K660">
        <f>IF(C660="","",IF(COUNTIFS(C$5:C660,C660,E$5:E660,E660)=1,1,0))</f>
        <v/>
      </c>
      <c r="L660">
        <f>IF(C660="",0,IF(AND(B660="brand",E660="budget_probe",N(F660)&gt;=Inputs!$C$114,H660="Y"),1,0))</f>
        <v/>
      </c>
      <c r="M660">
        <f>IF(L660=1,IF(COUNTIFS(C$5:C660,C660,L$5:L660,1)=1,1,0),0)</f>
        <v/>
      </c>
      <c r="N660">
        <f>IF(C660="",0,IF(AND(B660="office",E660="budget_probe",N(F660)&gt;=Inputs!$C$129),1,0))</f>
        <v/>
      </c>
      <c r="O660">
        <f>IF(N660=1,IF(COUNTIFS(C$5:C660,C660,N$5:N660,1)=1,1,0),0)</f>
        <v/>
      </c>
      <c r="P660">
        <f>IF(C660="",0,IF(AND(B660="brand",E660="renewal_answer",N(F660)&gt;=Inputs!$C$125),1,0))</f>
        <v/>
      </c>
      <c r="Q660">
        <f>IF(AND(B660="office",E660="budget_probe",ISNUMBER(F660)),F660,"")</f>
        <v/>
      </c>
      <c r="R660">
        <f>IF(AND(B660="brand",E660="budget_probe",ISNUMBER(F660)),F660,"")</f>
        <v/>
      </c>
    </row>
    <row r="661">
      <c r="A661" s="91" t="n"/>
      <c r="B661" s="92" t="n"/>
      <c r="C661" s="92" t="n"/>
      <c r="D661" s="92" t="n"/>
      <c r="E661" s="92" t="n"/>
      <c r="F661" s="92" t="n"/>
      <c r="G661" s="92" t="n"/>
      <c r="H661" s="92" t="n"/>
      <c r="I661" s="92" t="n"/>
      <c r="K661">
        <f>IF(C661="","",IF(COUNTIFS(C$5:C661,C661,E$5:E661,E661)=1,1,0))</f>
        <v/>
      </c>
      <c r="L661">
        <f>IF(C661="",0,IF(AND(B661="brand",E661="budget_probe",N(F661)&gt;=Inputs!$C$114,H661="Y"),1,0))</f>
        <v/>
      </c>
      <c r="M661">
        <f>IF(L661=1,IF(COUNTIFS(C$5:C661,C661,L$5:L661,1)=1,1,0),0)</f>
        <v/>
      </c>
      <c r="N661">
        <f>IF(C661="",0,IF(AND(B661="office",E661="budget_probe",N(F661)&gt;=Inputs!$C$129),1,0))</f>
        <v/>
      </c>
      <c r="O661">
        <f>IF(N661=1,IF(COUNTIFS(C$5:C661,C661,N$5:N661,1)=1,1,0),0)</f>
        <v/>
      </c>
      <c r="P661">
        <f>IF(C661="",0,IF(AND(B661="brand",E661="renewal_answer",N(F661)&gt;=Inputs!$C$125),1,0))</f>
        <v/>
      </c>
      <c r="Q661">
        <f>IF(AND(B661="office",E661="budget_probe",ISNUMBER(F661)),F661,"")</f>
        <v/>
      </c>
      <c r="R661">
        <f>IF(AND(B661="brand",E661="budget_probe",ISNUMBER(F661)),F661,"")</f>
        <v/>
      </c>
    </row>
    <row r="662">
      <c r="A662" s="91" t="n"/>
      <c r="B662" s="92" t="n"/>
      <c r="C662" s="92" t="n"/>
      <c r="D662" s="92" t="n"/>
      <c r="E662" s="92" t="n"/>
      <c r="F662" s="92" t="n"/>
      <c r="G662" s="92" t="n"/>
      <c r="H662" s="92" t="n"/>
      <c r="I662" s="92" t="n"/>
      <c r="K662">
        <f>IF(C662="","",IF(COUNTIFS(C$5:C662,C662,E$5:E662,E662)=1,1,0))</f>
        <v/>
      </c>
      <c r="L662">
        <f>IF(C662="",0,IF(AND(B662="brand",E662="budget_probe",N(F662)&gt;=Inputs!$C$114,H662="Y"),1,0))</f>
        <v/>
      </c>
      <c r="M662">
        <f>IF(L662=1,IF(COUNTIFS(C$5:C662,C662,L$5:L662,1)=1,1,0),0)</f>
        <v/>
      </c>
      <c r="N662">
        <f>IF(C662="",0,IF(AND(B662="office",E662="budget_probe",N(F662)&gt;=Inputs!$C$129),1,0))</f>
        <v/>
      </c>
      <c r="O662">
        <f>IF(N662=1,IF(COUNTIFS(C$5:C662,C662,N$5:N662,1)=1,1,0),0)</f>
        <v/>
      </c>
      <c r="P662">
        <f>IF(C662="",0,IF(AND(B662="brand",E662="renewal_answer",N(F662)&gt;=Inputs!$C$125),1,0))</f>
        <v/>
      </c>
      <c r="Q662">
        <f>IF(AND(B662="office",E662="budget_probe",ISNUMBER(F662)),F662,"")</f>
        <v/>
      </c>
      <c r="R662">
        <f>IF(AND(B662="brand",E662="budget_probe",ISNUMBER(F662)),F662,"")</f>
        <v/>
      </c>
    </row>
    <row r="663">
      <c r="A663" s="91" t="n"/>
      <c r="B663" s="92" t="n"/>
      <c r="C663" s="92" t="n"/>
      <c r="D663" s="92" t="n"/>
      <c r="E663" s="92" t="n"/>
      <c r="F663" s="92" t="n"/>
      <c r="G663" s="92" t="n"/>
      <c r="H663" s="92" t="n"/>
      <c r="I663" s="92" t="n"/>
      <c r="K663">
        <f>IF(C663="","",IF(COUNTIFS(C$5:C663,C663,E$5:E663,E663)=1,1,0))</f>
        <v/>
      </c>
      <c r="L663">
        <f>IF(C663="",0,IF(AND(B663="brand",E663="budget_probe",N(F663)&gt;=Inputs!$C$114,H663="Y"),1,0))</f>
        <v/>
      </c>
      <c r="M663">
        <f>IF(L663=1,IF(COUNTIFS(C$5:C663,C663,L$5:L663,1)=1,1,0),0)</f>
        <v/>
      </c>
      <c r="N663">
        <f>IF(C663="",0,IF(AND(B663="office",E663="budget_probe",N(F663)&gt;=Inputs!$C$129),1,0))</f>
        <v/>
      </c>
      <c r="O663">
        <f>IF(N663=1,IF(COUNTIFS(C$5:C663,C663,N$5:N663,1)=1,1,0),0)</f>
        <v/>
      </c>
      <c r="P663">
        <f>IF(C663="",0,IF(AND(B663="brand",E663="renewal_answer",N(F663)&gt;=Inputs!$C$125),1,0))</f>
        <v/>
      </c>
      <c r="Q663">
        <f>IF(AND(B663="office",E663="budget_probe",ISNUMBER(F663)),F663,"")</f>
        <v/>
      </c>
      <c r="R663">
        <f>IF(AND(B663="brand",E663="budget_probe",ISNUMBER(F663)),F663,"")</f>
        <v/>
      </c>
    </row>
    <row r="664">
      <c r="A664" s="91" t="n"/>
      <c r="B664" s="92" t="n"/>
      <c r="C664" s="92" t="n"/>
      <c r="D664" s="92" t="n"/>
      <c r="E664" s="92" t="n"/>
      <c r="F664" s="92" t="n"/>
      <c r="G664" s="92" t="n"/>
      <c r="H664" s="92" t="n"/>
      <c r="I664" s="92" t="n"/>
      <c r="K664">
        <f>IF(C664="","",IF(COUNTIFS(C$5:C664,C664,E$5:E664,E664)=1,1,0))</f>
        <v/>
      </c>
      <c r="L664">
        <f>IF(C664="",0,IF(AND(B664="brand",E664="budget_probe",N(F664)&gt;=Inputs!$C$114,H664="Y"),1,0))</f>
        <v/>
      </c>
      <c r="M664">
        <f>IF(L664=1,IF(COUNTIFS(C$5:C664,C664,L$5:L664,1)=1,1,0),0)</f>
        <v/>
      </c>
      <c r="N664">
        <f>IF(C664="",0,IF(AND(B664="office",E664="budget_probe",N(F664)&gt;=Inputs!$C$129),1,0))</f>
        <v/>
      </c>
      <c r="O664">
        <f>IF(N664=1,IF(COUNTIFS(C$5:C664,C664,N$5:N664,1)=1,1,0),0)</f>
        <v/>
      </c>
      <c r="P664">
        <f>IF(C664="",0,IF(AND(B664="brand",E664="renewal_answer",N(F664)&gt;=Inputs!$C$125),1,0))</f>
        <v/>
      </c>
      <c r="Q664">
        <f>IF(AND(B664="office",E664="budget_probe",ISNUMBER(F664)),F664,"")</f>
        <v/>
      </c>
      <c r="R664">
        <f>IF(AND(B664="brand",E664="budget_probe",ISNUMBER(F664)),F664,"")</f>
        <v/>
      </c>
    </row>
    <row r="665">
      <c r="A665" s="91" t="n"/>
      <c r="B665" s="92" t="n"/>
      <c r="C665" s="92" t="n"/>
      <c r="D665" s="92" t="n"/>
      <c r="E665" s="92" t="n"/>
      <c r="F665" s="92" t="n"/>
      <c r="G665" s="92" t="n"/>
      <c r="H665" s="92" t="n"/>
      <c r="I665" s="92" t="n"/>
      <c r="K665">
        <f>IF(C665="","",IF(COUNTIFS(C$5:C665,C665,E$5:E665,E665)=1,1,0))</f>
        <v/>
      </c>
      <c r="L665">
        <f>IF(C665="",0,IF(AND(B665="brand",E665="budget_probe",N(F665)&gt;=Inputs!$C$114,H665="Y"),1,0))</f>
        <v/>
      </c>
      <c r="M665">
        <f>IF(L665=1,IF(COUNTIFS(C$5:C665,C665,L$5:L665,1)=1,1,0),0)</f>
        <v/>
      </c>
      <c r="N665">
        <f>IF(C665="",0,IF(AND(B665="office",E665="budget_probe",N(F665)&gt;=Inputs!$C$129),1,0))</f>
        <v/>
      </c>
      <c r="O665">
        <f>IF(N665=1,IF(COUNTIFS(C$5:C665,C665,N$5:N665,1)=1,1,0),0)</f>
        <v/>
      </c>
      <c r="P665">
        <f>IF(C665="",0,IF(AND(B665="brand",E665="renewal_answer",N(F665)&gt;=Inputs!$C$125),1,0))</f>
        <v/>
      </c>
      <c r="Q665">
        <f>IF(AND(B665="office",E665="budget_probe",ISNUMBER(F665)),F665,"")</f>
        <v/>
      </c>
      <c r="R665">
        <f>IF(AND(B665="brand",E665="budget_probe",ISNUMBER(F665)),F665,"")</f>
        <v/>
      </c>
    </row>
    <row r="666">
      <c r="A666" s="91" t="n"/>
      <c r="B666" s="92" t="n"/>
      <c r="C666" s="92" t="n"/>
      <c r="D666" s="92" t="n"/>
      <c r="E666" s="92" t="n"/>
      <c r="F666" s="92" t="n"/>
      <c r="G666" s="92" t="n"/>
      <c r="H666" s="92" t="n"/>
      <c r="I666" s="92" t="n"/>
      <c r="K666">
        <f>IF(C666="","",IF(COUNTIFS(C$5:C666,C666,E$5:E666,E666)=1,1,0))</f>
        <v/>
      </c>
      <c r="L666">
        <f>IF(C666="",0,IF(AND(B666="brand",E666="budget_probe",N(F666)&gt;=Inputs!$C$114,H666="Y"),1,0))</f>
        <v/>
      </c>
      <c r="M666">
        <f>IF(L666=1,IF(COUNTIFS(C$5:C666,C666,L$5:L666,1)=1,1,0),0)</f>
        <v/>
      </c>
      <c r="N666">
        <f>IF(C666="",0,IF(AND(B666="office",E666="budget_probe",N(F666)&gt;=Inputs!$C$129),1,0))</f>
        <v/>
      </c>
      <c r="O666">
        <f>IF(N666=1,IF(COUNTIFS(C$5:C666,C666,N$5:N666,1)=1,1,0),0)</f>
        <v/>
      </c>
      <c r="P666">
        <f>IF(C666="",0,IF(AND(B666="brand",E666="renewal_answer",N(F666)&gt;=Inputs!$C$125),1,0))</f>
        <v/>
      </c>
      <c r="Q666">
        <f>IF(AND(B666="office",E666="budget_probe",ISNUMBER(F666)),F666,"")</f>
        <v/>
      </c>
      <c r="R666">
        <f>IF(AND(B666="brand",E666="budget_probe",ISNUMBER(F666)),F666,"")</f>
        <v/>
      </c>
    </row>
    <row r="667">
      <c r="A667" s="91" t="n"/>
      <c r="B667" s="92" t="n"/>
      <c r="C667" s="92" t="n"/>
      <c r="D667" s="92" t="n"/>
      <c r="E667" s="92" t="n"/>
      <c r="F667" s="92" t="n"/>
      <c r="G667" s="92" t="n"/>
      <c r="H667" s="92" t="n"/>
      <c r="I667" s="92" t="n"/>
      <c r="K667">
        <f>IF(C667="","",IF(COUNTIFS(C$5:C667,C667,E$5:E667,E667)=1,1,0))</f>
        <v/>
      </c>
      <c r="L667">
        <f>IF(C667="",0,IF(AND(B667="brand",E667="budget_probe",N(F667)&gt;=Inputs!$C$114,H667="Y"),1,0))</f>
        <v/>
      </c>
      <c r="M667">
        <f>IF(L667=1,IF(COUNTIFS(C$5:C667,C667,L$5:L667,1)=1,1,0),0)</f>
        <v/>
      </c>
      <c r="N667">
        <f>IF(C667="",0,IF(AND(B667="office",E667="budget_probe",N(F667)&gt;=Inputs!$C$129),1,0))</f>
        <v/>
      </c>
      <c r="O667">
        <f>IF(N667=1,IF(COUNTIFS(C$5:C667,C667,N$5:N667,1)=1,1,0),0)</f>
        <v/>
      </c>
      <c r="P667">
        <f>IF(C667="",0,IF(AND(B667="brand",E667="renewal_answer",N(F667)&gt;=Inputs!$C$125),1,0))</f>
        <v/>
      </c>
      <c r="Q667">
        <f>IF(AND(B667="office",E667="budget_probe",ISNUMBER(F667)),F667,"")</f>
        <v/>
      </c>
      <c r="R667">
        <f>IF(AND(B667="brand",E667="budget_probe",ISNUMBER(F667)),F667,"")</f>
        <v/>
      </c>
    </row>
    <row r="668">
      <c r="A668" s="91" t="n"/>
      <c r="B668" s="92" t="n"/>
      <c r="C668" s="92" t="n"/>
      <c r="D668" s="92" t="n"/>
      <c r="E668" s="92" t="n"/>
      <c r="F668" s="92" t="n"/>
      <c r="G668" s="92" t="n"/>
      <c r="H668" s="92" t="n"/>
      <c r="I668" s="92" t="n"/>
      <c r="K668">
        <f>IF(C668="","",IF(COUNTIFS(C$5:C668,C668,E$5:E668,E668)=1,1,0))</f>
        <v/>
      </c>
      <c r="L668">
        <f>IF(C668="",0,IF(AND(B668="brand",E668="budget_probe",N(F668)&gt;=Inputs!$C$114,H668="Y"),1,0))</f>
        <v/>
      </c>
      <c r="M668">
        <f>IF(L668=1,IF(COUNTIFS(C$5:C668,C668,L$5:L668,1)=1,1,0),0)</f>
        <v/>
      </c>
      <c r="N668">
        <f>IF(C668="",0,IF(AND(B668="office",E668="budget_probe",N(F668)&gt;=Inputs!$C$129),1,0))</f>
        <v/>
      </c>
      <c r="O668">
        <f>IF(N668=1,IF(COUNTIFS(C$5:C668,C668,N$5:N668,1)=1,1,0),0)</f>
        <v/>
      </c>
      <c r="P668">
        <f>IF(C668="",0,IF(AND(B668="brand",E668="renewal_answer",N(F668)&gt;=Inputs!$C$125),1,0))</f>
        <v/>
      </c>
      <c r="Q668">
        <f>IF(AND(B668="office",E668="budget_probe",ISNUMBER(F668)),F668,"")</f>
        <v/>
      </c>
      <c r="R668">
        <f>IF(AND(B668="brand",E668="budget_probe",ISNUMBER(F668)),F668,"")</f>
        <v/>
      </c>
    </row>
    <row r="669">
      <c r="A669" s="91" t="n"/>
      <c r="B669" s="92" t="n"/>
      <c r="C669" s="92" t="n"/>
      <c r="D669" s="92" t="n"/>
      <c r="E669" s="92" t="n"/>
      <c r="F669" s="92" t="n"/>
      <c r="G669" s="92" t="n"/>
      <c r="H669" s="92" t="n"/>
      <c r="I669" s="92" t="n"/>
      <c r="K669">
        <f>IF(C669="","",IF(COUNTIFS(C$5:C669,C669,E$5:E669,E669)=1,1,0))</f>
        <v/>
      </c>
      <c r="L669">
        <f>IF(C669="",0,IF(AND(B669="brand",E669="budget_probe",N(F669)&gt;=Inputs!$C$114,H669="Y"),1,0))</f>
        <v/>
      </c>
      <c r="M669">
        <f>IF(L669=1,IF(COUNTIFS(C$5:C669,C669,L$5:L669,1)=1,1,0),0)</f>
        <v/>
      </c>
      <c r="N669">
        <f>IF(C669="",0,IF(AND(B669="office",E669="budget_probe",N(F669)&gt;=Inputs!$C$129),1,0))</f>
        <v/>
      </c>
      <c r="O669">
        <f>IF(N669=1,IF(COUNTIFS(C$5:C669,C669,N$5:N669,1)=1,1,0),0)</f>
        <v/>
      </c>
      <c r="P669">
        <f>IF(C669="",0,IF(AND(B669="brand",E669="renewal_answer",N(F669)&gt;=Inputs!$C$125),1,0))</f>
        <v/>
      </c>
      <c r="Q669">
        <f>IF(AND(B669="office",E669="budget_probe",ISNUMBER(F669)),F669,"")</f>
        <v/>
      </c>
      <c r="R669">
        <f>IF(AND(B669="brand",E669="budget_probe",ISNUMBER(F669)),F669,"")</f>
        <v/>
      </c>
    </row>
    <row r="670">
      <c r="A670" s="91" t="n"/>
      <c r="B670" s="92" t="n"/>
      <c r="C670" s="92" t="n"/>
      <c r="D670" s="92" t="n"/>
      <c r="E670" s="92" t="n"/>
      <c r="F670" s="92" t="n"/>
      <c r="G670" s="92" t="n"/>
      <c r="H670" s="92" t="n"/>
      <c r="I670" s="92" t="n"/>
      <c r="K670">
        <f>IF(C670="","",IF(COUNTIFS(C$5:C670,C670,E$5:E670,E670)=1,1,0))</f>
        <v/>
      </c>
      <c r="L670">
        <f>IF(C670="",0,IF(AND(B670="brand",E670="budget_probe",N(F670)&gt;=Inputs!$C$114,H670="Y"),1,0))</f>
        <v/>
      </c>
      <c r="M670">
        <f>IF(L670=1,IF(COUNTIFS(C$5:C670,C670,L$5:L670,1)=1,1,0),0)</f>
        <v/>
      </c>
      <c r="N670">
        <f>IF(C670="",0,IF(AND(B670="office",E670="budget_probe",N(F670)&gt;=Inputs!$C$129),1,0))</f>
        <v/>
      </c>
      <c r="O670">
        <f>IF(N670=1,IF(COUNTIFS(C$5:C670,C670,N$5:N670,1)=1,1,0),0)</f>
        <v/>
      </c>
      <c r="P670">
        <f>IF(C670="",0,IF(AND(B670="brand",E670="renewal_answer",N(F670)&gt;=Inputs!$C$125),1,0))</f>
        <v/>
      </c>
      <c r="Q670">
        <f>IF(AND(B670="office",E670="budget_probe",ISNUMBER(F670)),F670,"")</f>
        <v/>
      </c>
      <c r="R670">
        <f>IF(AND(B670="brand",E670="budget_probe",ISNUMBER(F670)),F670,"")</f>
        <v/>
      </c>
    </row>
    <row r="671">
      <c r="A671" s="91" t="n"/>
      <c r="B671" s="92" t="n"/>
      <c r="C671" s="92" t="n"/>
      <c r="D671" s="92" t="n"/>
      <c r="E671" s="92" t="n"/>
      <c r="F671" s="92" t="n"/>
      <c r="G671" s="92" t="n"/>
      <c r="H671" s="92" t="n"/>
      <c r="I671" s="92" t="n"/>
      <c r="K671">
        <f>IF(C671="","",IF(COUNTIFS(C$5:C671,C671,E$5:E671,E671)=1,1,0))</f>
        <v/>
      </c>
      <c r="L671">
        <f>IF(C671="",0,IF(AND(B671="brand",E671="budget_probe",N(F671)&gt;=Inputs!$C$114,H671="Y"),1,0))</f>
        <v/>
      </c>
      <c r="M671">
        <f>IF(L671=1,IF(COUNTIFS(C$5:C671,C671,L$5:L671,1)=1,1,0),0)</f>
        <v/>
      </c>
      <c r="N671">
        <f>IF(C671="",0,IF(AND(B671="office",E671="budget_probe",N(F671)&gt;=Inputs!$C$129),1,0))</f>
        <v/>
      </c>
      <c r="O671">
        <f>IF(N671=1,IF(COUNTIFS(C$5:C671,C671,N$5:N671,1)=1,1,0),0)</f>
        <v/>
      </c>
      <c r="P671">
        <f>IF(C671="",0,IF(AND(B671="brand",E671="renewal_answer",N(F671)&gt;=Inputs!$C$125),1,0))</f>
        <v/>
      </c>
      <c r="Q671">
        <f>IF(AND(B671="office",E671="budget_probe",ISNUMBER(F671)),F671,"")</f>
        <v/>
      </c>
      <c r="R671">
        <f>IF(AND(B671="brand",E671="budget_probe",ISNUMBER(F671)),F671,"")</f>
        <v/>
      </c>
    </row>
    <row r="672">
      <c r="A672" s="91" t="n"/>
      <c r="B672" s="92" t="n"/>
      <c r="C672" s="92" t="n"/>
      <c r="D672" s="92" t="n"/>
      <c r="E672" s="92" t="n"/>
      <c r="F672" s="92" t="n"/>
      <c r="G672" s="92" t="n"/>
      <c r="H672" s="92" t="n"/>
      <c r="I672" s="92" t="n"/>
      <c r="K672">
        <f>IF(C672="","",IF(COUNTIFS(C$5:C672,C672,E$5:E672,E672)=1,1,0))</f>
        <v/>
      </c>
      <c r="L672">
        <f>IF(C672="",0,IF(AND(B672="brand",E672="budget_probe",N(F672)&gt;=Inputs!$C$114,H672="Y"),1,0))</f>
        <v/>
      </c>
      <c r="M672">
        <f>IF(L672=1,IF(COUNTIFS(C$5:C672,C672,L$5:L672,1)=1,1,0),0)</f>
        <v/>
      </c>
      <c r="N672">
        <f>IF(C672="",0,IF(AND(B672="office",E672="budget_probe",N(F672)&gt;=Inputs!$C$129),1,0))</f>
        <v/>
      </c>
      <c r="O672">
        <f>IF(N672=1,IF(COUNTIFS(C$5:C672,C672,N$5:N672,1)=1,1,0),0)</f>
        <v/>
      </c>
      <c r="P672">
        <f>IF(C672="",0,IF(AND(B672="brand",E672="renewal_answer",N(F672)&gt;=Inputs!$C$125),1,0))</f>
        <v/>
      </c>
      <c r="Q672">
        <f>IF(AND(B672="office",E672="budget_probe",ISNUMBER(F672)),F672,"")</f>
        <v/>
      </c>
      <c r="R672">
        <f>IF(AND(B672="brand",E672="budget_probe",ISNUMBER(F672)),F672,"")</f>
        <v/>
      </c>
    </row>
    <row r="673">
      <c r="A673" s="91" t="n"/>
      <c r="B673" s="92" t="n"/>
      <c r="C673" s="92" t="n"/>
      <c r="D673" s="92" t="n"/>
      <c r="E673" s="92" t="n"/>
      <c r="F673" s="92" t="n"/>
      <c r="G673" s="92" t="n"/>
      <c r="H673" s="92" t="n"/>
      <c r="I673" s="92" t="n"/>
      <c r="K673">
        <f>IF(C673="","",IF(COUNTIFS(C$5:C673,C673,E$5:E673,E673)=1,1,0))</f>
        <v/>
      </c>
      <c r="L673">
        <f>IF(C673="",0,IF(AND(B673="brand",E673="budget_probe",N(F673)&gt;=Inputs!$C$114,H673="Y"),1,0))</f>
        <v/>
      </c>
      <c r="M673">
        <f>IF(L673=1,IF(COUNTIFS(C$5:C673,C673,L$5:L673,1)=1,1,0),0)</f>
        <v/>
      </c>
      <c r="N673">
        <f>IF(C673="",0,IF(AND(B673="office",E673="budget_probe",N(F673)&gt;=Inputs!$C$129),1,0))</f>
        <v/>
      </c>
      <c r="O673">
        <f>IF(N673=1,IF(COUNTIFS(C$5:C673,C673,N$5:N673,1)=1,1,0),0)</f>
        <v/>
      </c>
      <c r="P673">
        <f>IF(C673="",0,IF(AND(B673="brand",E673="renewal_answer",N(F673)&gt;=Inputs!$C$125),1,0))</f>
        <v/>
      </c>
      <c r="Q673">
        <f>IF(AND(B673="office",E673="budget_probe",ISNUMBER(F673)),F673,"")</f>
        <v/>
      </c>
      <c r="R673">
        <f>IF(AND(B673="brand",E673="budget_probe",ISNUMBER(F673)),F673,"")</f>
        <v/>
      </c>
    </row>
    <row r="674">
      <c r="A674" s="91" t="n"/>
      <c r="B674" s="92" t="n"/>
      <c r="C674" s="92" t="n"/>
      <c r="D674" s="92" t="n"/>
      <c r="E674" s="92" t="n"/>
      <c r="F674" s="92" t="n"/>
      <c r="G674" s="92" t="n"/>
      <c r="H674" s="92" t="n"/>
      <c r="I674" s="92" t="n"/>
      <c r="K674">
        <f>IF(C674="","",IF(COUNTIFS(C$5:C674,C674,E$5:E674,E674)=1,1,0))</f>
        <v/>
      </c>
      <c r="L674">
        <f>IF(C674="",0,IF(AND(B674="brand",E674="budget_probe",N(F674)&gt;=Inputs!$C$114,H674="Y"),1,0))</f>
        <v/>
      </c>
      <c r="M674">
        <f>IF(L674=1,IF(COUNTIFS(C$5:C674,C674,L$5:L674,1)=1,1,0),0)</f>
        <v/>
      </c>
      <c r="N674">
        <f>IF(C674="",0,IF(AND(B674="office",E674="budget_probe",N(F674)&gt;=Inputs!$C$129),1,0))</f>
        <v/>
      </c>
      <c r="O674">
        <f>IF(N674=1,IF(COUNTIFS(C$5:C674,C674,N$5:N674,1)=1,1,0),0)</f>
        <v/>
      </c>
      <c r="P674">
        <f>IF(C674="",0,IF(AND(B674="brand",E674="renewal_answer",N(F674)&gt;=Inputs!$C$125),1,0))</f>
        <v/>
      </c>
      <c r="Q674">
        <f>IF(AND(B674="office",E674="budget_probe",ISNUMBER(F674)),F674,"")</f>
        <v/>
      </c>
      <c r="R674">
        <f>IF(AND(B674="brand",E674="budget_probe",ISNUMBER(F674)),F674,"")</f>
        <v/>
      </c>
    </row>
    <row r="675">
      <c r="A675" s="91" t="n"/>
      <c r="B675" s="92" t="n"/>
      <c r="C675" s="92" t="n"/>
      <c r="D675" s="92" t="n"/>
      <c r="E675" s="92" t="n"/>
      <c r="F675" s="92" t="n"/>
      <c r="G675" s="92" t="n"/>
      <c r="H675" s="92" t="n"/>
      <c r="I675" s="92" t="n"/>
      <c r="K675">
        <f>IF(C675="","",IF(COUNTIFS(C$5:C675,C675,E$5:E675,E675)=1,1,0))</f>
        <v/>
      </c>
      <c r="L675">
        <f>IF(C675="",0,IF(AND(B675="brand",E675="budget_probe",N(F675)&gt;=Inputs!$C$114,H675="Y"),1,0))</f>
        <v/>
      </c>
      <c r="M675">
        <f>IF(L675=1,IF(COUNTIFS(C$5:C675,C675,L$5:L675,1)=1,1,0),0)</f>
        <v/>
      </c>
      <c r="N675">
        <f>IF(C675="",0,IF(AND(B675="office",E675="budget_probe",N(F675)&gt;=Inputs!$C$129),1,0))</f>
        <v/>
      </c>
      <c r="O675">
        <f>IF(N675=1,IF(COUNTIFS(C$5:C675,C675,N$5:N675,1)=1,1,0),0)</f>
        <v/>
      </c>
      <c r="P675">
        <f>IF(C675="",0,IF(AND(B675="brand",E675="renewal_answer",N(F675)&gt;=Inputs!$C$125),1,0))</f>
        <v/>
      </c>
      <c r="Q675">
        <f>IF(AND(B675="office",E675="budget_probe",ISNUMBER(F675)),F675,"")</f>
        <v/>
      </c>
      <c r="R675">
        <f>IF(AND(B675="brand",E675="budget_probe",ISNUMBER(F675)),F675,"")</f>
        <v/>
      </c>
    </row>
    <row r="676">
      <c r="A676" s="91" t="n"/>
      <c r="B676" s="92" t="n"/>
      <c r="C676" s="92" t="n"/>
      <c r="D676" s="92" t="n"/>
      <c r="E676" s="92" t="n"/>
      <c r="F676" s="92" t="n"/>
      <c r="G676" s="92" t="n"/>
      <c r="H676" s="92" t="n"/>
      <c r="I676" s="92" t="n"/>
      <c r="K676">
        <f>IF(C676="","",IF(COUNTIFS(C$5:C676,C676,E$5:E676,E676)=1,1,0))</f>
        <v/>
      </c>
      <c r="L676">
        <f>IF(C676="",0,IF(AND(B676="brand",E676="budget_probe",N(F676)&gt;=Inputs!$C$114,H676="Y"),1,0))</f>
        <v/>
      </c>
      <c r="M676">
        <f>IF(L676=1,IF(COUNTIFS(C$5:C676,C676,L$5:L676,1)=1,1,0),0)</f>
        <v/>
      </c>
      <c r="N676">
        <f>IF(C676="",0,IF(AND(B676="office",E676="budget_probe",N(F676)&gt;=Inputs!$C$129),1,0))</f>
        <v/>
      </c>
      <c r="O676">
        <f>IF(N676=1,IF(COUNTIFS(C$5:C676,C676,N$5:N676,1)=1,1,0),0)</f>
        <v/>
      </c>
      <c r="P676">
        <f>IF(C676="",0,IF(AND(B676="brand",E676="renewal_answer",N(F676)&gt;=Inputs!$C$125),1,0))</f>
        <v/>
      </c>
      <c r="Q676">
        <f>IF(AND(B676="office",E676="budget_probe",ISNUMBER(F676)),F676,"")</f>
        <v/>
      </c>
      <c r="R676">
        <f>IF(AND(B676="brand",E676="budget_probe",ISNUMBER(F676)),F676,"")</f>
        <v/>
      </c>
    </row>
    <row r="677">
      <c r="A677" s="91" t="n"/>
      <c r="B677" s="92" t="n"/>
      <c r="C677" s="92" t="n"/>
      <c r="D677" s="92" t="n"/>
      <c r="E677" s="92" t="n"/>
      <c r="F677" s="92" t="n"/>
      <c r="G677" s="92" t="n"/>
      <c r="H677" s="92" t="n"/>
      <c r="I677" s="92" t="n"/>
      <c r="K677">
        <f>IF(C677="","",IF(COUNTIFS(C$5:C677,C677,E$5:E677,E677)=1,1,0))</f>
        <v/>
      </c>
      <c r="L677">
        <f>IF(C677="",0,IF(AND(B677="brand",E677="budget_probe",N(F677)&gt;=Inputs!$C$114,H677="Y"),1,0))</f>
        <v/>
      </c>
      <c r="M677">
        <f>IF(L677=1,IF(COUNTIFS(C$5:C677,C677,L$5:L677,1)=1,1,0),0)</f>
        <v/>
      </c>
      <c r="N677">
        <f>IF(C677="",0,IF(AND(B677="office",E677="budget_probe",N(F677)&gt;=Inputs!$C$129),1,0))</f>
        <v/>
      </c>
      <c r="O677">
        <f>IF(N677=1,IF(COUNTIFS(C$5:C677,C677,N$5:N677,1)=1,1,0),0)</f>
        <v/>
      </c>
      <c r="P677">
        <f>IF(C677="",0,IF(AND(B677="brand",E677="renewal_answer",N(F677)&gt;=Inputs!$C$125),1,0))</f>
        <v/>
      </c>
      <c r="Q677">
        <f>IF(AND(B677="office",E677="budget_probe",ISNUMBER(F677)),F677,"")</f>
        <v/>
      </c>
      <c r="R677">
        <f>IF(AND(B677="brand",E677="budget_probe",ISNUMBER(F677)),F677,"")</f>
        <v/>
      </c>
    </row>
    <row r="678">
      <c r="A678" s="91" t="n"/>
      <c r="B678" s="92" t="n"/>
      <c r="C678" s="92" t="n"/>
      <c r="D678" s="92" t="n"/>
      <c r="E678" s="92" t="n"/>
      <c r="F678" s="92" t="n"/>
      <c r="G678" s="92" t="n"/>
      <c r="H678" s="92" t="n"/>
      <c r="I678" s="92" t="n"/>
      <c r="K678">
        <f>IF(C678="","",IF(COUNTIFS(C$5:C678,C678,E$5:E678,E678)=1,1,0))</f>
        <v/>
      </c>
      <c r="L678">
        <f>IF(C678="",0,IF(AND(B678="brand",E678="budget_probe",N(F678)&gt;=Inputs!$C$114,H678="Y"),1,0))</f>
        <v/>
      </c>
      <c r="M678">
        <f>IF(L678=1,IF(COUNTIFS(C$5:C678,C678,L$5:L678,1)=1,1,0),0)</f>
        <v/>
      </c>
      <c r="N678">
        <f>IF(C678="",0,IF(AND(B678="office",E678="budget_probe",N(F678)&gt;=Inputs!$C$129),1,0))</f>
        <v/>
      </c>
      <c r="O678">
        <f>IF(N678=1,IF(COUNTIFS(C$5:C678,C678,N$5:N678,1)=1,1,0),0)</f>
        <v/>
      </c>
      <c r="P678">
        <f>IF(C678="",0,IF(AND(B678="brand",E678="renewal_answer",N(F678)&gt;=Inputs!$C$125),1,0))</f>
        <v/>
      </c>
      <c r="Q678">
        <f>IF(AND(B678="office",E678="budget_probe",ISNUMBER(F678)),F678,"")</f>
        <v/>
      </c>
      <c r="R678">
        <f>IF(AND(B678="brand",E678="budget_probe",ISNUMBER(F678)),F678,"")</f>
        <v/>
      </c>
    </row>
    <row r="679">
      <c r="A679" s="91" t="n"/>
      <c r="B679" s="92" t="n"/>
      <c r="C679" s="92" t="n"/>
      <c r="D679" s="92" t="n"/>
      <c r="E679" s="92" t="n"/>
      <c r="F679" s="92" t="n"/>
      <c r="G679" s="92" t="n"/>
      <c r="H679" s="92" t="n"/>
      <c r="I679" s="92" t="n"/>
      <c r="K679">
        <f>IF(C679="","",IF(COUNTIFS(C$5:C679,C679,E$5:E679,E679)=1,1,0))</f>
        <v/>
      </c>
      <c r="L679">
        <f>IF(C679="",0,IF(AND(B679="brand",E679="budget_probe",N(F679)&gt;=Inputs!$C$114,H679="Y"),1,0))</f>
        <v/>
      </c>
      <c r="M679">
        <f>IF(L679=1,IF(COUNTIFS(C$5:C679,C679,L$5:L679,1)=1,1,0),0)</f>
        <v/>
      </c>
      <c r="N679">
        <f>IF(C679="",0,IF(AND(B679="office",E679="budget_probe",N(F679)&gt;=Inputs!$C$129),1,0))</f>
        <v/>
      </c>
      <c r="O679">
        <f>IF(N679=1,IF(COUNTIFS(C$5:C679,C679,N$5:N679,1)=1,1,0),0)</f>
        <v/>
      </c>
      <c r="P679">
        <f>IF(C679="",0,IF(AND(B679="brand",E679="renewal_answer",N(F679)&gt;=Inputs!$C$125),1,0))</f>
        <v/>
      </c>
      <c r="Q679">
        <f>IF(AND(B679="office",E679="budget_probe",ISNUMBER(F679)),F679,"")</f>
        <v/>
      </c>
      <c r="R679">
        <f>IF(AND(B679="brand",E679="budget_probe",ISNUMBER(F679)),F679,"")</f>
        <v/>
      </c>
    </row>
    <row r="680">
      <c r="A680" s="91" t="n"/>
      <c r="B680" s="92" t="n"/>
      <c r="C680" s="92" t="n"/>
      <c r="D680" s="92" t="n"/>
      <c r="E680" s="92" t="n"/>
      <c r="F680" s="92" t="n"/>
      <c r="G680" s="92" t="n"/>
      <c r="H680" s="92" t="n"/>
      <c r="I680" s="92" t="n"/>
      <c r="K680">
        <f>IF(C680="","",IF(COUNTIFS(C$5:C680,C680,E$5:E680,E680)=1,1,0))</f>
        <v/>
      </c>
      <c r="L680">
        <f>IF(C680="",0,IF(AND(B680="brand",E680="budget_probe",N(F680)&gt;=Inputs!$C$114,H680="Y"),1,0))</f>
        <v/>
      </c>
      <c r="M680">
        <f>IF(L680=1,IF(COUNTIFS(C$5:C680,C680,L$5:L680,1)=1,1,0),0)</f>
        <v/>
      </c>
      <c r="N680">
        <f>IF(C680="",0,IF(AND(B680="office",E680="budget_probe",N(F680)&gt;=Inputs!$C$129),1,0))</f>
        <v/>
      </c>
      <c r="O680">
        <f>IF(N680=1,IF(COUNTIFS(C$5:C680,C680,N$5:N680,1)=1,1,0),0)</f>
        <v/>
      </c>
      <c r="P680">
        <f>IF(C680="",0,IF(AND(B680="brand",E680="renewal_answer",N(F680)&gt;=Inputs!$C$125),1,0))</f>
        <v/>
      </c>
      <c r="Q680">
        <f>IF(AND(B680="office",E680="budget_probe",ISNUMBER(F680)),F680,"")</f>
        <v/>
      </c>
      <c r="R680">
        <f>IF(AND(B680="brand",E680="budget_probe",ISNUMBER(F680)),F680,"")</f>
        <v/>
      </c>
    </row>
    <row r="681">
      <c r="A681" s="91" t="n"/>
      <c r="B681" s="92" t="n"/>
      <c r="C681" s="92" t="n"/>
      <c r="D681" s="92" t="n"/>
      <c r="E681" s="92" t="n"/>
      <c r="F681" s="92" t="n"/>
      <c r="G681" s="92" t="n"/>
      <c r="H681" s="92" t="n"/>
      <c r="I681" s="92" t="n"/>
      <c r="K681">
        <f>IF(C681="","",IF(COUNTIFS(C$5:C681,C681,E$5:E681,E681)=1,1,0))</f>
        <v/>
      </c>
      <c r="L681">
        <f>IF(C681="",0,IF(AND(B681="brand",E681="budget_probe",N(F681)&gt;=Inputs!$C$114,H681="Y"),1,0))</f>
        <v/>
      </c>
      <c r="M681">
        <f>IF(L681=1,IF(COUNTIFS(C$5:C681,C681,L$5:L681,1)=1,1,0),0)</f>
        <v/>
      </c>
      <c r="N681">
        <f>IF(C681="",0,IF(AND(B681="office",E681="budget_probe",N(F681)&gt;=Inputs!$C$129),1,0))</f>
        <v/>
      </c>
      <c r="O681">
        <f>IF(N681=1,IF(COUNTIFS(C$5:C681,C681,N$5:N681,1)=1,1,0),0)</f>
        <v/>
      </c>
      <c r="P681">
        <f>IF(C681="",0,IF(AND(B681="brand",E681="renewal_answer",N(F681)&gt;=Inputs!$C$125),1,0))</f>
        <v/>
      </c>
      <c r="Q681">
        <f>IF(AND(B681="office",E681="budget_probe",ISNUMBER(F681)),F681,"")</f>
        <v/>
      </c>
      <c r="R681">
        <f>IF(AND(B681="brand",E681="budget_probe",ISNUMBER(F681)),F681,"")</f>
        <v/>
      </c>
    </row>
    <row r="682">
      <c r="A682" s="91" t="n"/>
      <c r="B682" s="92" t="n"/>
      <c r="C682" s="92" t="n"/>
      <c r="D682" s="92" t="n"/>
      <c r="E682" s="92" t="n"/>
      <c r="F682" s="92" t="n"/>
      <c r="G682" s="92" t="n"/>
      <c r="H682" s="92" t="n"/>
      <c r="I682" s="92" t="n"/>
      <c r="K682">
        <f>IF(C682="","",IF(COUNTIFS(C$5:C682,C682,E$5:E682,E682)=1,1,0))</f>
        <v/>
      </c>
      <c r="L682">
        <f>IF(C682="",0,IF(AND(B682="brand",E682="budget_probe",N(F682)&gt;=Inputs!$C$114,H682="Y"),1,0))</f>
        <v/>
      </c>
      <c r="M682">
        <f>IF(L682=1,IF(COUNTIFS(C$5:C682,C682,L$5:L682,1)=1,1,0),0)</f>
        <v/>
      </c>
      <c r="N682">
        <f>IF(C682="",0,IF(AND(B682="office",E682="budget_probe",N(F682)&gt;=Inputs!$C$129),1,0))</f>
        <v/>
      </c>
      <c r="O682">
        <f>IF(N682=1,IF(COUNTIFS(C$5:C682,C682,N$5:N682,1)=1,1,0),0)</f>
        <v/>
      </c>
      <c r="P682">
        <f>IF(C682="",0,IF(AND(B682="brand",E682="renewal_answer",N(F682)&gt;=Inputs!$C$125),1,0))</f>
        <v/>
      </c>
      <c r="Q682">
        <f>IF(AND(B682="office",E682="budget_probe",ISNUMBER(F682)),F682,"")</f>
        <v/>
      </c>
      <c r="R682">
        <f>IF(AND(B682="brand",E682="budget_probe",ISNUMBER(F682)),F682,"")</f>
        <v/>
      </c>
    </row>
    <row r="683">
      <c r="A683" s="91" t="n"/>
      <c r="B683" s="92" t="n"/>
      <c r="C683" s="92" t="n"/>
      <c r="D683" s="92" t="n"/>
      <c r="E683" s="92" t="n"/>
      <c r="F683" s="92" t="n"/>
      <c r="G683" s="92" t="n"/>
      <c r="H683" s="92" t="n"/>
      <c r="I683" s="92" t="n"/>
      <c r="K683">
        <f>IF(C683="","",IF(COUNTIFS(C$5:C683,C683,E$5:E683,E683)=1,1,0))</f>
        <v/>
      </c>
      <c r="L683">
        <f>IF(C683="",0,IF(AND(B683="brand",E683="budget_probe",N(F683)&gt;=Inputs!$C$114,H683="Y"),1,0))</f>
        <v/>
      </c>
      <c r="M683">
        <f>IF(L683=1,IF(COUNTIFS(C$5:C683,C683,L$5:L683,1)=1,1,0),0)</f>
        <v/>
      </c>
      <c r="N683">
        <f>IF(C683="",0,IF(AND(B683="office",E683="budget_probe",N(F683)&gt;=Inputs!$C$129),1,0))</f>
        <v/>
      </c>
      <c r="O683">
        <f>IF(N683=1,IF(COUNTIFS(C$5:C683,C683,N$5:N683,1)=1,1,0),0)</f>
        <v/>
      </c>
      <c r="P683">
        <f>IF(C683="",0,IF(AND(B683="brand",E683="renewal_answer",N(F683)&gt;=Inputs!$C$125),1,0))</f>
        <v/>
      </c>
      <c r="Q683">
        <f>IF(AND(B683="office",E683="budget_probe",ISNUMBER(F683)),F683,"")</f>
        <v/>
      </c>
      <c r="R683">
        <f>IF(AND(B683="brand",E683="budget_probe",ISNUMBER(F683)),F683,"")</f>
        <v/>
      </c>
    </row>
    <row r="684">
      <c r="A684" s="91" t="n"/>
      <c r="B684" s="92" t="n"/>
      <c r="C684" s="92" t="n"/>
      <c r="D684" s="92" t="n"/>
      <c r="E684" s="92" t="n"/>
      <c r="F684" s="92" t="n"/>
      <c r="G684" s="92" t="n"/>
      <c r="H684" s="92" t="n"/>
      <c r="I684" s="92" t="n"/>
      <c r="K684">
        <f>IF(C684="","",IF(COUNTIFS(C$5:C684,C684,E$5:E684,E684)=1,1,0))</f>
        <v/>
      </c>
      <c r="L684">
        <f>IF(C684="",0,IF(AND(B684="brand",E684="budget_probe",N(F684)&gt;=Inputs!$C$114,H684="Y"),1,0))</f>
        <v/>
      </c>
      <c r="M684">
        <f>IF(L684=1,IF(COUNTIFS(C$5:C684,C684,L$5:L684,1)=1,1,0),0)</f>
        <v/>
      </c>
      <c r="N684">
        <f>IF(C684="",0,IF(AND(B684="office",E684="budget_probe",N(F684)&gt;=Inputs!$C$129),1,0))</f>
        <v/>
      </c>
      <c r="O684">
        <f>IF(N684=1,IF(COUNTIFS(C$5:C684,C684,N$5:N684,1)=1,1,0),0)</f>
        <v/>
      </c>
      <c r="P684">
        <f>IF(C684="",0,IF(AND(B684="brand",E684="renewal_answer",N(F684)&gt;=Inputs!$C$125),1,0))</f>
        <v/>
      </c>
      <c r="Q684">
        <f>IF(AND(B684="office",E684="budget_probe",ISNUMBER(F684)),F684,"")</f>
        <v/>
      </c>
      <c r="R684">
        <f>IF(AND(B684="brand",E684="budget_probe",ISNUMBER(F684)),F684,"")</f>
        <v/>
      </c>
    </row>
    <row r="685">
      <c r="A685" s="91" t="n"/>
      <c r="B685" s="92" t="n"/>
      <c r="C685" s="92" t="n"/>
      <c r="D685" s="92" t="n"/>
      <c r="E685" s="92" t="n"/>
      <c r="F685" s="92" t="n"/>
      <c r="G685" s="92" t="n"/>
      <c r="H685" s="92" t="n"/>
      <c r="I685" s="92" t="n"/>
      <c r="K685">
        <f>IF(C685="","",IF(COUNTIFS(C$5:C685,C685,E$5:E685,E685)=1,1,0))</f>
        <v/>
      </c>
      <c r="L685">
        <f>IF(C685="",0,IF(AND(B685="brand",E685="budget_probe",N(F685)&gt;=Inputs!$C$114,H685="Y"),1,0))</f>
        <v/>
      </c>
      <c r="M685">
        <f>IF(L685=1,IF(COUNTIFS(C$5:C685,C685,L$5:L685,1)=1,1,0),0)</f>
        <v/>
      </c>
      <c r="N685">
        <f>IF(C685="",0,IF(AND(B685="office",E685="budget_probe",N(F685)&gt;=Inputs!$C$129),1,0))</f>
        <v/>
      </c>
      <c r="O685">
        <f>IF(N685=1,IF(COUNTIFS(C$5:C685,C685,N$5:N685,1)=1,1,0),0)</f>
        <v/>
      </c>
      <c r="P685">
        <f>IF(C685="",0,IF(AND(B685="brand",E685="renewal_answer",N(F685)&gt;=Inputs!$C$125),1,0))</f>
        <v/>
      </c>
      <c r="Q685">
        <f>IF(AND(B685="office",E685="budget_probe",ISNUMBER(F685)),F685,"")</f>
        <v/>
      </c>
      <c r="R685">
        <f>IF(AND(B685="brand",E685="budget_probe",ISNUMBER(F685)),F685,"")</f>
        <v/>
      </c>
    </row>
    <row r="686">
      <c r="A686" s="91" t="n"/>
      <c r="B686" s="92" t="n"/>
      <c r="C686" s="92" t="n"/>
      <c r="D686" s="92" t="n"/>
      <c r="E686" s="92" t="n"/>
      <c r="F686" s="92" t="n"/>
      <c r="G686" s="92" t="n"/>
      <c r="H686" s="92" t="n"/>
      <c r="I686" s="92" t="n"/>
      <c r="K686">
        <f>IF(C686="","",IF(COUNTIFS(C$5:C686,C686,E$5:E686,E686)=1,1,0))</f>
        <v/>
      </c>
      <c r="L686">
        <f>IF(C686="",0,IF(AND(B686="brand",E686="budget_probe",N(F686)&gt;=Inputs!$C$114,H686="Y"),1,0))</f>
        <v/>
      </c>
      <c r="M686">
        <f>IF(L686=1,IF(COUNTIFS(C$5:C686,C686,L$5:L686,1)=1,1,0),0)</f>
        <v/>
      </c>
      <c r="N686">
        <f>IF(C686="",0,IF(AND(B686="office",E686="budget_probe",N(F686)&gt;=Inputs!$C$129),1,0))</f>
        <v/>
      </c>
      <c r="O686">
        <f>IF(N686=1,IF(COUNTIFS(C$5:C686,C686,N$5:N686,1)=1,1,0),0)</f>
        <v/>
      </c>
      <c r="P686">
        <f>IF(C686="",0,IF(AND(B686="brand",E686="renewal_answer",N(F686)&gt;=Inputs!$C$125),1,0))</f>
        <v/>
      </c>
      <c r="Q686">
        <f>IF(AND(B686="office",E686="budget_probe",ISNUMBER(F686)),F686,"")</f>
        <v/>
      </c>
      <c r="R686">
        <f>IF(AND(B686="brand",E686="budget_probe",ISNUMBER(F686)),F686,"")</f>
        <v/>
      </c>
    </row>
    <row r="687">
      <c r="A687" s="91" t="n"/>
      <c r="B687" s="92" t="n"/>
      <c r="C687" s="92" t="n"/>
      <c r="D687" s="92" t="n"/>
      <c r="E687" s="92" t="n"/>
      <c r="F687" s="92" t="n"/>
      <c r="G687" s="92" t="n"/>
      <c r="H687" s="92" t="n"/>
      <c r="I687" s="92" t="n"/>
      <c r="K687">
        <f>IF(C687="","",IF(COUNTIFS(C$5:C687,C687,E$5:E687,E687)=1,1,0))</f>
        <v/>
      </c>
      <c r="L687">
        <f>IF(C687="",0,IF(AND(B687="brand",E687="budget_probe",N(F687)&gt;=Inputs!$C$114,H687="Y"),1,0))</f>
        <v/>
      </c>
      <c r="M687">
        <f>IF(L687=1,IF(COUNTIFS(C$5:C687,C687,L$5:L687,1)=1,1,0),0)</f>
        <v/>
      </c>
      <c r="N687">
        <f>IF(C687="",0,IF(AND(B687="office",E687="budget_probe",N(F687)&gt;=Inputs!$C$129),1,0))</f>
        <v/>
      </c>
      <c r="O687">
        <f>IF(N687=1,IF(COUNTIFS(C$5:C687,C687,N$5:N687,1)=1,1,0),0)</f>
        <v/>
      </c>
      <c r="P687">
        <f>IF(C687="",0,IF(AND(B687="brand",E687="renewal_answer",N(F687)&gt;=Inputs!$C$125),1,0))</f>
        <v/>
      </c>
      <c r="Q687">
        <f>IF(AND(B687="office",E687="budget_probe",ISNUMBER(F687)),F687,"")</f>
        <v/>
      </c>
      <c r="R687">
        <f>IF(AND(B687="brand",E687="budget_probe",ISNUMBER(F687)),F687,"")</f>
        <v/>
      </c>
    </row>
    <row r="688">
      <c r="A688" s="91" t="n"/>
      <c r="B688" s="92" t="n"/>
      <c r="C688" s="92" t="n"/>
      <c r="D688" s="92" t="n"/>
      <c r="E688" s="92" t="n"/>
      <c r="F688" s="92" t="n"/>
      <c r="G688" s="92" t="n"/>
      <c r="H688" s="92" t="n"/>
      <c r="I688" s="92" t="n"/>
      <c r="K688">
        <f>IF(C688="","",IF(COUNTIFS(C$5:C688,C688,E$5:E688,E688)=1,1,0))</f>
        <v/>
      </c>
      <c r="L688">
        <f>IF(C688="",0,IF(AND(B688="brand",E688="budget_probe",N(F688)&gt;=Inputs!$C$114,H688="Y"),1,0))</f>
        <v/>
      </c>
      <c r="M688">
        <f>IF(L688=1,IF(COUNTIFS(C$5:C688,C688,L$5:L688,1)=1,1,0),0)</f>
        <v/>
      </c>
      <c r="N688">
        <f>IF(C688="",0,IF(AND(B688="office",E688="budget_probe",N(F688)&gt;=Inputs!$C$129),1,0))</f>
        <v/>
      </c>
      <c r="O688">
        <f>IF(N688=1,IF(COUNTIFS(C$5:C688,C688,N$5:N688,1)=1,1,0),0)</f>
        <v/>
      </c>
      <c r="P688">
        <f>IF(C688="",0,IF(AND(B688="brand",E688="renewal_answer",N(F688)&gt;=Inputs!$C$125),1,0))</f>
        <v/>
      </c>
      <c r="Q688">
        <f>IF(AND(B688="office",E688="budget_probe",ISNUMBER(F688)),F688,"")</f>
        <v/>
      </c>
      <c r="R688">
        <f>IF(AND(B688="brand",E688="budget_probe",ISNUMBER(F688)),F688,"")</f>
        <v/>
      </c>
    </row>
    <row r="689">
      <c r="A689" s="91" t="n"/>
      <c r="B689" s="92" t="n"/>
      <c r="C689" s="92" t="n"/>
      <c r="D689" s="92" t="n"/>
      <c r="E689" s="92" t="n"/>
      <c r="F689" s="92" t="n"/>
      <c r="G689" s="92" t="n"/>
      <c r="H689" s="92" t="n"/>
      <c r="I689" s="92" t="n"/>
      <c r="K689">
        <f>IF(C689="","",IF(COUNTIFS(C$5:C689,C689,E$5:E689,E689)=1,1,0))</f>
        <v/>
      </c>
      <c r="L689">
        <f>IF(C689="",0,IF(AND(B689="brand",E689="budget_probe",N(F689)&gt;=Inputs!$C$114,H689="Y"),1,0))</f>
        <v/>
      </c>
      <c r="M689">
        <f>IF(L689=1,IF(COUNTIFS(C$5:C689,C689,L$5:L689,1)=1,1,0),0)</f>
        <v/>
      </c>
      <c r="N689">
        <f>IF(C689="",0,IF(AND(B689="office",E689="budget_probe",N(F689)&gt;=Inputs!$C$129),1,0))</f>
        <v/>
      </c>
      <c r="O689">
        <f>IF(N689=1,IF(COUNTIFS(C$5:C689,C689,N$5:N689,1)=1,1,0),0)</f>
        <v/>
      </c>
      <c r="P689">
        <f>IF(C689="",0,IF(AND(B689="brand",E689="renewal_answer",N(F689)&gt;=Inputs!$C$125),1,0))</f>
        <v/>
      </c>
      <c r="Q689">
        <f>IF(AND(B689="office",E689="budget_probe",ISNUMBER(F689)),F689,"")</f>
        <v/>
      </c>
      <c r="R689">
        <f>IF(AND(B689="brand",E689="budget_probe",ISNUMBER(F689)),F689,"")</f>
        <v/>
      </c>
    </row>
    <row r="690">
      <c r="A690" s="91" t="n"/>
      <c r="B690" s="92" t="n"/>
      <c r="C690" s="92" t="n"/>
      <c r="D690" s="92" t="n"/>
      <c r="E690" s="92" t="n"/>
      <c r="F690" s="92" t="n"/>
      <c r="G690" s="92" t="n"/>
      <c r="H690" s="92" t="n"/>
      <c r="I690" s="92" t="n"/>
      <c r="K690">
        <f>IF(C690="","",IF(COUNTIFS(C$5:C690,C690,E$5:E690,E690)=1,1,0))</f>
        <v/>
      </c>
      <c r="L690">
        <f>IF(C690="",0,IF(AND(B690="brand",E690="budget_probe",N(F690)&gt;=Inputs!$C$114,H690="Y"),1,0))</f>
        <v/>
      </c>
      <c r="M690">
        <f>IF(L690=1,IF(COUNTIFS(C$5:C690,C690,L$5:L690,1)=1,1,0),0)</f>
        <v/>
      </c>
      <c r="N690">
        <f>IF(C690="",0,IF(AND(B690="office",E690="budget_probe",N(F690)&gt;=Inputs!$C$129),1,0))</f>
        <v/>
      </c>
      <c r="O690">
        <f>IF(N690=1,IF(COUNTIFS(C$5:C690,C690,N$5:N690,1)=1,1,0),0)</f>
        <v/>
      </c>
      <c r="P690">
        <f>IF(C690="",0,IF(AND(B690="brand",E690="renewal_answer",N(F690)&gt;=Inputs!$C$125),1,0))</f>
        <v/>
      </c>
      <c r="Q690">
        <f>IF(AND(B690="office",E690="budget_probe",ISNUMBER(F690)),F690,"")</f>
        <v/>
      </c>
      <c r="R690">
        <f>IF(AND(B690="brand",E690="budget_probe",ISNUMBER(F690)),F690,"")</f>
        <v/>
      </c>
    </row>
    <row r="691">
      <c r="A691" s="91" t="n"/>
      <c r="B691" s="92" t="n"/>
      <c r="C691" s="92" t="n"/>
      <c r="D691" s="92" t="n"/>
      <c r="E691" s="92" t="n"/>
      <c r="F691" s="92" t="n"/>
      <c r="G691" s="92" t="n"/>
      <c r="H691" s="92" t="n"/>
      <c r="I691" s="92" t="n"/>
      <c r="K691">
        <f>IF(C691="","",IF(COUNTIFS(C$5:C691,C691,E$5:E691,E691)=1,1,0))</f>
        <v/>
      </c>
      <c r="L691">
        <f>IF(C691="",0,IF(AND(B691="brand",E691="budget_probe",N(F691)&gt;=Inputs!$C$114,H691="Y"),1,0))</f>
        <v/>
      </c>
      <c r="M691">
        <f>IF(L691=1,IF(COUNTIFS(C$5:C691,C691,L$5:L691,1)=1,1,0),0)</f>
        <v/>
      </c>
      <c r="N691">
        <f>IF(C691="",0,IF(AND(B691="office",E691="budget_probe",N(F691)&gt;=Inputs!$C$129),1,0))</f>
        <v/>
      </c>
      <c r="O691">
        <f>IF(N691=1,IF(COUNTIFS(C$5:C691,C691,N$5:N691,1)=1,1,0),0)</f>
        <v/>
      </c>
      <c r="P691">
        <f>IF(C691="",0,IF(AND(B691="brand",E691="renewal_answer",N(F691)&gt;=Inputs!$C$125),1,0))</f>
        <v/>
      </c>
      <c r="Q691">
        <f>IF(AND(B691="office",E691="budget_probe",ISNUMBER(F691)),F691,"")</f>
        <v/>
      </c>
      <c r="R691">
        <f>IF(AND(B691="brand",E691="budget_probe",ISNUMBER(F691)),F691,"")</f>
        <v/>
      </c>
    </row>
    <row r="692">
      <c r="A692" s="91" t="n"/>
      <c r="B692" s="92" t="n"/>
      <c r="C692" s="92" t="n"/>
      <c r="D692" s="92" t="n"/>
      <c r="E692" s="92" t="n"/>
      <c r="F692" s="92" t="n"/>
      <c r="G692" s="92" t="n"/>
      <c r="H692" s="92" t="n"/>
      <c r="I692" s="92" t="n"/>
      <c r="K692">
        <f>IF(C692="","",IF(COUNTIFS(C$5:C692,C692,E$5:E692,E692)=1,1,0))</f>
        <v/>
      </c>
      <c r="L692">
        <f>IF(C692="",0,IF(AND(B692="brand",E692="budget_probe",N(F692)&gt;=Inputs!$C$114,H692="Y"),1,0))</f>
        <v/>
      </c>
      <c r="M692">
        <f>IF(L692=1,IF(COUNTIFS(C$5:C692,C692,L$5:L692,1)=1,1,0),0)</f>
        <v/>
      </c>
      <c r="N692">
        <f>IF(C692="",0,IF(AND(B692="office",E692="budget_probe",N(F692)&gt;=Inputs!$C$129),1,0))</f>
        <v/>
      </c>
      <c r="O692">
        <f>IF(N692=1,IF(COUNTIFS(C$5:C692,C692,N$5:N692,1)=1,1,0),0)</f>
        <v/>
      </c>
      <c r="P692">
        <f>IF(C692="",0,IF(AND(B692="brand",E692="renewal_answer",N(F692)&gt;=Inputs!$C$125),1,0))</f>
        <v/>
      </c>
      <c r="Q692">
        <f>IF(AND(B692="office",E692="budget_probe",ISNUMBER(F692)),F692,"")</f>
        <v/>
      </c>
      <c r="R692">
        <f>IF(AND(B692="brand",E692="budget_probe",ISNUMBER(F692)),F692,"")</f>
        <v/>
      </c>
    </row>
    <row r="693">
      <c r="A693" s="91" t="n"/>
      <c r="B693" s="92" t="n"/>
      <c r="C693" s="92" t="n"/>
      <c r="D693" s="92" t="n"/>
      <c r="E693" s="92" t="n"/>
      <c r="F693" s="92" t="n"/>
      <c r="G693" s="92" t="n"/>
      <c r="H693" s="92" t="n"/>
      <c r="I693" s="92" t="n"/>
      <c r="K693">
        <f>IF(C693="","",IF(COUNTIFS(C$5:C693,C693,E$5:E693,E693)=1,1,0))</f>
        <v/>
      </c>
      <c r="L693">
        <f>IF(C693="",0,IF(AND(B693="brand",E693="budget_probe",N(F693)&gt;=Inputs!$C$114,H693="Y"),1,0))</f>
        <v/>
      </c>
      <c r="M693">
        <f>IF(L693=1,IF(COUNTIFS(C$5:C693,C693,L$5:L693,1)=1,1,0),0)</f>
        <v/>
      </c>
      <c r="N693">
        <f>IF(C693="",0,IF(AND(B693="office",E693="budget_probe",N(F693)&gt;=Inputs!$C$129),1,0))</f>
        <v/>
      </c>
      <c r="O693">
        <f>IF(N693=1,IF(COUNTIFS(C$5:C693,C693,N$5:N693,1)=1,1,0),0)</f>
        <v/>
      </c>
      <c r="P693">
        <f>IF(C693="",0,IF(AND(B693="brand",E693="renewal_answer",N(F693)&gt;=Inputs!$C$125),1,0))</f>
        <v/>
      </c>
      <c r="Q693">
        <f>IF(AND(B693="office",E693="budget_probe",ISNUMBER(F693)),F693,"")</f>
        <v/>
      </c>
      <c r="R693">
        <f>IF(AND(B693="brand",E693="budget_probe",ISNUMBER(F693)),F693,"")</f>
        <v/>
      </c>
    </row>
    <row r="694">
      <c r="A694" s="91" t="n"/>
      <c r="B694" s="92" t="n"/>
      <c r="C694" s="92" t="n"/>
      <c r="D694" s="92" t="n"/>
      <c r="E694" s="92" t="n"/>
      <c r="F694" s="92" t="n"/>
      <c r="G694" s="92" t="n"/>
      <c r="H694" s="92" t="n"/>
      <c r="I694" s="92" t="n"/>
      <c r="K694">
        <f>IF(C694="","",IF(COUNTIFS(C$5:C694,C694,E$5:E694,E694)=1,1,0))</f>
        <v/>
      </c>
      <c r="L694">
        <f>IF(C694="",0,IF(AND(B694="brand",E694="budget_probe",N(F694)&gt;=Inputs!$C$114,H694="Y"),1,0))</f>
        <v/>
      </c>
      <c r="M694">
        <f>IF(L694=1,IF(COUNTIFS(C$5:C694,C694,L$5:L694,1)=1,1,0),0)</f>
        <v/>
      </c>
      <c r="N694">
        <f>IF(C694="",0,IF(AND(B694="office",E694="budget_probe",N(F694)&gt;=Inputs!$C$129),1,0))</f>
        <v/>
      </c>
      <c r="O694">
        <f>IF(N694=1,IF(COUNTIFS(C$5:C694,C694,N$5:N694,1)=1,1,0),0)</f>
        <v/>
      </c>
      <c r="P694">
        <f>IF(C694="",0,IF(AND(B694="brand",E694="renewal_answer",N(F694)&gt;=Inputs!$C$125),1,0))</f>
        <v/>
      </c>
      <c r="Q694">
        <f>IF(AND(B694="office",E694="budget_probe",ISNUMBER(F694)),F694,"")</f>
        <v/>
      </c>
      <c r="R694">
        <f>IF(AND(B694="brand",E694="budget_probe",ISNUMBER(F694)),F694,"")</f>
        <v/>
      </c>
    </row>
    <row r="695">
      <c r="A695" s="91" t="n"/>
      <c r="B695" s="92" t="n"/>
      <c r="C695" s="92" t="n"/>
      <c r="D695" s="92" t="n"/>
      <c r="E695" s="92" t="n"/>
      <c r="F695" s="92" t="n"/>
      <c r="G695" s="92" t="n"/>
      <c r="H695" s="92" t="n"/>
      <c r="I695" s="92" t="n"/>
      <c r="K695">
        <f>IF(C695="","",IF(COUNTIFS(C$5:C695,C695,E$5:E695,E695)=1,1,0))</f>
        <v/>
      </c>
      <c r="L695">
        <f>IF(C695="",0,IF(AND(B695="brand",E695="budget_probe",N(F695)&gt;=Inputs!$C$114,H695="Y"),1,0))</f>
        <v/>
      </c>
      <c r="M695">
        <f>IF(L695=1,IF(COUNTIFS(C$5:C695,C695,L$5:L695,1)=1,1,0),0)</f>
        <v/>
      </c>
      <c r="N695">
        <f>IF(C695="",0,IF(AND(B695="office",E695="budget_probe",N(F695)&gt;=Inputs!$C$129),1,0))</f>
        <v/>
      </c>
      <c r="O695">
        <f>IF(N695=1,IF(COUNTIFS(C$5:C695,C695,N$5:N695,1)=1,1,0),0)</f>
        <v/>
      </c>
      <c r="P695">
        <f>IF(C695="",0,IF(AND(B695="brand",E695="renewal_answer",N(F695)&gt;=Inputs!$C$125),1,0))</f>
        <v/>
      </c>
      <c r="Q695">
        <f>IF(AND(B695="office",E695="budget_probe",ISNUMBER(F695)),F695,"")</f>
        <v/>
      </c>
      <c r="R695">
        <f>IF(AND(B695="brand",E695="budget_probe",ISNUMBER(F695)),F695,"")</f>
        <v/>
      </c>
    </row>
    <row r="696">
      <c r="A696" s="91" t="n"/>
      <c r="B696" s="92" t="n"/>
      <c r="C696" s="92" t="n"/>
      <c r="D696" s="92" t="n"/>
      <c r="E696" s="92" t="n"/>
      <c r="F696" s="92" t="n"/>
      <c r="G696" s="92" t="n"/>
      <c r="H696" s="92" t="n"/>
      <c r="I696" s="92" t="n"/>
      <c r="K696">
        <f>IF(C696="","",IF(COUNTIFS(C$5:C696,C696,E$5:E696,E696)=1,1,0))</f>
        <v/>
      </c>
      <c r="L696">
        <f>IF(C696="",0,IF(AND(B696="brand",E696="budget_probe",N(F696)&gt;=Inputs!$C$114,H696="Y"),1,0))</f>
        <v/>
      </c>
      <c r="M696">
        <f>IF(L696=1,IF(COUNTIFS(C$5:C696,C696,L$5:L696,1)=1,1,0),0)</f>
        <v/>
      </c>
      <c r="N696">
        <f>IF(C696="",0,IF(AND(B696="office",E696="budget_probe",N(F696)&gt;=Inputs!$C$129),1,0))</f>
        <v/>
      </c>
      <c r="O696">
        <f>IF(N696=1,IF(COUNTIFS(C$5:C696,C696,N$5:N696,1)=1,1,0),0)</f>
        <v/>
      </c>
      <c r="P696">
        <f>IF(C696="",0,IF(AND(B696="brand",E696="renewal_answer",N(F696)&gt;=Inputs!$C$125),1,0))</f>
        <v/>
      </c>
      <c r="Q696">
        <f>IF(AND(B696="office",E696="budget_probe",ISNUMBER(F696)),F696,"")</f>
        <v/>
      </c>
      <c r="R696">
        <f>IF(AND(B696="brand",E696="budget_probe",ISNUMBER(F696)),F696,"")</f>
        <v/>
      </c>
    </row>
    <row r="697">
      <c r="A697" s="91" t="n"/>
      <c r="B697" s="92" t="n"/>
      <c r="C697" s="92" t="n"/>
      <c r="D697" s="92" t="n"/>
      <c r="E697" s="92" t="n"/>
      <c r="F697" s="92" t="n"/>
      <c r="G697" s="92" t="n"/>
      <c r="H697" s="92" t="n"/>
      <c r="I697" s="92" t="n"/>
      <c r="K697">
        <f>IF(C697="","",IF(COUNTIFS(C$5:C697,C697,E$5:E697,E697)=1,1,0))</f>
        <v/>
      </c>
      <c r="L697">
        <f>IF(C697="",0,IF(AND(B697="brand",E697="budget_probe",N(F697)&gt;=Inputs!$C$114,H697="Y"),1,0))</f>
        <v/>
      </c>
      <c r="M697">
        <f>IF(L697=1,IF(COUNTIFS(C$5:C697,C697,L$5:L697,1)=1,1,0),0)</f>
        <v/>
      </c>
      <c r="N697">
        <f>IF(C697="",0,IF(AND(B697="office",E697="budget_probe",N(F697)&gt;=Inputs!$C$129),1,0))</f>
        <v/>
      </c>
      <c r="O697">
        <f>IF(N697=1,IF(COUNTIFS(C$5:C697,C697,N$5:N697,1)=1,1,0),0)</f>
        <v/>
      </c>
      <c r="P697">
        <f>IF(C697="",0,IF(AND(B697="brand",E697="renewal_answer",N(F697)&gt;=Inputs!$C$125),1,0))</f>
        <v/>
      </c>
      <c r="Q697">
        <f>IF(AND(B697="office",E697="budget_probe",ISNUMBER(F697)),F697,"")</f>
        <v/>
      </c>
      <c r="R697">
        <f>IF(AND(B697="brand",E697="budget_probe",ISNUMBER(F697)),F697,"")</f>
        <v/>
      </c>
    </row>
    <row r="698">
      <c r="A698" s="91" t="n"/>
      <c r="B698" s="92" t="n"/>
      <c r="C698" s="92" t="n"/>
      <c r="D698" s="92" t="n"/>
      <c r="E698" s="92" t="n"/>
      <c r="F698" s="92" t="n"/>
      <c r="G698" s="92" t="n"/>
      <c r="H698" s="92" t="n"/>
      <c r="I698" s="92" t="n"/>
      <c r="K698">
        <f>IF(C698="","",IF(COUNTIFS(C$5:C698,C698,E$5:E698,E698)=1,1,0))</f>
        <v/>
      </c>
      <c r="L698">
        <f>IF(C698="",0,IF(AND(B698="brand",E698="budget_probe",N(F698)&gt;=Inputs!$C$114,H698="Y"),1,0))</f>
        <v/>
      </c>
      <c r="M698">
        <f>IF(L698=1,IF(COUNTIFS(C$5:C698,C698,L$5:L698,1)=1,1,0),0)</f>
        <v/>
      </c>
      <c r="N698">
        <f>IF(C698="",0,IF(AND(B698="office",E698="budget_probe",N(F698)&gt;=Inputs!$C$129),1,0))</f>
        <v/>
      </c>
      <c r="O698">
        <f>IF(N698=1,IF(COUNTIFS(C$5:C698,C698,N$5:N698,1)=1,1,0),0)</f>
        <v/>
      </c>
      <c r="P698">
        <f>IF(C698="",0,IF(AND(B698="brand",E698="renewal_answer",N(F698)&gt;=Inputs!$C$125),1,0))</f>
        <v/>
      </c>
      <c r="Q698">
        <f>IF(AND(B698="office",E698="budget_probe",ISNUMBER(F698)),F698,"")</f>
        <v/>
      </c>
      <c r="R698">
        <f>IF(AND(B698="brand",E698="budget_probe",ISNUMBER(F698)),F698,"")</f>
        <v/>
      </c>
    </row>
    <row r="699">
      <c r="A699" s="91" t="n"/>
      <c r="B699" s="92" t="n"/>
      <c r="C699" s="92" t="n"/>
      <c r="D699" s="92" t="n"/>
      <c r="E699" s="92" t="n"/>
      <c r="F699" s="92" t="n"/>
      <c r="G699" s="92" t="n"/>
      <c r="H699" s="92" t="n"/>
      <c r="I699" s="92" t="n"/>
      <c r="K699">
        <f>IF(C699="","",IF(COUNTIFS(C$5:C699,C699,E$5:E699,E699)=1,1,0))</f>
        <v/>
      </c>
      <c r="L699">
        <f>IF(C699="",0,IF(AND(B699="brand",E699="budget_probe",N(F699)&gt;=Inputs!$C$114,H699="Y"),1,0))</f>
        <v/>
      </c>
      <c r="M699">
        <f>IF(L699=1,IF(COUNTIFS(C$5:C699,C699,L$5:L699,1)=1,1,0),0)</f>
        <v/>
      </c>
      <c r="N699">
        <f>IF(C699="",0,IF(AND(B699="office",E699="budget_probe",N(F699)&gt;=Inputs!$C$129),1,0))</f>
        <v/>
      </c>
      <c r="O699">
        <f>IF(N699=1,IF(COUNTIFS(C$5:C699,C699,N$5:N699,1)=1,1,0),0)</f>
        <v/>
      </c>
      <c r="P699">
        <f>IF(C699="",0,IF(AND(B699="brand",E699="renewal_answer",N(F699)&gt;=Inputs!$C$125),1,0))</f>
        <v/>
      </c>
      <c r="Q699">
        <f>IF(AND(B699="office",E699="budget_probe",ISNUMBER(F699)),F699,"")</f>
        <v/>
      </c>
      <c r="R699">
        <f>IF(AND(B699="brand",E699="budget_probe",ISNUMBER(F699)),F699,"")</f>
        <v/>
      </c>
    </row>
    <row r="700">
      <c r="A700" s="91" t="n"/>
      <c r="B700" s="92" t="n"/>
      <c r="C700" s="92" t="n"/>
      <c r="D700" s="92" t="n"/>
      <c r="E700" s="92" t="n"/>
      <c r="F700" s="92" t="n"/>
      <c r="G700" s="92" t="n"/>
      <c r="H700" s="92" t="n"/>
      <c r="I700" s="92" t="n"/>
      <c r="K700">
        <f>IF(C700="","",IF(COUNTIFS(C$5:C700,C700,E$5:E700,E700)=1,1,0))</f>
        <v/>
      </c>
      <c r="L700">
        <f>IF(C700="",0,IF(AND(B700="brand",E700="budget_probe",N(F700)&gt;=Inputs!$C$114,H700="Y"),1,0))</f>
        <v/>
      </c>
      <c r="M700">
        <f>IF(L700=1,IF(COUNTIFS(C$5:C700,C700,L$5:L700,1)=1,1,0),0)</f>
        <v/>
      </c>
      <c r="N700">
        <f>IF(C700="",0,IF(AND(B700="office",E700="budget_probe",N(F700)&gt;=Inputs!$C$129),1,0))</f>
        <v/>
      </c>
      <c r="O700">
        <f>IF(N700=1,IF(COUNTIFS(C$5:C700,C700,N$5:N700,1)=1,1,0),0)</f>
        <v/>
      </c>
      <c r="P700">
        <f>IF(C700="",0,IF(AND(B700="brand",E700="renewal_answer",N(F700)&gt;=Inputs!$C$125),1,0))</f>
        <v/>
      </c>
      <c r="Q700">
        <f>IF(AND(B700="office",E700="budget_probe",ISNUMBER(F700)),F700,"")</f>
        <v/>
      </c>
      <c r="R700">
        <f>IF(AND(B700="brand",E700="budget_probe",ISNUMBER(F700)),F700,"")</f>
        <v/>
      </c>
    </row>
    <row r="701">
      <c r="A701" s="91" t="n"/>
      <c r="B701" s="92" t="n"/>
      <c r="C701" s="92" t="n"/>
      <c r="D701" s="92" t="n"/>
      <c r="E701" s="92" t="n"/>
      <c r="F701" s="92" t="n"/>
      <c r="G701" s="92" t="n"/>
      <c r="H701" s="92" t="n"/>
      <c r="I701" s="92" t="n"/>
      <c r="K701">
        <f>IF(C701="","",IF(COUNTIFS(C$5:C701,C701,E$5:E701,E701)=1,1,0))</f>
        <v/>
      </c>
      <c r="L701">
        <f>IF(C701="",0,IF(AND(B701="brand",E701="budget_probe",N(F701)&gt;=Inputs!$C$114,H701="Y"),1,0))</f>
        <v/>
      </c>
      <c r="M701">
        <f>IF(L701=1,IF(COUNTIFS(C$5:C701,C701,L$5:L701,1)=1,1,0),0)</f>
        <v/>
      </c>
      <c r="N701">
        <f>IF(C701="",0,IF(AND(B701="office",E701="budget_probe",N(F701)&gt;=Inputs!$C$129),1,0))</f>
        <v/>
      </c>
      <c r="O701">
        <f>IF(N701=1,IF(COUNTIFS(C$5:C701,C701,N$5:N701,1)=1,1,0),0)</f>
        <v/>
      </c>
      <c r="P701">
        <f>IF(C701="",0,IF(AND(B701="brand",E701="renewal_answer",N(F701)&gt;=Inputs!$C$125),1,0))</f>
        <v/>
      </c>
      <c r="Q701">
        <f>IF(AND(B701="office",E701="budget_probe",ISNUMBER(F701)),F701,"")</f>
        <v/>
      </c>
      <c r="R701">
        <f>IF(AND(B701="brand",E701="budget_probe",ISNUMBER(F701)),F701,"")</f>
        <v/>
      </c>
    </row>
    <row r="702">
      <c r="A702" s="91" t="n"/>
      <c r="B702" s="92" t="n"/>
      <c r="C702" s="92" t="n"/>
      <c r="D702" s="92" t="n"/>
      <c r="E702" s="92" t="n"/>
      <c r="F702" s="92" t="n"/>
      <c r="G702" s="92" t="n"/>
      <c r="H702" s="92" t="n"/>
      <c r="I702" s="92" t="n"/>
      <c r="K702">
        <f>IF(C702="","",IF(COUNTIFS(C$5:C702,C702,E$5:E702,E702)=1,1,0))</f>
        <v/>
      </c>
      <c r="L702">
        <f>IF(C702="",0,IF(AND(B702="brand",E702="budget_probe",N(F702)&gt;=Inputs!$C$114,H702="Y"),1,0))</f>
        <v/>
      </c>
      <c r="M702">
        <f>IF(L702=1,IF(COUNTIFS(C$5:C702,C702,L$5:L702,1)=1,1,0),0)</f>
        <v/>
      </c>
      <c r="N702">
        <f>IF(C702="",0,IF(AND(B702="office",E702="budget_probe",N(F702)&gt;=Inputs!$C$129),1,0))</f>
        <v/>
      </c>
      <c r="O702">
        <f>IF(N702=1,IF(COUNTIFS(C$5:C702,C702,N$5:N702,1)=1,1,0),0)</f>
        <v/>
      </c>
      <c r="P702">
        <f>IF(C702="",0,IF(AND(B702="brand",E702="renewal_answer",N(F702)&gt;=Inputs!$C$125),1,0))</f>
        <v/>
      </c>
      <c r="Q702">
        <f>IF(AND(B702="office",E702="budget_probe",ISNUMBER(F702)),F702,"")</f>
        <v/>
      </c>
      <c r="R702">
        <f>IF(AND(B702="brand",E702="budget_probe",ISNUMBER(F702)),F702,"")</f>
        <v/>
      </c>
    </row>
    <row r="703">
      <c r="A703" s="91" t="n"/>
      <c r="B703" s="92" t="n"/>
      <c r="C703" s="92" t="n"/>
      <c r="D703" s="92" t="n"/>
      <c r="E703" s="92" t="n"/>
      <c r="F703" s="92" t="n"/>
      <c r="G703" s="92" t="n"/>
      <c r="H703" s="92" t="n"/>
      <c r="I703" s="92" t="n"/>
      <c r="K703">
        <f>IF(C703="","",IF(COUNTIFS(C$5:C703,C703,E$5:E703,E703)=1,1,0))</f>
        <v/>
      </c>
      <c r="L703">
        <f>IF(C703="",0,IF(AND(B703="brand",E703="budget_probe",N(F703)&gt;=Inputs!$C$114,H703="Y"),1,0))</f>
        <v/>
      </c>
      <c r="M703">
        <f>IF(L703=1,IF(COUNTIFS(C$5:C703,C703,L$5:L703,1)=1,1,0),0)</f>
        <v/>
      </c>
      <c r="N703">
        <f>IF(C703="",0,IF(AND(B703="office",E703="budget_probe",N(F703)&gt;=Inputs!$C$129),1,0))</f>
        <v/>
      </c>
      <c r="O703">
        <f>IF(N703=1,IF(COUNTIFS(C$5:C703,C703,N$5:N703,1)=1,1,0),0)</f>
        <v/>
      </c>
      <c r="P703">
        <f>IF(C703="",0,IF(AND(B703="brand",E703="renewal_answer",N(F703)&gt;=Inputs!$C$125),1,0))</f>
        <v/>
      </c>
      <c r="Q703">
        <f>IF(AND(B703="office",E703="budget_probe",ISNUMBER(F703)),F703,"")</f>
        <v/>
      </c>
      <c r="R703">
        <f>IF(AND(B703="brand",E703="budget_probe",ISNUMBER(F703)),F703,"")</f>
        <v/>
      </c>
    </row>
    <row r="704">
      <c r="A704" s="91" t="n"/>
      <c r="B704" s="92" t="n"/>
      <c r="C704" s="92" t="n"/>
      <c r="D704" s="92" t="n"/>
      <c r="E704" s="92" t="n"/>
      <c r="F704" s="92" t="n"/>
      <c r="G704" s="92" t="n"/>
      <c r="H704" s="92" t="n"/>
      <c r="I704" s="92" t="n"/>
      <c r="K704">
        <f>IF(C704="","",IF(COUNTIFS(C$5:C704,C704,E$5:E704,E704)=1,1,0))</f>
        <v/>
      </c>
      <c r="L704">
        <f>IF(C704="",0,IF(AND(B704="brand",E704="budget_probe",N(F704)&gt;=Inputs!$C$114,H704="Y"),1,0))</f>
        <v/>
      </c>
      <c r="M704">
        <f>IF(L704=1,IF(COUNTIFS(C$5:C704,C704,L$5:L704,1)=1,1,0),0)</f>
        <v/>
      </c>
      <c r="N704">
        <f>IF(C704="",0,IF(AND(B704="office",E704="budget_probe",N(F704)&gt;=Inputs!$C$129),1,0))</f>
        <v/>
      </c>
      <c r="O704">
        <f>IF(N704=1,IF(COUNTIFS(C$5:C704,C704,N$5:N704,1)=1,1,0),0)</f>
        <v/>
      </c>
      <c r="P704">
        <f>IF(C704="",0,IF(AND(B704="brand",E704="renewal_answer",N(F704)&gt;=Inputs!$C$125),1,0))</f>
        <v/>
      </c>
      <c r="Q704">
        <f>IF(AND(B704="office",E704="budget_probe",ISNUMBER(F704)),F704,"")</f>
        <v/>
      </c>
      <c r="R704">
        <f>IF(AND(B704="brand",E704="budget_probe",ISNUMBER(F704)),F704,"")</f>
        <v/>
      </c>
    </row>
    <row r="705">
      <c r="A705" s="91" t="n"/>
      <c r="B705" s="92" t="n"/>
      <c r="C705" s="92" t="n"/>
      <c r="D705" s="92" t="n"/>
      <c r="E705" s="92" t="n"/>
      <c r="F705" s="92" t="n"/>
      <c r="G705" s="92" t="n"/>
      <c r="H705" s="92" t="n"/>
      <c r="I705" s="92" t="n"/>
      <c r="K705">
        <f>IF(C705="","",IF(COUNTIFS(C$5:C705,C705,E$5:E705,E705)=1,1,0))</f>
        <v/>
      </c>
      <c r="L705">
        <f>IF(C705="",0,IF(AND(B705="brand",E705="budget_probe",N(F705)&gt;=Inputs!$C$114,H705="Y"),1,0))</f>
        <v/>
      </c>
      <c r="M705">
        <f>IF(L705=1,IF(COUNTIFS(C$5:C705,C705,L$5:L705,1)=1,1,0),0)</f>
        <v/>
      </c>
      <c r="N705">
        <f>IF(C705="",0,IF(AND(B705="office",E705="budget_probe",N(F705)&gt;=Inputs!$C$129),1,0))</f>
        <v/>
      </c>
      <c r="O705">
        <f>IF(N705=1,IF(COUNTIFS(C$5:C705,C705,N$5:N705,1)=1,1,0),0)</f>
        <v/>
      </c>
      <c r="P705">
        <f>IF(C705="",0,IF(AND(B705="brand",E705="renewal_answer",N(F705)&gt;=Inputs!$C$125),1,0))</f>
        <v/>
      </c>
      <c r="Q705">
        <f>IF(AND(B705="office",E705="budget_probe",ISNUMBER(F705)),F705,"")</f>
        <v/>
      </c>
      <c r="R705">
        <f>IF(AND(B705="brand",E705="budget_probe",ISNUMBER(F705)),F705,"")</f>
        <v/>
      </c>
    </row>
    <row r="706">
      <c r="A706" s="91" t="n"/>
      <c r="B706" s="92" t="n"/>
      <c r="C706" s="92" t="n"/>
      <c r="D706" s="92" t="n"/>
      <c r="E706" s="92" t="n"/>
      <c r="F706" s="92" t="n"/>
      <c r="G706" s="92" t="n"/>
      <c r="H706" s="92" t="n"/>
      <c r="I706" s="92" t="n"/>
      <c r="K706">
        <f>IF(C706="","",IF(COUNTIFS(C$5:C706,C706,E$5:E706,E706)=1,1,0))</f>
        <v/>
      </c>
      <c r="L706">
        <f>IF(C706="",0,IF(AND(B706="brand",E706="budget_probe",N(F706)&gt;=Inputs!$C$114,H706="Y"),1,0))</f>
        <v/>
      </c>
      <c r="M706">
        <f>IF(L706=1,IF(COUNTIFS(C$5:C706,C706,L$5:L706,1)=1,1,0),0)</f>
        <v/>
      </c>
      <c r="N706">
        <f>IF(C706="",0,IF(AND(B706="office",E706="budget_probe",N(F706)&gt;=Inputs!$C$129),1,0))</f>
        <v/>
      </c>
      <c r="O706">
        <f>IF(N706=1,IF(COUNTIFS(C$5:C706,C706,N$5:N706,1)=1,1,0),0)</f>
        <v/>
      </c>
      <c r="P706">
        <f>IF(C706="",0,IF(AND(B706="brand",E706="renewal_answer",N(F706)&gt;=Inputs!$C$125),1,0))</f>
        <v/>
      </c>
      <c r="Q706">
        <f>IF(AND(B706="office",E706="budget_probe",ISNUMBER(F706)),F706,"")</f>
        <v/>
      </c>
      <c r="R706">
        <f>IF(AND(B706="brand",E706="budget_probe",ISNUMBER(F706)),F706,"")</f>
        <v/>
      </c>
    </row>
    <row r="707">
      <c r="A707" s="91" t="n"/>
      <c r="B707" s="92" t="n"/>
      <c r="C707" s="92" t="n"/>
      <c r="D707" s="92" t="n"/>
      <c r="E707" s="92" t="n"/>
      <c r="F707" s="92" t="n"/>
      <c r="G707" s="92" t="n"/>
      <c r="H707" s="92" t="n"/>
      <c r="I707" s="92" t="n"/>
      <c r="K707">
        <f>IF(C707="","",IF(COUNTIFS(C$5:C707,C707,E$5:E707,E707)=1,1,0))</f>
        <v/>
      </c>
      <c r="L707">
        <f>IF(C707="",0,IF(AND(B707="brand",E707="budget_probe",N(F707)&gt;=Inputs!$C$114,H707="Y"),1,0))</f>
        <v/>
      </c>
      <c r="M707">
        <f>IF(L707=1,IF(COUNTIFS(C$5:C707,C707,L$5:L707,1)=1,1,0),0)</f>
        <v/>
      </c>
      <c r="N707">
        <f>IF(C707="",0,IF(AND(B707="office",E707="budget_probe",N(F707)&gt;=Inputs!$C$129),1,0))</f>
        <v/>
      </c>
      <c r="O707">
        <f>IF(N707=1,IF(COUNTIFS(C$5:C707,C707,N$5:N707,1)=1,1,0),0)</f>
        <v/>
      </c>
      <c r="P707">
        <f>IF(C707="",0,IF(AND(B707="brand",E707="renewal_answer",N(F707)&gt;=Inputs!$C$125),1,0))</f>
        <v/>
      </c>
      <c r="Q707">
        <f>IF(AND(B707="office",E707="budget_probe",ISNUMBER(F707)),F707,"")</f>
        <v/>
      </c>
      <c r="R707">
        <f>IF(AND(B707="brand",E707="budget_probe",ISNUMBER(F707)),F707,"")</f>
        <v/>
      </c>
    </row>
    <row r="708">
      <c r="A708" s="91" t="n"/>
      <c r="B708" s="92" t="n"/>
      <c r="C708" s="92" t="n"/>
      <c r="D708" s="92" t="n"/>
      <c r="E708" s="92" t="n"/>
      <c r="F708" s="92" t="n"/>
      <c r="G708" s="92" t="n"/>
      <c r="H708" s="92" t="n"/>
      <c r="I708" s="92" t="n"/>
      <c r="K708">
        <f>IF(C708="","",IF(COUNTIFS(C$5:C708,C708,E$5:E708,E708)=1,1,0))</f>
        <v/>
      </c>
      <c r="L708">
        <f>IF(C708="",0,IF(AND(B708="brand",E708="budget_probe",N(F708)&gt;=Inputs!$C$114,H708="Y"),1,0))</f>
        <v/>
      </c>
      <c r="M708">
        <f>IF(L708=1,IF(COUNTIFS(C$5:C708,C708,L$5:L708,1)=1,1,0),0)</f>
        <v/>
      </c>
      <c r="N708">
        <f>IF(C708="",0,IF(AND(B708="office",E708="budget_probe",N(F708)&gt;=Inputs!$C$129),1,0))</f>
        <v/>
      </c>
      <c r="O708">
        <f>IF(N708=1,IF(COUNTIFS(C$5:C708,C708,N$5:N708,1)=1,1,0),0)</f>
        <v/>
      </c>
      <c r="P708">
        <f>IF(C708="",0,IF(AND(B708="brand",E708="renewal_answer",N(F708)&gt;=Inputs!$C$125),1,0))</f>
        <v/>
      </c>
      <c r="Q708">
        <f>IF(AND(B708="office",E708="budget_probe",ISNUMBER(F708)),F708,"")</f>
        <v/>
      </c>
      <c r="R708">
        <f>IF(AND(B708="brand",E708="budget_probe",ISNUMBER(F708)),F708,"")</f>
        <v/>
      </c>
    </row>
    <row r="709">
      <c r="A709" s="91" t="n"/>
      <c r="B709" s="92" t="n"/>
      <c r="C709" s="92" t="n"/>
      <c r="D709" s="92" t="n"/>
      <c r="E709" s="92" t="n"/>
      <c r="F709" s="92" t="n"/>
      <c r="G709" s="92" t="n"/>
      <c r="H709" s="92" t="n"/>
      <c r="I709" s="92" t="n"/>
      <c r="K709">
        <f>IF(C709="","",IF(COUNTIFS(C$5:C709,C709,E$5:E709,E709)=1,1,0))</f>
        <v/>
      </c>
      <c r="L709">
        <f>IF(C709="",0,IF(AND(B709="brand",E709="budget_probe",N(F709)&gt;=Inputs!$C$114,H709="Y"),1,0))</f>
        <v/>
      </c>
      <c r="M709">
        <f>IF(L709=1,IF(COUNTIFS(C$5:C709,C709,L$5:L709,1)=1,1,0),0)</f>
        <v/>
      </c>
      <c r="N709">
        <f>IF(C709="",0,IF(AND(B709="office",E709="budget_probe",N(F709)&gt;=Inputs!$C$129),1,0))</f>
        <v/>
      </c>
      <c r="O709">
        <f>IF(N709=1,IF(COUNTIFS(C$5:C709,C709,N$5:N709,1)=1,1,0),0)</f>
        <v/>
      </c>
      <c r="P709">
        <f>IF(C709="",0,IF(AND(B709="brand",E709="renewal_answer",N(F709)&gt;=Inputs!$C$125),1,0))</f>
        <v/>
      </c>
      <c r="Q709">
        <f>IF(AND(B709="office",E709="budget_probe",ISNUMBER(F709)),F709,"")</f>
        <v/>
      </c>
      <c r="R709">
        <f>IF(AND(B709="brand",E709="budget_probe",ISNUMBER(F709)),F709,"")</f>
        <v/>
      </c>
    </row>
    <row r="710">
      <c r="A710" s="91" t="n"/>
      <c r="B710" s="92" t="n"/>
      <c r="C710" s="92" t="n"/>
      <c r="D710" s="92" t="n"/>
      <c r="E710" s="92" t="n"/>
      <c r="F710" s="92" t="n"/>
      <c r="G710" s="92" t="n"/>
      <c r="H710" s="92" t="n"/>
      <c r="I710" s="92" t="n"/>
      <c r="K710">
        <f>IF(C710="","",IF(COUNTIFS(C$5:C710,C710,E$5:E710,E710)=1,1,0))</f>
        <v/>
      </c>
      <c r="L710">
        <f>IF(C710="",0,IF(AND(B710="brand",E710="budget_probe",N(F710)&gt;=Inputs!$C$114,H710="Y"),1,0))</f>
        <v/>
      </c>
      <c r="M710">
        <f>IF(L710=1,IF(COUNTIFS(C$5:C710,C710,L$5:L710,1)=1,1,0),0)</f>
        <v/>
      </c>
      <c r="N710">
        <f>IF(C710="",0,IF(AND(B710="office",E710="budget_probe",N(F710)&gt;=Inputs!$C$129),1,0))</f>
        <v/>
      </c>
      <c r="O710">
        <f>IF(N710=1,IF(COUNTIFS(C$5:C710,C710,N$5:N710,1)=1,1,0),0)</f>
        <v/>
      </c>
      <c r="P710">
        <f>IF(C710="",0,IF(AND(B710="brand",E710="renewal_answer",N(F710)&gt;=Inputs!$C$125),1,0))</f>
        <v/>
      </c>
      <c r="Q710">
        <f>IF(AND(B710="office",E710="budget_probe",ISNUMBER(F710)),F710,"")</f>
        <v/>
      </c>
      <c r="R710">
        <f>IF(AND(B710="brand",E710="budget_probe",ISNUMBER(F710)),F710,"")</f>
        <v/>
      </c>
    </row>
    <row r="711">
      <c r="A711" s="91" t="n"/>
      <c r="B711" s="92" t="n"/>
      <c r="C711" s="92" t="n"/>
      <c r="D711" s="92" t="n"/>
      <c r="E711" s="92" t="n"/>
      <c r="F711" s="92" t="n"/>
      <c r="G711" s="92" t="n"/>
      <c r="H711" s="92" t="n"/>
      <c r="I711" s="92" t="n"/>
      <c r="K711">
        <f>IF(C711="","",IF(COUNTIFS(C$5:C711,C711,E$5:E711,E711)=1,1,0))</f>
        <v/>
      </c>
      <c r="L711">
        <f>IF(C711="",0,IF(AND(B711="brand",E711="budget_probe",N(F711)&gt;=Inputs!$C$114,H711="Y"),1,0))</f>
        <v/>
      </c>
      <c r="M711">
        <f>IF(L711=1,IF(COUNTIFS(C$5:C711,C711,L$5:L711,1)=1,1,0),0)</f>
        <v/>
      </c>
      <c r="N711">
        <f>IF(C711="",0,IF(AND(B711="office",E711="budget_probe",N(F711)&gt;=Inputs!$C$129),1,0))</f>
        <v/>
      </c>
      <c r="O711">
        <f>IF(N711=1,IF(COUNTIFS(C$5:C711,C711,N$5:N711,1)=1,1,0),0)</f>
        <v/>
      </c>
      <c r="P711">
        <f>IF(C711="",0,IF(AND(B711="brand",E711="renewal_answer",N(F711)&gt;=Inputs!$C$125),1,0))</f>
        <v/>
      </c>
      <c r="Q711">
        <f>IF(AND(B711="office",E711="budget_probe",ISNUMBER(F711)),F711,"")</f>
        <v/>
      </c>
      <c r="R711">
        <f>IF(AND(B711="brand",E711="budget_probe",ISNUMBER(F711)),F711,"")</f>
        <v/>
      </c>
    </row>
    <row r="712">
      <c r="A712" s="91" t="n"/>
      <c r="B712" s="92" t="n"/>
      <c r="C712" s="92" t="n"/>
      <c r="D712" s="92" t="n"/>
      <c r="E712" s="92" t="n"/>
      <c r="F712" s="92" t="n"/>
      <c r="G712" s="92" t="n"/>
      <c r="H712" s="92" t="n"/>
      <c r="I712" s="92" t="n"/>
      <c r="K712">
        <f>IF(C712="","",IF(COUNTIFS(C$5:C712,C712,E$5:E712,E712)=1,1,0))</f>
        <v/>
      </c>
      <c r="L712">
        <f>IF(C712="",0,IF(AND(B712="brand",E712="budget_probe",N(F712)&gt;=Inputs!$C$114,H712="Y"),1,0))</f>
        <v/>
      </c>
      <c r="M712">
        <f>IF(L712=1,IF(COUNTIFS(C$5:C712,C712,L$5:L712,1)=1,1,0),0)</f>
        <v/>
      </c>
      <c r="N712">
        <f>IF(C712="",0,IF(AND(B712="office",E712="budget_probe",N(F712)&gt;=Inputs!$C$129),1,0))</f>
        <v/>
      </c>
      <c r="O712">
        <f>IF(N712=1,IF(COUNTIFS(C$5:C712,C712,N$5:N712,1)=1,1,0),0)</f>
        <v/>
      </c>
      <c r="P712">
        <f>IF(C712="",0,IF(AND(B712="brand",E712="renewal_answer",N(F712)&gt;=Inputs!$C$125),1,0))</f>
        <v/>
      </c>
      <c r="Q712">
        <f>IF(AND(B712="office",E712="budget_probe",ISNUMBER(F712)),F712,"")</f>
        <v/>
      </c>
      <c r="R712">
        <f>IF(AND(B712="brand",E712="budget_probe",ISNUMBER(F712)),F712,"")</f>
        <v/>
      </c>
    </row>
    <row r="713">
      <c r="A713" s="91" t="n"/>
      <c r="B713" s="92" t="n"/>
      <c r="C713" s="92" t="n"/>
      <c r="D713" s="92" t="n"/>
      <c r="E713" s="92" t="n"/>
      <c r="F713" s="92" t="n"/>
      <c r="G713" s="92" t="n"/>
      <c r="H713" s="92" t="n"/>
      <c r="I713" s="92" t="n"/>
      <c r="K713">
        <f>IF(C713="","",IF(COUNTIFS(C$5:C713,C713,E$5:E713,E713)=1,1,0))</f>
        <v/>
      </c>
      <c r="L713">
        <f>IF(C713="",0,IF(AND(B713="brand",E713="budget_probe",N(F713)&gt;=Inputs!$C$114,H713="Y"),1,0))</f>
        <v/>
      </c>
      <c r="M713">
        <f>IF(L713=1,IF(COUNTIFS(C$5:C713,C713,L$5:L713,1)=1,1,0),0)</f>
        <v/>
      </c>
      <c r="N713">
        <f>IF(C713="",0,IF(AND(B713="office",E713="budget_probe",N(F713)&gt;=Inputs!$C$129),1,0))</f>
        <v/>
      </c>
      <c r="O713">
        <f>IF(N713=1,IF(COUNTIFS(C$5:C713,C713,N$5:N713,1)=1,1,0),0)</f>
        <v/>
      </c>
      <c r="P713">
        <f>IF(C713="",0,IF(AND(B713="brand",E713="renewal_answer",N(F713)&gt;=Inputs!$C$125),1,0))</f>
        <v/>
      </c>
      <c r="Q713">
        <f>IF(AND(B713="office",E713="budget_probe",ISNUMBER(F713)),F713,"")</f>
        <v/>
      </c>
      <c r="R713">
        <f>IF(AND(B713="brand",E713="budget_probe",ISNUMBER(F713)),F713,"")</f>
        <v/>
      </c>
    </row>
    <row r="714">
      <c r="A714" s="91" t="n"/>
      <c r="B714" s="92" t="n"/>
      <c r="C714" s="92" t="n"/>
      <c r="D714" s="92" t="n"/>
      <c r="E714" s="92" t="n"/>
      <c r="F714" s="92" t="n"/>
      <c r="G714" s="92" t="n"/>
      <c r="H714" s="92" t="n"/>
      <c r="I714" s="92" t="n"/>
      <c r="K714">
        <f>IF(C714="","",IF(COUNTIFS(C$5:C714,C714,E$5:E714,E714)=1,1,0))</f>
        <v/>
      </c>
      <c r="L714">
        <f>IF(C714="",0,IF(AND(B714="brand",E714="budget_probe",N(F714)&gt;=Inputs!$C$114,H714="Y"),1,0))</f>
        <v/>
      </c>
      <c r="M714">
        <f>IF(L714=1,IF(COUNTIFS(C$5:C714,C714,L$5:L714,1)=1,1,0),0)</f>
        <v/>
      </c>
      <c r="N714">
        <f>IF(C714="",0,IF(AND(B714="office",E714="budget_probe",N(F714)&gt;=Inputs!$C$129),1,0))</f>
        <v/>
      </c>
      <c r="O714">
        <f>IF(N714=1,IF(COUNTIFS(C$5:C714,C714,N$5:N714,1)=1,1,0),0)</f>
        <v/>
      </c>
      <c r="P714">
        <f>IF(C714="",0,IF(AND(B714="brand",E714="renewal_answer",N(F714)&gt;=Inputs!$C$125),1,0))</f>
        <v/>
      </c>
      <c r="Q714">
        <f>IF(AND(B714="office",E714="budget_probe",ISNUMBER(F714)),F714,"")</f>
        <v/>
      </c>
      <c r="R714">
        <f>IF(AND(B714="brand",E714="budget_probe",ISNUMBER(F714)),F714,"")</f>
        <v/>
      </c>
    </row>
    <row r="715">
      <c r="A715" s="91" t="n"/>
      <c r="B715" s="92" t="n"/>
      <c r="C715" s="92" t="n"/>
      <c r="D715" s="92" t="n"/>
      <c r="E715" s="92" t="n"/>
      <c r="F715" s="92" t="n"/>
      <c r="G715" s="92" t="n"/>
      <c r="H715" s="92" t="n"/>
      <c r="I715" s="92" t="n"/>
      <c r="K715">
        <f>IF(C715="","",IF(COUNTIFS(C$5:C715,C715,E$5:E715,E715)=1,1,0))</f>
        <v/>
      </c>
      <c r="L715">
        <f>IF(C715="",0,IF(AND(B715="brand",E715="budget_probe",N(F715)&gt;=Inputs!$C$114,H715="Y"),1,0))</f>
        <v/>
      </c>
      <c r="M715">
        <f>IF(L715=1,IF(COUNTIFS(C$5:C715,C715,L$5:L715,1)=1,1,0),0)</f>
        <v/>
      </c>
      <c r="N715">
        <f>IF(C715="",0,IF(AND(B715="office",E715="budget_probe",N(F715)&gt;=Inputs!$C$129),1,0))</f>
        <v/>
      </c>
      <c r="O715">
        <f>IF(N715=1,IF(COUNTIFS(C$5:C715,C715,N$5:N715,1)=1,1,0),0)</f>
        <v/>
      </c>
      <c r="P715">
        <f>IF(C715="",0,IF(AND(B715="brand",E715="renewal_answer",N(F715)&gt;=Inputs!$C$125),1,0))</f>
        <v/>
      </c>
      <c r="Q715">
        <f>IF(AND(B715="office",E715="budget_probe",ISNUMBER(F715)),F715,"")</f>
        <v/>
      </c>
      <c r="R715">
        <f>IF(AND(B715="brand",E715="budget_probe",ISNUMBER(F715)),F715,"")</f>
        <v/>
      </c>
    </row>
    <row r="716">
      <c r="A716" s="91" t="n"/>
      <c r="B716" s="92" t="n"/>
      <c r="C716" s="92" t="n"/>
      <c r="D716" s="92" t="n"/>
      <c r="E716" s="92" t="n"/>
      <c r="F716" s="92" t="n"/>
      <c r="G716" s="92" t="n"/>
      <c r="H716" s="92" t="n"/>
      <c r="I716" s="92" t="n"/>
      <c r="K716">
        <f>IF(C716="","",IF(COUNTIFS(C$5:C716,C716,E$5:E716,E716)=1,1,0))</f>
        <v/>
      </c>
      <c r="L716">
        <f>IF(C716="",0,IF(AND(B716="brand",E716="budget_probe",N(F716)&gt;=Inputs!$C$114,H716="Y"),1,0))</f>
        <v/>
      </c>
      <c r="M716">
        <f>IF(L716=1,IF(COUNTIFS(C$5:C716,C716,L$5:L716,1)=1,1,0),0)</f>
        <v/>
      </c>
      <c r="N716">
        <f>IF(C716="",0,IF(AND(B716="office",E716="budget_probe",N(F716)&gt;=Inputs!$C$129),1,0))</f>
        <v/>
      </c>
      <c r="O716">
        <f>IF(N716=1,IF(COUNTIFS(C$5:C716,C716,N$5:N716,1)=1,1,0),0)</f>
        <v/>
      </c>
      <c r="P716">
        <f>IF(C716="",0,IF(AND(B716="brand",E716="renewal_answer",N(F716)&gt;=Inputs!$C$125),1,0))</f>
        <v/>
      </c>
      <c r="Q716">
        <f>IF(AND(B716="office",E716="budget_probe",ISNUMBER(F716)),F716,"")</f>
        <v/>
      </c>
      <c r="R716">
        <f>IF(AND(B716="brand",E716="budget_probe",ISNUMBER(F716)),F716,"")</f>
        <v/>
      </c>
    </row>
    <row r="717">
      <c r="A717" s="91" t="n"/>
      <c r="B717" s="92" t="n"/>
      <c r="C717" s="92" t="n"/>
      <c r="D717" s="92" t="n"/>
      <c r="E717" s="92" t="n"/>
      <c r="F717" s="92" t="n"/>
      <c r="G717" s="92" t="n"/>
      <c r="H717" s="92" t="n"/>
      <c r="I717" s="92" t="n"/>
      <c r="K717">
        <f>IF(C717="","",IF(COUNTIFS(C$5:C717,C717,E$5:E717,E717)=1,1,0))</f>
        <v/>
      </c>
      <c r="L717">
        <f>IF(C717="",0,IF(AND(B717="brand",E717="budget_probe",N(F717)&gt;=Inputs!$C$114,H717="Y"),1,0))</f>
        <v/>
      </c>
      <c r="M717">
        <f>IF(L717=1,IF(COUNTIFS(C$5:C717,C717,L$5:L717,1)=1,1,0),0)</f>
        <v/>
      </c>
      <c r="N717">
        <f>IF(C717="",0,IF(AND(B717="office",E717="budget_probe",N(F717)&gt;=Inputs!$C$129),1,0))</f>
        <v/>
      </c>
      <c r="O717">
        <f>IF(N717=1,IF(COUNTIFS(C$5:C717,C717,N$5:N717,1)=1,1,0),0)</f>
        <v/>
      </c>
      <c r="P717">
        <f>IF(C717="",0,IF(AND(B717="brand",E717="renewal_answer",N(F717)&gt;=Inputs!$C$125),1,0))</f>
        <v/>
      </c>
      <c r="Q717">
        <f>IF(AND(B717="office",E717="budget_probe",ISNUMBER(F717)),F717,"")</f>
        <v/>
      </c>
      <c r="R717">
        <f>IF(AND(B717="brand",E717="budget_probe",ISNUMBER(F717)),F717,"")</f>
        <v/>
      </c>
    </row>
    <row r="718">
      <c r="A718" s="91" t="n"/>
      <c r="B718" s="92" t="n"/>
      <c r="C718" s="92" t="n"/>
      <c r="D718" s="92" t="n"/>
      <c r="E718" s="92" t="n"/>
      <c r="F718" s="92" t="n"/>
      <c r="G718" s="92" t="n"/>
      <c r="H718" s="92" t="n"/>
      <c r="I718" s="92" t="n"/>
      <c r="K718">
        <f>IF(C718="","",IF(COUNTIFS(C$5:C718,C718,E$5:E718,E718)=1,1,0))</f>
        <v/>
      </c>
      <c r="L718">
        <f>IF(C718="",0,IF(AND(B718="brand",E718="budget_probe",N(F718)&gt;=Inputs!$C$114,H718="Y"),1,0))</f>
        <v/>
      </c>
      <c r="M718">
        <f>IF(L718=1,IF(COUNTIFS(C$5:C718,C718,L$5:L718,1)=1,1,0),0)</f>
        <v/>
      </c>
      <c r="N718">
        <f>IF(C718="",0,IF(AND(B718="office",E718="budget_probe",N(F718)&gt;=Inputs!$C$129),1,0))</f>
        <v/>
      </c>
      <c r="O718">
        <f>IF(N718=1,IF(COUNTIFS(C$5:C718,C718,N$5:N718,1)=1,1,0),0)</f>
        <v/>
      </c>
      <c r="P718">
        <f>IF(C718="",0,IF(AND(B718="brand",E718="renewal_answer",N(F718)&gt;=Inputs!$C$125),1,0))</f>
        <v/>
      </c>
      <c r="Q718">
        <f>IF(AND(B718="office",E718="budget_probe",ISNUMBER(F718)),F718,"")</f>
        <v/>
      </c>
      <c r="R718">
        <f>IF(AND(B718="brand",E718="budget_probe",ISNUMBER(F718)),F718,"")</f>
        <v/>
      </c>
    </row>
    <row r="719">
      <c r="A719" s="91" t="n"/>
      <c r="B719" s="92" t="n"/>
      <c r="C719" s="92" t="n"/>
      <c r="D719" s="92" t="n"/>
      <c r="E719" s="92" t="n"/>
      <c r="F719" s="92" t="n"/>
      <c r="G719" s="92" t="n"/>
      <c r="H719" s="92" t="n"/>
      <c r="I719" s="92" t="n"/>
      <c r="K719">
        <f>IF(C719="","",IF(COUNTIFS(C$5:C719,C719,E$5:E719,E719)=1,1,0))</f>
        <v/>
      </c>
      <c r="L719">
        <f>IF(C719="",0,IF(AND(B719="brand",E719="budget_probe",N(F719)&gt;=Inputs!$C$114,H719="Y"),1,0))</f>
        <v/>
      </c>
      <c r="M719">
        <f>IF(L719=1,IF(COUNTIFS(C$5:C719,C719,L$5:L719,1)=1,1,0),0)</f>
        <v/>
      </c>
      <c r="N719">
        <f>IF(C719="",0,IF(AND(B719="office",E719="budget_probe",N(F719)&gt;=Inputs!$C$129),1,0))</f>
        <v/>
      </c>
      <c r="O719">
        <f>IF(N719=1,IF(COUNTIFS(C$5:C719,C719,N$5:N719,1)=1,1,0),0)</f>
        <v/>
      </c>
      <c r="P719">
        <f>IF(C719="",0,IF(AND(B719="brand",E719="renewal_answer",N(F719)&gt;=Inputs!$C$125),1,0))</f>
        <v/>
      </c>
      <c r="Q719">
        <f>IF(AND(B719="office",E719="budget_probe",ISNUMBER(F719)),F719,"")</f>
        <v/>
      </c>
      <c r="R719">
        <f>IF(AND(B719="brand",E719="budget_probe",ISNUMBER(F719)),F719,"")</f>
        <v/>
      </c>
    </row>
    <row r="720">
      <c r="A720" s="91" t="n"/>
      <c r="B720" s="92" t="n"/>
      <c r="C720" s="92" t="n"/>
      <c r="D720" s="92" t="n"/>
      <c r="E720" s="92" t="n"/>
      <c r="F720" s="92" t="n"/>
      <c r="G720" s="92" t="n"/>
      <c r="H720" s="92" t="n"/>
      <c r="I720" s="92" t="n"/>
      <c r="K720">
        <f>IF(C720="","",IF(COUNTIFS(C$5:C720,C720,E$5:E720,E720)=1,1,0))</f>
        <v/>
      </c>
      <c r="L720">
        <f>IF(C720="",0,IF(AND(B720="brand",E720="budget_probe",N(F720)&gt;=Inputs!$C$114,H720="Y"),1,0))</f>
        <v/>
      </c>
      <c r="M720">
        <f>IF(L720=1,IF(COUNTIFS(C$5:C720,C720,L$5:L720,1)=1,1,0),0)</f>
        <v/>
      </c>
      <c r="N720">
        <f>IF(C720="",0,IF(AND(B720="office",E720="budget_probe",N(F720)&gt;=Inputs!$C$129),1,0))</f>
        <v/>
      </c>
      <c r="O720">
        <f>IF(N720=1,IF(COUNTIFS(C$5:C720,C720,N$5:N720,1)=1,1,0),0)</f>
        <v/>
      </c>
      <c r="P720">
        <f>IF(C720="",0,IF(AND(B720="brand",E720="renewal_answer",N(F720)&gt;=Inputs!$C$125),1,0))</f>
        <v/>
      </c>
      <c r="Q720">
        <f>IF(AND(B720="office",E720="budget_probe",ISNUMBER(F720)),F720,"")</f>
        <v/>
      </c>
      <c r="R720">
        <f>IF(AND(B720="brand",E720="budget_probe",ISNUMBER(F720)),F720,"")</f>
        <v/>
      </c>
    </row>
    <row r="721">
      <c r="A721" s="91" t="n"/>
      <c r="B721" s="92" t="n"/>
      <c r="C721" s="92" t="n"/>
      <c r="D721" s="92" t="n"/>
      <c r="E721" s="92" t="n"/>
      <c r="F721" s="92" t="n"/>
      <c r="G721" s="92" t="n"/>
      <c r="H721" s="92" t="n"/>
      <c r="I721" s="92" t="n"/>
      <c r="K721">
        <f>IF(C721="","",IF(COUNTIFS(C$5:C721,C721,E$5:E721,E721)=1,1,0))</f>
        <v/>
      </c>
      <c r="L721">
        <f>IF(C721="",0,IF(AND(B721="brand",E721="budget_probe",N(F721)&gt;=Inputs!$C$114,H721="Y"),1,0))</f>
        <v/>
      </c>
      <c r="M721">
        <f>IF(L721=1,IF(COUNTIFS(C$5:C721,C721,L$5:L721,1)=1,1,0),0)</f>
        <v/>
      </c>
      <c r="N721">
        <f>IF(C721="",0,IF(AND(B721="office",E721="budget_probe",N(F721)&gt;=Inputs!$C$129),1,0))</f>
        <v/>
      </c>
      <c r="O721">
        <f>IF(N721=1,IF(COUNTIFS(C$5:C721,C721,N$5:N721,1)=1,1,0),0)</f>
        <v/>
      </c>
      <c r="P721">
        <f>IF(C721="",0,IF(AND(B721="brand",E721="renewal_answer",N(F721)&gt;=Inputs!$C$125),1,0))</f>
        <v/>
      </c>
      <c r="Q721">
        <f>IF(AND(B721="office",E721="budget_probe",ISNUMBER(F721)),F721,"")</f>
        <v/>
      </c>
      <c r="R721">
        <f>IF(AND(B721="brand",E721="budget_probe",ISNUMBER(F721)),F721,"")</f>
        <v/>
      </c>
    </row>
    <row r="722">
      <c r="A722" s="91" t="n"/>
      <c r="B722" s="92" t="n"/>
      <c r="C722" s="92" t="n"/>
      <c r="D722" s="92" t="n"/>
      <c r="E722" s="92" t="n"/>
      <c r="F722" s="92" t="n"/>
      <c r="G722" s="92" t="n"/>
      <c r="H722" s="92" t="n"/>
      <c r="I722" s="92" t="n"/>
      <c r="K722">
        <f>IF(C722="","",IF(COUNTIFS(C$5:C722,C722,E$5:E722,E722)=1,1,0))</f>
        <v/>
      </c>
      <c r="L722">
        <f>IF(C722="",0,IF(AND(B722="brand",E722="budget_probe",N(F722)&gt;=Inputs!$C$114,H722="Y"),1,0))</f>
        <v/>
      </c>
      <c r="M722">
        <f>IF(L722=1,IF(COUNTIFS(C$5:C722,C722,L$5:L722,1)=1,1,0),0)</f>
        <v/>
      </c>
      <c r="N722">
        <f>IF(C722="",0,IF(AND(B722="office",E722="budget_probe",N(F722)&gt;=Inputs!$C$129),1,0))</f>
        <v/>
      </c>
      <c r="O722">
        <f>IF(N722=1,IF(COUNTIFS(C$5:C722,C722,N$5:N722,1)=1,1,0),0)</f>
        <v/>
      </c>
      <c r="P722">
        <f>IF(C722="",0,IF(AND(B722="brand",E722="renewal_answer",N(F722)&gt;=Inputs!$C$125),1,0))</f>
        <v/>
      </c>
      <c r="Q722">
        <f>IF(AND(B722="office",E722="budget_probe",ISNUMBER(F722)),F722,"")</f>
        <v/>
      </c>
      <c r="R722">
        <f>IF(AND(B722="brand",E722="budget_probe",ISNUMBER(F722)),F722,"")</f>
        <v/>
      </c>
    </row>
    <row r="723">
      <c r="A723" s="91" t="n"/>
      <c r="B723" s="92" t="n"/>
      <c r="C723" s="92" t="n"/>
      <c r="D723" s="92" t="n"/>
      <c r="E723" s="92" t="n"/>
      <c r="F723" s="92" t="n"/>
      <c r="G723" s="92" t="n"/>
      <c r="H723" s="92" t="n"/>
      <c r="I723" s="92" t="n"/>
      <c r="K723">
        <f>IF(C723="","",IF(COUNTIFS(C$5:C723,C723,E$5:E723,E723)=1,1,0))</f>
        <v/>
      </c>
      <c r="L723">
        <f>IF(C723="",0,IF(AND(B723="brand",E723="budget_probe",N(F723)&gt;=Inputs!$C$114,H723="Y"),1,0))</f>
        <v/>
      </c>
      <c r="M723">
        <f>IF(L723=1,IF(COUNTIFS(C$5:C723,C723,L$5:L723,1)=1,1,0),0)</f>
        <v/>
      </c>
      <c r="N723">
        <f>IF(C723="",0,IF(AND(B723="office",E723="budget_probe",N(F723)&gt;=Inputs!$C$129),1,0))</f>
        <v/>
      </c>
      <c r="O723">
        <f>IF(N723=1,IF(COUNTIFS(C$5:C723,C723,N$5:N723,1)=1,1,0),0)</f>
        <v/>
      </c>
      <c r="P723">
        <f>IF(C723="",0,IF(AND(B723="brand",E723="renewal_answer",N(F723)&gt;=Inputs!$C$125),1,0))</f>
        <v/>
      </c>
      <c r="Q723">
        <f>IF(AND(B723="office",E723="budget_probe",ISNUMBER(F723)),F723,"")</f>
        <v/>
      </c>
      <c r="R723">
        <f>IF(AND(B723="brand",E723="budget_probe",ISNUMBER(F723)),F723,"")</f>
        <v/>
      </c>
    </row>
    <row r="724">
      <c r="A724" s="91" t="n"/>
      <c r="B724" s="92" t="n"/>
      <c r="C724" s="92" t="n"/>
      <c r="D724" s="92" t="n"/>
      <c r="E724" s="92" t="n"/>
      <c r="F724" s="92" t="n"/>
      <c r="G724" s="92" t="n"/>
      <c r="H724" s="92" t="n"/>
      <c r="I724" s="92" t="n"/>
      <c r="K724">
        <f>IF(C724="","",IF(COUNTIFS(C$5:C724,C724,E$5:E724,E724)=1,1,0))</f>
        <v/>
      </c>
      <c r="L724">
        <f>IF(C724="",0,IF(AND(B724="brand",E724="budget_probe",N(F724)&gt;=Inputs!$C$114,H724="Y"),1,0))</f>
        <v/>
      </c>
      <c r="M724">
        <f>IF(L724=1,IF(COUNTIFS(C$5:C724,C724,L$5:L724,1)=1,1,0),0)</f>
        <v/>
      </c>
      <c r="N724">
        <f>IF(C724="",0,IF(AND(B724="office",E724="budget_probe",N(F724)&gt;=Inputs!$C$129),1,0))</f>
        <v/>
      </c>
      <c r="O724">
        <f>IF(N724=1,IF(COUNTIFS(C$5:C724,C724,N$5:N724,1)=1,1,0),0)</f>
        <v/>
      </c>
      <c r="P724">
        <f>IF(C724="",0,IF(AND(B724="brand",E724="renewal_answer",N(F724)&gt;=Inputs!$C$125),1,0))</f>
        <v/>
      </c>
      <c r="Q724">
        <f>IF(AND(B724="office",E724="budget_probe",ISNUMBER(F724)),F724,"")</f>
        <v/>
      </c>
      <c r="R724">
        <f>IF(AND(B724="brand",E724="budget_probe",ISNUMBER(F724)),F724,"")</f>
        <v/>
      </c>
    </row>
    <row r="725">
      <c r="A725" s="91" t="n"/>
      <c r="B725" s="92" t="n"/>
      <c r="C725" s="92" t="n"/>
      <c r="D725" s="92" t="n"/>
      <c r="E725" s="92" t="n"/>
      <c r="F725" s="92" t="n"/>
      <c r="G725" s="92" t="n"/>
      <c r="H725" s="92" t="n"/>
      <c r="I725" s="92" t="n"/>
      <c r="K725">
        <f>IF(C725="","",IF(COUNTIFS(C$5:C725,C725,E$5:E725,E725)=1,1,0))</f>
        <v/>
      </c>
      <c r="L725">
        <f>IF(C725="",0,IF(AND(B725="brand",E725="budget_probe",N(F725)&gt;=Inputs!$C$114,H725="Y"),1,0))</f>
        <v/>
      </c>
      <c r="M725">
        <f>IF(L725=1,IF(COUNTIFS(C$5:C725,C725,L$5:L725,1)=1,1,0),0)</f>
        <v/>
      </c>
      <c r="N725">
        <f>IF(C725="",0,IF(AND(B725="office",E725="budget_probe",N(F725)&gt;=Inputs!$C$129),1,0))</f>
        <v/>
      </c>
      <c r="O725">
        <f>IF(N725=1,IF(COUNTIFS(C$5:C725,C725,N$5:N725,1)=1,1,0),0)</f>
        <v/>
      </c>
      <c r="P725">
        <f>IF(C725="",0,IF(AND(B725="brand",E725="renewal_answer",N(F725)&gt;=Inputs!$C$125),1,0))</f>
        <v/>
      </c>
      <c r="Q725">
        <f>IF(AND(B725="office",E725="budget_probe",ISNUMBER(F725)),F725,"")</f>
        <v/>
      </c>
      <c r="R725">
        <f>IF(AND(B725="brand",E725="budget_probe",ISNUMBER(F725)),F725,"")</f>
        <v/>
      </c>
    </row>
    <row r="726">
      <c r="A726" s="91" t="n"/>
      <c r="B726" s="92" t="n"/>
      <c r="C726" s="92" t="n"/>
      <c r="D726" s="92" t="n"/>
      <c r="E726" s="92" t="n"/>
      <c r="F726" s="92" t="n"/>
      <c r="G726" s="92" t="n"/>
      <c r="H726" s="92" t="n"/>
      <c r="I726" s="92" t="n"/>
      <c r="K726">
        <f>IF(C726="","",IF(COUNTIFS(C$5:C726,C726,E$5:E726,E726)=1,1,0))</f>
        <v/>
      </c>
      <c r="L726">
        <f>IF(C726="",0,IF(AND(B726="brand",E726="budget_probe",N(F726)&gt;=Inputs!$C$114,H726="Y"),1,0))</f>
        <v/>
      </c>
      <c r="M726">
        <f>IF(L726=1,IF(COUNTIFS(C$5:C726,C726,L$5:L726,1)=1,1,0),0)</f>
        <v/>
      </c>
      <c r="N726">
        <f>IF(C726="",0,IF(AND(B726="office",E726="budget_probe",N(F726)&gt;=Inputs!$C$129),1,0))</f>
        <v/>
      </c>
      <c r="O726">
        <f>IF(N726=1,IF(COUNTIFS(C$5:C726,C726,N$5:N726,1)=1,1,0),0)</f>
        <v/>
      </c>
      <c r="P726">
        <f>IF(C726="",0,IF(AND(B726="brand",E726="renewal_answer",N(F726)&gt;=Inputs!$C$125),1,0))</f>
        <v/>
      </c>
      <c r="Q726">
        <f>IF(AND(B726="office",E726="budget_probe",ISNUMBER(F726)),F726,"")</f>
        <v/>
      </c>
      <c r="R726">
        <f>IF(AND(B726="brand",E726="budget_probe",ISNUMBER(F726)),F726,"")</f>
        <v/>
      </c>
    </row>
    <row r="727">
      <c r="A727" s="91" t="n"/>
      <c r="B727" s="92" t="n"/>
      <c r="C727" s="92" t="n"/>
      <c r="D727" s="92" t="n"/>
      <c r="E727" s="92" t="n"/>
      <c r="F727" s="92" t="n"/>
      <c r="G727" s="92" t="n"/>
      <c r="H727" s="92" t="n"/>
      <c r="I727" s="92" t="n"/>
      <c r="K727">
        <f>IF(C727="","",IF(COUNTIFS(C$5:C727,C727,E$5:E727,E727)=1,1,0))</f>
        <v/>
      </c>
      <c r="L727">
        <f>IF(C727="",0,IF(AND(B727="brand",E727="budget_probe",N(F727)&gt;=Inputs!$C$114,H727="Y"),1,0))</f>
        <v/>
      </c>
      <c r="M727">
        <f>IF(L727=1,IF(COUNTIFS(C$5:C727,C727,L$5:L727,1)=1,1,0),0)</f>
        <v/>
      </c>
      <c r="N727">
        <f>IF(C727="",0,IF(AND(B727="office",E727="budget_probe",N(F727)&gt;=Inputs!$C$129),1,0))</f>
        <v/>
      </c>
      <c r="O727">
        <f>IF(N727=1,IF(COUNTIFS(C$5:C727,C727,N$5:N727,1)=1,1,0),0)</f>
        <v/>
      </c>
      <c r="P727">
        <f>IF(C727="",0,IF(AND(B727="brand",E727="renewal_answer",N(F727)&gt;=Inputs!$C$125),1,0))</f>
        <v/>
      </c>
      <c r="Q727">
        <f>IF(AND(B727="office",E727="budget_probe",ISNUMBER(F727)),F727,"")</f>
        <v/>
      </c>
      <c r="R727">
        <f>IF(AND(B727="brand",E727="budget_probe",ISNUMBER(F727)),F727,"")</f>
        <v/>
      </c>
    </row>
    <row r="728">
      <c r="A728" s="91" t="n"/>
      <c r="B728" s="92" t="n"/>
      <c r="C728" s="92" t="n"/>
      <c r="D728" s="92" t="n"/>
      <c r="E728" s="92" t="n"/>
      <c r="F728" s="92" t="n"/>
      <c r="G728" s="92" t="n"/>
      <c r="H728" s="92" t="n"/>
      <c r="I728" s="92" t="n"/>
      <c r="K728">
        <f>IF(C728="","",IF(COUNTIFS(C$5:C728,C728,E$5:E728,E728)=1,1,0))</f>
        <v/>
      </c>
      <c r="L728">
        <f>IF(C728="",0,IF(AND(B728="brand",E728="budget_probe",N(F728)&gt;=Inputs!$C$114,H728="Y"),1,0))</f>
        <v/>
      </c>
      <c r="M728">
        <f>IF(L728=1,IF(COUNTIFS(C$5:C728,C728,L$5:L728,1)=1,1,0),0)</f>
        <v/>
      </c>
      <c r="N728">
        <f>IF(C728="",0,IF(AND(B728="office",E728="budget_probe",N(F728)&gt;=Inputs!$C$129),1,0))</f>
        <v/>
      </c>
      <c r="O728">
        <f>IF(N728=1,IF(COUNTIFS(C$5:C728,C728,N$5:N728,1)=1,1,0),0)</f>
        <v/>
      </c>
      <c r="P728">
        <f>IF(C728="",0,IF(AND(B728="brand",E728="renewal_answer",N(F728)&gt;=Inputs!$C$125),1,0))</f>
        <v/>
      </c>
      <c r="Q728">
        <f>IF(AND(B728="office",E728="budget_probe",ISNUMBER(F728)),F728,"")</f>
        <v/>
      </c>
      <c r="R728">
        <f>IF(AND(B728="brand",E728="budget_probe",ISNUMBER(F728)),F728,"")</f>
        <v/>
      </c>
    </row>
    <row r="729">
      <c r="A729" s="91" t="n"/>
      <c r="B729" s="92" t="n"/>
      <c r="C729" s="92" t="n"/>
      <c r="D729" s="92" t="n"/>
      <c r="E729" s="92" t="n"/>
      <c r="F729" s="92" t="n"/>
      <c r="G729" s="92" t="n"/>
      <c r="H729" s="92" t="n"/>
      <c r="I729" s="92" t="n"/>
      <c r="K729">
        <f>IF(C729="","",IF(COUNTIFS(C$5:C729,C729,E$5:E729,E729)=1,1,0))</f>
        <v/>
      </c>
      <c r="L729">
        <f>IF(C729="",0,IF(AND(B729="brand",E729="budget_probe",N(F729)&gt;=Inputs!$C$114,H729="Y"),1,0))</f>
        <v/>
      </c>
      <c r="M729">
        <f>IF(L729=1,IF(COUNTIFS(C$5:C729,C729,L$5:L729,1)=1,1,0),0)</f>
        <v/>
      </c>
      <c r="N729">
        <f>IF(C729="",0,IF(AND(B729="office",E729="budget_probe",N(F729)&gt;=Inputs!$C$129),1,0))</f>
        <v/>
      </c>
      <c r="O729">
        <f>IF(N729=1,IF(COUNTIFS(C$5:C729,C729,N$5:N729,1)=1,1,0),0)</f>
        <v/>
      </c>
      <c r="P729">
        <f>IF(C729="",0,IF(AND(B729="brand",E729="renewal_answer",N(F729)&gt;=Inputs!$C$125),1,0))</f>
        <v/>
      </c>
      <c r="Q729">
        <f>IF(AND(B729="office",E729="budget_probe",ISNUMBER(F729)),F729,"")</f>
        <v/>
      </c>
      <c r="R729">
        <f>IF(AND(B729="brand",E729="budget_probe",ISNUMBER(F729)),F729,"")</f>
        <v/>
      </c>
    </row>
    <row r="730">
      <c r="A730" s="91" t="n"/>
      <c r="B730" s="92" t="n"/>
      <c r="C730" s="92" t="n"/>
      <c r="D730" s="92" t="n"/>
      <c r="E730" s="92" t="n"/>
      <c r="F730" s="92" t="n"/>
      <c r="G730" s="92" t="n"/>
      <c r="H730" s="92" t="n"/>
      <c r="I730" s="92" t="n"/>
      <c r="K730">
        <f>IF(C730="","",IF(COUNTIFS(C$5:C730,C730,E$5:E730,E730)=1,1,0))</f>
        <v/>
      </c>
      <c r="L730">
        <f>IF(C730="",0,IF(AND(B730="brand",E730="budget_probe",N(F730)&gt;=Inputs!$C$114,H730="Y"),1,0))</f>
        <v/>
      </c>
      <c r="M730">
        <f>IF(L730=1,IF(COUNTIFS(C$5:C730,C730,L$5:L730,1)=1,1,0),0)</f>
        <v/>
      </c>
      <c r="N730">
        <f>IF(C730="",0,IF(AND(B730="office",E730="budget_probe",N(F730)&gt;=Inputs!$C$129),1,0))</f>
        <v/>
      </c>
      <c r="O730">
        <f>IF(N730=1,IF(COUNTIFS(C$5:C730,C730,N$5:N730,1)=1,1,0),0)</f>
        <v/>
      </c>
      <c r="P730">
        <f>IF(C730="",0,IF(AND(B730="brand",E730="renewal_answer",N(F730)&gt;=Inputs!$C$125),1,0))</f>
        <v/>
      </c>
      <c r="Q730">
        <f>IF(AND(B730="office",E730="budget_probe",ISNUMBER(F730)),F730,"")</f>
        <v/>
      </c>
      <c r="R730">
        <f>IF(AND(B730="brand",E730="budget_probe",ISNUMBER(F730)),F730,"")</f>
        <v/>
      </c>
    </row>
    <row r="731">
      <c r="A731" s="91" t="n"/>
      <c r="B731" s="92" t="n"/>
      <c r="C731" s="92" t="n"/>
      <c r="D731" s="92" t="n"/>
      <c r="E731" s="92" t="n"/>
      <c r="F731" s="92" t="n"/>
      <c r="G731" s="92" t="n"/>
      <c r="H731" s="92" t="n"/>
      <c r="I731" s="92" t="n"/>
      <c r="K731">
        <f>IF(C731="","",IF(COUNTIFS(C$5:C731,C731,E$5:E731,E731)=1,1,0))</f>
        <v/>
      </c>
      <c r="L731">
        <f>IF(C731="",0,IF(AND(B731="brand",E731="budget_probe",N(F731)&gt;=Inputs!$C$114,H731="Y"),1,0))</f>
        <v/>
      </c>
      <c r="M731">
        <f>IF(L731=1,IF(COUNTIFS(C$5:C731,C731,L$5:L731,1)=1,1,0),0)</f>
        <v/>
      </c>
      <c r="N731">
        <f>IF(C731="",0,IF(AND(B731="office",E731="budget_probe",N(F731)&gt;=Inputs!$C$129),1,0))</f>
        <v/>
      </c>
      <c r="O731">
        <f>IF(N731=1,IF(COUNTIFS(C$5:C731,C731,N$5:N731,1)=1,1,0),0)</f>
        <v/>
      </c>
      <c r="P731">
        <f>IF(C731="",0,IF(AND(B731="brand",E731="renewal_answer",N(F731)&gt;=Inputs!$C$125),1,0))</f>
        <v/>
      </c>
      <c r="Q731">
        <f>IF(AND(B731="office",E731="budget_probe",ISNUMBER(F731)),F731,"")</f>
        <v/>
      </c>
      <c r="R731">
        <f>IF(AND(B731="brand",E731="budget_probe",ISNUMBER(F731)),F731,"")</f>
        <v/>
      </c>
    </row>
    <row r="732">
      <c r="A732" s="91" t="n"/>
      <c r="B732" s="92" t="n"/>
      <c r="C732" s="92" t="n"/>
      <c r="D732" s="92" t="n"/>
      <c r="E732" s="92" t="n"/>
      <c r="F732" s="92" t="n"/>
      <c r="G732" s="92" t="n"/>
      <c r="H732" s="92" t="n"/>
      <c r="I732" s="92" t="n"/>
      <c r="K732">
        <f>IF(C732="","",IF(COUNTIFS(C$5:C732,C732,E$5:E732,E732)=1,1,0))</f>
        <v/>
      </c>
      <c r="L732">
        <f>IF(C732="",0,IF(AND(B732="brand",E732="budget_probe",N(F732)&gt;=Inputs!$C$114,H732="Y"),1,0))</f>
        <v/>
      </c>
      <c r="M732">
        <f>IF(L732=1,IF(COUNTIFS(C$5:C732,C732,L$5:L732,1)=1,1,0),0)</f>
        <v/>
      </c>
      <c r="N732">
        <f>IF(C732="",0,IF(AND(B732="office",E732="budget_probe",N(F732)&gt;=Inputs!$C$129),1,0))</f>
        <v/>
      </c>
      <c r="O732">
        <f>IF(N732=1,IF(COUNTIFS(C$5:C732,C732,N$5:N732,1)=1,1,0),0)</f>
        <v/>
      </c>
      <c r="P732">
        <f>IF(C732="",0,IF(AND(B732="brand",E732="renewal_answer",N(F732)&gt;=Inputs!$C$125),1,0))</f>
        <v/>
      </c>
      <c r="Q732">
        <f>IF(AND(B732="office",E732="budget_probe",ISNUMBER(F732)),F732,"")</f>
        <v/>
      </c>
      <c r="R732">
        <f>IF(AND(B732="brand",E732="budget_probe",ISNUMBER(F732)),F732,"")</f>
        <v/>
      </c>
    </row>
    <row r="733">
      <c r="A733" s="91" t="n"/>
      <c r="B733" s="92" t="n"/>
      <c r="C733" s="92" t="n"/>
      <c r="D733" s="92" t="n"/>
      <c r="E733" s="92" t="n"/>
      <c r="F733" s="92" t="n"/>
      <c r="G733" s="92" t="n"/>
      <c r="H733" s="92" t="n"/>
      <c r="I733" s="92" t="n"/>
      <c r="K733">
        <f>IF(C733="","",IF(COUNTIFS(C$5:C733,C733,E$5:E733,E733)=1,1,0))</f>
        <v/>
      </c>
      <c r="L733">
        <f>IF(C733="",0,IF(AND(B733="brand",E733="budget_probe",N(F733)&gt;=Inputs!$C$114,H733="Y"),1,0))</f>
        <v/>
      </c>
      <c r="M733">
        <f>IF(L733=1,IF(COUNTIFS(C$5:C733,C733,L$5:L733,1)=1,1,0),0)</f>
        <v/>
      </c>
      <c r="N733">
        <f>IF(C733="",0,IF(AND(B733="office",E733="budget_probe",N(F733)&gt;=Inputs!$C$129),1,0))</f>
        <v/>
      </c>
      <c r="O733">
        <f>IF(N733=1,IF(COUNTIFS(C$5:C733,C733,N$5:N733,1)=1,1,0),0)</f>
        <v/>
      </c>
      <c r="P733">
        <f>IF(C733="",0,IF(AND(B733="brand",E733="renewal_answer",N(F733)&gt;=Inputs!$C$125),1,0))</f>
        <v/>
      </c>
      <c r="Q733">
        <f>IF(AND(B733="office",E733="budget_probe",ISNUMBER(F733)),F733,"")</f>
        <v/>
      </c>
      <c r="R733">
        <f>IF(AND(B733="brand",E733="budget_probe",ISNUMBER(F733)),F733,"")</f>
        <v/>
      </c>
    </row>
    <row r="734">
      <c r="A734" s="91" t="n"/>
      <c r="B734" s="92" t="n"/>
      <c r="C734" s="92" t="n"/>
      <c r="D734" s="92" t="n"/>
      <c r="E734" s="92" t="n"/>
      <c r="F734" s="92" t="n"/>
      <c r="G734" s="92" t="n"/>
      <c r="H734" s="92" t="n"/>
      <c r="I734" s="92" t="n"/>
      <c r="K734">
        <f>IF(C734="","",IF(COUNTIFS(C$5:C734,C734,E$5:E734,E734)=1,1,0))</f>
        <v/>
      </c>
      <c r="L734">
        <f>IF(C734="",0,IF(AND(B734="brand",E734="budget_probe",N(F734)&gt;=Inputs!$C$114,H734="Y"),1,0))</f>
        <v/>
      </c>
      <c r="M734">
        <f>IF(L734=1,IF(COUNTIFS(C$5:C734,C734,L$5:L734,1)=1,1,0),0)</f>
        <v/>
      </c>
      <c r="N734">
        <f>IF(C734="",0,IF(AND(B734="office",E734="budget_probe",N(F734)&gt;=Inputs!$C$129),1,0))</f>
        <v/>
      </c>
      <c r="O734">
        <f>IF(N734=1,IF(COUNTIFS(C$5:C734,C734,N$5:N734,1)=1,1,0),0)</f>
        <v/>
      </c>
      <c r="P734">
        <f>IF(C734="",0,IF(AND(B734="brand",E734="renewal_answer",N(F734)&gt;=Inputs!$C$125),1,0))</f>
        <v/>
      </c>
      <c r="Q734">
        <f>IF(AND(B734="office",E734="budget_probe",ISNUMBER(F734)),F734,"")</f>
        <v/>
      </c>
      <c r="R734">
        <f>IF(AND(B734="brand",E734="budget_probe",ISNUMBER(F734)),F734,"")</f>
        <v/>
      </c>
    </row>
    <row r="735">
      <c r="A735" s="91" t="n"/>
      <c r="B735" s="92" t="n"/>
      <c r="C735" s="92" t="n"/>
      <c r="D735" s="92" t="n"/>
      <c r="E735" s="92" t="n"/>
      <c r="F735" s="92" t="n"/>
      <c r="G735" s="92" t="n"/>
      <c r="H735" s="92" t="n"/>
      <c r="I735" s="92" t="n"/>
      <c r="K735">
        <f>IF(C735="","",IF(COUNTIFS(C$5:C735,C735,E$5:E735,E735)=1,1,0))</f>
        <v/>
      </c>
      <c r="L735">
        <f>IF(C735="",0,IF(AND(B735="brand",E735="budget_probe",N(F735)&gt;=Inputs!$C$114,H735="Y"),1,0))</f>
        <v/>
      </c>
      <c r="M735">
        <f>IF(L735=1,IF(COUNTIFS(C$5:C735,C735,L$5:L735,1)=1,1,0),0)</f>
        <v/>
      </c>
      <c r="N735">
        <f>IF(C735="",0,IF(AND(B735="office",E735="budget_probe",N(F735)&gt;=Inputs!$C$129),1,0))</f>
        <v/>
      </c>
      <c r="O735">
        <f>IF(N735=1,IF(COUNTIFS(C$5:C735,C735,N$5:N735,1)=1,1,0),0)</f>
        <v/>
      </c>
      <c r="P735">
        <f>IF(C735="",0,IF(AND(B735="brand",E735="renewal_answer",N(F735)&gt;=Inputs!$C$125),1,0))</f>
        <v/>
      </c>
      <c r="Q735">
        <f>IF(AND(B735="office",E735="budget_probe",ISNUMBER(F735)),F735,"")</f>
        <v/>
      </c>
      <c r="R735">
        <f>IF(AND(B735="brand",E735="budget_probe",ISNUMBER(F735)),F735,"")</f>
        <v/>
      </c>
    </row>
    <row r="736">
      <c r="A736" s="91" t="n"/>
      <c r="B736" s="92" t="n"/>
      <c r="C736" s="92" t="n"/>
      <c r="D736" s="92" t="n"/>
      <c r="E736" s="92" t="n"/>
      <c r="F736" s="92" t="n"/>
      <c r="G736" s="92" t="n"/>
      <c r="H736" s="92" t="n"/>
      <c r="I736" s="92" t="n"/>
      <c r="K736">
        <f>IF(C736="","",IF(COUNTIFS(C$5:C736,C736,E$5:E736,E736)=1,1,0))</f>
        <v/>
      </c>
      <c r="L736">
        <f>IF(C736="",0,IF(AND(B736="brand",E736="budget_probe",N(F736)&gt;=Inputs!$C$114,H736="Y"),1,0))</f>
        <v/>
      </c>
      <c r="M736">
        <f>IF(L736=1,IF(COUNTIFS(C$5:C736,C736,L$5:L736,1)=1,1,0),0)</f>
        <v/>
      </c>
      <c r="N736">
        <f>IF(C736="",0,IF(AND(B736="office",E736="budget_probe",N(F736)&gt;=Inputs!$C$129),1,0))</f>
        <v/>
      </c>
      <c r="O736">
        <f>IF(N736=1,IF(COUNTIFS(C$5:C736,C736,N$5:N736,1)=1,1,0),0)</f>
        <v/>
      </c>
      <c r="P736">
        <f>IF(C736="",0,IF(AND(B736="brand",E736="renewal_answer",N(F736)&gt;=Inputs!$C$125),1,0))</f>
        <v/>
      </c>
      <c r="Q736">
        <f>IF(AND(B736="office",E736="budget_probe",ISNUMBER(F736)),F736,"")</f>
        <v/>
      </c>
      <c r="R736">
        <f>IF(AND(B736="brand",E736="budget_probe",ISNUMBER(F736)),F736,"")</f>
        <v/>
      </c>
    </row>
    <row r="737">
      <c r="A737" s="91" t="n"/>
      <c r="B737" s="92" t="n"/>
      <c r="C737" s="92" t="n"/>
      <c r="D737" s="92" t="n"/>
      <c r="E737" s="92" t="n"/>
      <c r="F737" s="92" t="n"/>
      <c r="G737" s="92" t="n"/>
      <c r="H737" s="92" t="n"/>
      <c r="I737" s="92" t="n"/>
      <c r="K737">
        <f>IF(C737="","",IF(COUNTIFS(C$5:C737,C737,E$5:E737,E737)=1,1,0))</f>
        <v/>
      </c>
      <c r="L737">
        <f>IF(C737="",0,IF(AND(B737="brand",E737="budget_probe",N(F737)&gt;=Inputs!$C$114,H737="Y"),1,0))</f>
        <v/>
      </c>
      <c r="M737">
        <f>IF(L737=1,IF(COUNTIFS(C$5:C737,C737,L$5:L737,1)=1,1,0),0)</f>
        <v/>
      </c>
      <c r="N737">
        <f>IF(C737="",0,IF(AND(B737="office",E737="budget_probe",N(F737)&gt;=Inputs!$C$129),1,0))</f>
        <v/>
      </c>
      <c r="O737">
        <f>IF(N737=1,IF(COUNTIFS(C$5:C737,C737,N$5:N737,1)=1,1,0),0)</f>
        <v/>
      </c>
      <c r="P737">
        <f>IF(C737="",0,IF(AND(B737="brand",E737="renewal_answer",N(F737)&gt;=Inputs!$C$125),1,0))</f>
        <v/>
      </c>
      <c r="Q737">
        <f>IF(AND(B737="office",E737="budget_probe",ISNUMBER(F737)),F737,"")</f>
        <v/>
      </c>
      <c r="R737">
        <f>IF(AND(B737="brand",E737="budget_probe",ISNUMBER(F737)),F737,"")</f>
        <v/>
      </c>
    </row>
    <row r="738">
      <c r="A738" s="91" t="n"/>
      <c r="B738" s="92" t="n"/>
      <c r="C738" s="92" t="n"/>
      <c r="D738" s="92" t="n"/>
      <c r="E738" s="92" t="n"/>
      <c r="F738" s="92" t="n"/>
      <c r="G738" s="92" t="n"/>
      <c r="H738" s="92" t="n"/>
      <c r="I738" s="92" t="n"/>
      <c r="K738">
        <f>IF(C738="","",IF(COUNTIFS(C$5:C738,C738,E$5:E738,E738)=1,1,0))</f>
        <v/>
      </c>
      <c r="L738">
        <f>IF(C738="",0,IF(AND(B738="brand",E738="budget_probe",N(F738)&gt;=Inputs!$C$114,H738="Y"),1,0))</f>
        <v/>
      </c>
      <c r="M738">
        <f>IF(L738=1,IF(COUNTIFS(C$5:C738,C738,L$5:L738,1)=1,1,0),0)</f>
        <v/>
      </c>
      <c r="N738">
        <f>IF(C738="",0,IF(AND(B738="office",E738="budget_probe",N(F738)&gt;=Inputs!$C$129),1,0))</f>
        <v/>
      </c>
      <c r="O738">
        <f>IF(N738=1,IF(COUNTIFS(C$5:C738,C738,N$5:N738,1)=1,1,0),0)</f>
        <v/>
      </c>
      <c r="P738">
        <f>IF(C738="",0,IF(AND(B738="brand",E738="renewal_answer",N(F738)&gt;=Inputs!$C$125),1,0))</f>
        <v/>
      </c>
      <c r="Q738">
        <f>IF(AND(B738="office",E738="budget_probe",ISNUMBER(F738)),F738,"")</f>
        <v/>
      </c>
      <c r="R738">
        <f>IF(AND(B738="brand",E738="budget_probe",ISNUMBER(F738)),F738,"")</f>
        <v/>
      </c>
    </row>
    <row r="739">
      <c r="A739" s="91" t="n"/>
      <c r="B739" s="92" t="n"/>
      <c r="C739" s="92" t="n"/>
      <c r="D739" s="92" t="n"/>
      <c r="E739" s="92" t="n"/>
      <c r="F739" s="92" t="n"/>
      <c r="G739" s="92" t="n"/>
      <c r="H739" s="92" t="n"/>
      <c r="I739" s="92" t="n"/>
      <c r="K739">
        <f>IF(C739="","",IF(COUNTIFS(C$5:C739,C739,E$5:E739,E739)=1,1,0))</f>
        <v/>
      </c>
      <c r="L739">
        <f>IF(C739="",0,IF(AND(B739="brand",E739="budget_probe",N(F739)&gt;=Inputs!$C$114,H739="Y"),1,0))</f>
        <v/>
      </c>
      <c r="M739">
        <f>IF(L739=1,IF(COUNTIFS(C$5:C739,C739,L$5:L739,1)=1,1,0),0)</f>
        <v/>
      </c>
      <c r="N739">
        <f>IF(C739="",0,IF(AND(B739="office",E739="budget_probe",N(F739)&gt;=Inputs!$C$129),1,0))</f>
        <v/>
      </c>
      <c r="O739">
        <f>IF(N739=1,IF(COUNTIFS(C$5:C739,C739,N$5:N739,1)=1,1,0),0)</f>
        <v/>
      </c>
      <c r="P739">
        <f>IF(C739="",0,IF(AND(B739="brand",E739="renewal_answer",N(F739)&gt;=Inputs!$C$125),1,0))</f>
        <v/>
      </c>
      <c r="Q739">
        <f>IF(AND(B739="office",E739="budget_probe",ISNUMBER(F739)),F739,"")</f>
        <v/>
      </c>
      <c r="R739">
        <f>IF(AND(B739="brand",E739="budget_probe",ISNUMBER(F739)),F739,"")</f>
        <v/>
      </c>
    </row>
    <row r="740">
      <c r="A740" s="91" t="n"/>
      <c r="B740" s="92" t="n"/>
      <c r="C740" s="92" t="n"/>
      <c r="D740" s="92" t="n"/>
      <c r="E740" s="92" t="n"/>
      <c r="F740" s="92" t="n"/>
      <c r="G740" s="92" t="n"/>
      <c r="H740" s="92" t="n"/>
      <c r="I740" s="92" t="n"/>
      <c r="K740">
        <f>IF(C740="","",IF(COUNTIFS(C$5:C740,C740,E$5:E740,E740)=1,1,0))</f>
        <v/>
      </c>
      <c r="L740">
        <f>IF(C740="",0,IF(AND(B740="brand",E740="budget_probe",N(F740)&gt;=Inputs!$C$114,H740="Y"),1,0))</f>
        <v/>
      </c>
      <c r="M740">
        <f>IF(L740=1,IF(COUNTIFS(C$5:C740,C740,L$5:L740,1)=1,1,0),0)</f>
        <v/>
      </c>
      <c r="N740">
        <f>IF(C740="",0,IF(AND(B740="office",E740="budget_probe",N(F740)&gt;=Inputs!$C$129),1,0))</f>
        <v/>
      </c>
      <c r="O740">
        <f>IF(N740=1,IF(COUNTIFS(C$5:C740,C740,N$5:N740,1)=1,1,0),0)</f>
        <v/>
      </c>
      <c r="P740">
        <f>IF(C740="",0,IF(AND(B740="brand",E740="renewal_answer",N(F740)&gt;=Inputs!$C$125),1,0))</f>
        <v/>
      </c>
      <c r="Q740">
        <f>IF(AND(B740="office",E740="budget_probe",ISNUMBER(F740)),F740,"")</f>
        <v/>
      </c>
      <c r="R740">
        <f>IF(AND(B740="brand",E740="budget_probe",ISNUMBER(F740)),F740,"")</f>
        <v/>
      </c>
    </row>
    <row r="741">
      <c r="A741" s="91" t="n"/>
      <c r="B741" s="92" t="n"/>
      <c r="C741" s="92" t="n"/>
      <c r="D741" s="92" t="n"/>
      <c r="E741" s="92" t="n"/>
      <c r="F741" s="92" t="n"/>
      <c r="G741" s="92" t="n"/>
      <c r="H741" s="92" t="n"/>
      <c r="I741" s="92" t="n"/>
      <c r="K741">
        <f>IF(C741="","",IF(COUNTIFS(C$5:C741,C741,E$5:E741,E741)=1,1,0))</f>
        <v/>
      </c>
      <c r="L741">
        <f>IF(C741="",0,IF(AND(B741="brand",E741="budget_probe",N(F741)&gt;=Inputs!$C$114,H741="Y"),1,0))</f>
        <v/>
      </c>
      <c r="M741">
        <f>IF(L741=1,IF(COUNTIFS(C$5:C741,C741,L$5:L741,1)=1,1,0),0)</f>
        <v/>
      </c>
      <c r="N741">
        <f>IF(C741="",0,IF(AND(B741="office",E741="budget_probe",N(F741)&gt;=Inputs!$C$129),1,0))</f>
        <v/>
      </c>
      <c r="O741">
        <f>IF(N741=1,IF(COUNTIFS(C$5:C741,C741,N$5:N741,1)=1,1,0),0)</f>
        <v/>
      </c>
      <c r="P741">
        <f>IF(C741="",0,IF(AND(B741="brand",E741="renewal_answer",N(F741)&gt;=Inputs!$C$125),1,0))</f>
        <v/>
      </c>
      <c r="Q741">
        <f>IF(AND(B741="office",E741="budget_probe",ISNUMBER(F741)),F741,"")</f>
        <v/>
      </c>
      <c r="R741">
        <f>IF(AND(B741="brand",E741="budget_probe",ISNUMBER(F741)),F741,"")</f>
        <v/>
      </c>
    </row>
    <row r="742">
      <c r="A742" s="91" t="n"/>
      <c r="B742" s="92" t="n"/>
      <c r="C742" s="92" t="n"/>
      <c r="D742" s="92" t="n"/>
      <c r="E742" s="92" t="n"/>
      <c r="F742" s="92" t="n"/>
      <c r="G742" s="92" t="n"/>
      <c r="H742" s="92" t="n"/>
      <c r="I742" s="92" t="n"/>
      <c r="K742">
        <f>IF(C742="","",IF(COUNTIFS(C$5:C742,C742,E$5:E742,E742)=1,1,0))</f>
        <v/>
      </c>
      <c r="L742">
        <f>IF(C742="",0,IF(AND(B742="brand",E742="budget_probe",N(F742)&gt;=Inputs!$C$114,H742="Y"),1,0))</f>
        <v/>
      </c>
      <c r="M742">
        <f>IF(L742=1,IF(COUNTIFS(C$5:C742,C742,L$5:L742,1)=1,1,0),0)</f>
        <v/>
      </c>
      <c r="N742">
        <f>IF(C742="",0,IF(AND(B742="office",E742="budget_probe",N(F742)&gt;=Inputs!$C$129),1,0))</f>
        <v/>
      </c>
      <c r="O742">
        <f>IF(N742=1,IF(COUNTIFS(C$5:C742,C742,N$5:N742,1)=1,1,0),0)</f>
        <v/>
      </c>
      <c r="P742">
        <f>IF(C742="",0,IF(AND(B742="brand",E742="renewal_answer",N(F742)&gt;=Inputs!$C$125),1,0))</f>
        <v/>
      </c>
      <c r="Q742">
        <f>IF(AND(B742="office",E742="budget_probe",ISNUMBER(F742)),F742,"")</f>
        <v/>
      </c>
      <c r="R742">
        <f>IF(AND(B742="brand",E742="budget_probe",ISNUMBER(F742)),F742,"")</f>
        <v/>
      </c>
    </row>
    <row r="743">
      <c r="A743" s="91" t="n"/>
      <c r="B743" s="92" t="n"/>
      <c r="C743" s="92" t="n"/>
      <c r="D743" s="92" t="n"/>
      <c r="E743" s="92" t="n"/>
      <c r="F743" s="92" t="n"/>
      <c r="G743" s="92" t="n"/>
      <c r="H743" s="92" t="n"/>
      <c r="I743" s="92" t="n"/>
      <c r="K743">
        <f>IF(C743="","",IF(COUNTIFS(C$5:C743,C743,E$5:E743,E743)=1,1,0))</f>
        <v/>
      </c>
      <c r="L743">
        <f>IF(C743="",0,IF(AND(B743="brand",E743="budget_probe",N(F743)&gt;=Inputs!$C$114,H743="Y"),1,0))</f>
        <v/>
      </c>
      <c r="M743">
        <f>IF(L743=1,IF(COUNTIFS(C$5:C743,C743,L$5:L743,1)=1,1,0),0)</f>
        <v/>
      </c>
      <c r="N743">
        <f>IF(C743="",0,IF(AND(B743="office",E743="budget_probe",N(F743)&gt;=Inputs!$C$129),1,0))</f>
        <v/>
      </c>
      <c r="O743">
        <f>IF(N743=1,IF(COUNTIFS(C$5:C743,C743,N$5:N743,1)=1,1,0),0)</f>
        <v/>
      </c>
      <c r="P743">
        <f>IF(C743="",0,IF(AND(B743="brand",E743="renewal_answer",N(F743)&gt;=Inputs!$C$125),1,0))</f>
        <v/>
      </c>
      <c r="Q743">
        <f>IF(AND(B743="office",E743="budget_probe",ISNUMBER(F743)),F743,"")</f>
        <v/>
      </c>
      <c r="R743">
        <f>IF(AND(B743="brand",E743="budget_probe",ISNUMBER(F743)),F743,"")</f>
        <v/>
      </c>
    </row>
    <row r="744">
      <c r="A744" s="91" t="n"/>
      <c r="B744" s="92" t="n"/>
      <c r="C744" s="92" t="n"/>
      <c r="D744" s="92" t="n"/>
      <c r="E744" s="92" t="n"/>
      <c r="F744" s="92" t="n"/>
      <c r="G744" s="92" t="n"/>
      <c r="H744" s="92" t="n"/>
      <c r="I744" s="92" t="n"/>
      <c r="K744">
        <f>IF(C744="","",IF(COUNTIFS(C$5:C744,C744,E$5:E744,E744)=1,1,0))</f>
        <v/>
      </c>
      <c r="L744">
        <f>IF(C744="",0,IF(AND(B744="brand",E744="budget_probe",N(F744)&gt;=Inputs!$C$114,H744="Y"),1,0))</f>
        <v/>
      </c>
      <c r="M744">
        <f>IF(L744=1,IF(COUNTIFS(C$5:C744,C744,L$5:L744,1)=1,1,0),0)</f>
        <v/>
      </c>
      <c r="N744">
        <f>IF(C744="",0,IF(AND(B744="office",E744="budget_probe",N(F744)&gt;=Inputs!$C$129),1,0))</f>
        <v/>
      </c>
      <c r="O744">
        <f>IF(N744=1,IF(COUNTIFS(C$5:C744,C744,N$5:N744,1)=1,1,0),0)</f>
        <v/>
      </c>
      <c r="P744">
        <f>IF(C744="",0,IF(AND(B744="brand",E744="renewal_answer",N(F744)&gt;=Inputs!$C$125),1,0))</f>
        <v/>
      </c>
      <c r="Q744">
        <f>IF(AND(B744="office",E744="budget_probe",ISNUMBER(F744)),F744,"")</f>
        <v/>
      </c>
      <c r="R744">
        <f>IF(AND(B744="brand",E744="budget_probe",ISNUMBER(F744)),F744,"")</f>
        <v/>
      </c>
    </row>
    <row r="745">
      <c r="A745" s="91" t="n"/>
      <c r="B745" s="92" t="n"/>
      <c r="C745" s="92" t="n"/>
      <c r="D745" s="92" t="n"/>
      <c r="E745" s="92" t="n"/>
      <c r="F745" s="92" t="n"/>
      <c r="G745" s="92" t="n"/>
      <c r="H745" s="92" t="n"/>
      <c r="I745" s="92" t="n"/>
      <c r="K745">
        <f>IF(C745="","",IF(COUNTIFS(C$5:C745,C745,E$5:E745,E745)=1,1,0))</f>
        <v/>
      </c>
      <c r="L745">
        <f>IF(C745="",0,IF(AND(B745="brand",E745="budget_probe",N(F745)&gt;=Inputs!$C$114,H745="Y"),1,0))</f>
        <v/>
      </c>
      <c r="M745">
        <f>IF(L745=1,IF(COUNTIFS(C$5:C745,C745,L$5:L745,1)=1,1,0),0)</f>
        <v/>
      </c>
      <c r="N745">
        <f>IF(C745="",0,IF(AND(B745="office",E745="budget_probe",N(F745)&gt;=Inputs!$C$129),1,0))</f>
        <v/>
      </c>
      <c r="O745">
        <f>IF(N745=1,IF(COUNTIFS(C$5:C745,C745,N$5:N745,1)=1,1,0),0)</f>
        <v/>
      </c>
      <c r="P745">
        <f>IF(C745="",0,IF(AND(B745="brand",E745="renewal_answer",N(F745)&gt;=Inputs!$C$125),1,0))</f>
        <v/>
      </c>
      <c r="Q745">
        <f>IF(AND(B745="office",E745="budget_probe",ISNUMBER(F745)),F745,"")</f>
        <v/>
      </c>
      <c r="R745">
        <f>IF(AND(B745="brand",E745="budget_probe",ISNUMBER(F745)),F745,"")</f>
        <v/>
      </c>
    </row>
    <row r="746">
      <c r="A746" s="91" t="n"/>
      <c r="B746" s="92" t="n"/>
      <c r="C746" s="92" t="n"/>
      <c r="D746" s="92" t="n"/>
      <c r="E746" s="92" t="n"/>
      <c r="F746" s="92" t="n"/>
      <c r="G746" s="92" t="n"/>
      <c r="H746" s="92" t="n"/>
      <c r="I746" s="92" t="n"/>
      <c r="K746">
        <f>IF(C746="","",IF(COUNTIFS(C$5:C746,C746,E$5:E746,E746)=1,1,0))</f>
        <v/>
      </c>
      <c r="L746">
        <f>IF(C746="",0,IF(AND(B746="brand",E746="budget_probe",N(F746)&gt;=Inputs!$C$114,H746="Y"),1,0))</f>
        <v/>
      </c>
      <c r="M746">
        <f>IF(L746=1,IF(COUNTIFS(C$5:C746,C746,L$5:L746,1)=1,1,0),0)</f>
        <v/>
      </c>
      <c r="N746">
        <f>IF(C746="",0,IF(AND(B746="office",E746="budget_probe",N(F746)&gt;=Inputs!$C$129),1,0))</f>
        <v/>
      </c>
      <c r="O746">
        <f>IF(N746=1,IF(COUNTIFS(C$5:C746,C746,N$5:N746,1)=1,1,0),0)</f>
        <v/>
      </c>
      <c r="P746">
        <f>IF(C746="",0,IF(AND(B746="brand",E746="renewal_answer",N(F746)&gt;=Inputs!$C$125),1,0))</f>
        <v/>
      </c>
      <c r="Q746">
        <f>IF(AND(B746="office",E746="budget_probe",ISNUMBER(F746)),F746,"")</f>
        <v/>
      </c>
      <c r="R746">
        <f>IF(AND(B746="brand",E746="budget_probe",ISNUMBER(F746)),F746,"")</f>
        <v/>
      </c>
    </row>
    <row r="747">
      <c r="A747" s="91" t="n"/>
      <c r="B747" s="92" t="n"/>
      <c r="C747" s="92" t="n"/>
      <c r="D747" s="92" t="n"/>
      <c r="E747" s="92" t="n"/>
      <c r="F747" s="92" t="n"/>
      <c r="G747" s="92" t="n"/>
      <c r="H747" s="92" t="n"/>
      <c r="I747" s="92" t="n"/>
      <c r="K747">
        <f>IF(C747="","",IF(COUNTIFS(C$5:C747,C747,E$5:E747,E747)=1,1,0))</f>
        <v/>
      </c>
      <c r="L747">
        <f>IF(C747="",0,IF(AND(B747="brand",E747="budget_probe",N(F747)&gt;=Inputs!$C$114,H747="Y"),1,0))</f>
        <v/>
      </c>
      <c r="M747">
        <f>IF(L747=1,IF(COUNTIFS(C$5:C747,C747,L$5:L747,1)=1,1,0),0)</f>
        <v/>
      </c>
      <c r="N747">
        <f>IF(C747="",0,IF(AND(B747="office",E747="budget_probe",N(F747)&gt;=Inputs!$C$129),1,0))</f>
        <v/>
      </c>
      <c r="O747">
        <f>IF(N747=1,IF(COUNTIFS(C$5:C747,C747,N$5:N747,1)=1,1,0),0)</f>
        <v/>
      </c>
      <c r="P747">
        <f>IF(C747="",0,IF(AND(B747="brand",E747="renewal_answer",N(F747)&gt;=Inputs!$C$125),1,0))</f>
        <v/>
      </c>
      <c r="Q747">
        <f>IF(AND(B747="office",E747="budget_probe",ISNUMBER(F747)),F747,"")</f>
        <v/>
      </c>
      <c r="R747">
        <f>IF(AND(B747="brand",E747="budget_probe",ISNUMBER(F747)),F747,"")</f>
        <v/>
      </c>
    </row>
    <row r="748">
      <c r="A748" s="91" t="n"/>
      <c r="B748" s="92" t="n"/>
      <c r="C748" s="92" t="n"/>
      <c r="D748" s="92" t="n"/>
      <c r="E748" s="92" t="n"/>
      <c r="F748" s="92" t="n"/>
      <c r="G748" s="92" t="n"/>
      <c r="H748" s="92" t="n"/>
      <c r="I748" s="92" t="n"/>
      <c r="K748">
        <f>IF(C748="","",IF(COUNTIFS(C$5:C748,C748,E$5:E748,E748)=1,1,0))</f>
        <v/>
      </c>
      <c r="L748">
        <f>IF(C748="",0,IF(AND(B748="brand",E748="budget_probe",N(F748)&gt;=Inputs!$C$114,H748="Y"),1,0))</f>
        <v/>
      </c>
      <c r="M748">
        <f>IF(L748=1,IF(COUNTIFS(C$5:C748,C748,L$5:L748,1)=1,1,0),0)</f>
        <v/>
      </c>
      <c r="N748">
        <f>IF(C748="",0,IF(AND(B748="office",E748="budget_probe",N(F748)&gt;=Inputs!$C$129),1,0))</f>
        <v/>
      </c>
      <c r="O748">
        <f>IF(N748=1,IF(COUNTIFS(C$5:C748,C748,N$5:N748,1)=1,1,0),0)</f>
        <v/>
      </c>
      <c r="P748">
        <f>IF(C748="",0,IF(AND(B748="brand",E748="renewal_answer",N(F748)&gt;=Inputs!$C$125),1,0))</f>
        <v/>
      </c>
      <c r="Q748">
        <f>IF(AND(B748="office",E748="budget_probe",ISNUMBER(F748)),F748,"")</f>
        <v/>
      </c>
      <c r="R748">
        <f>IF(AND(B748="brand",E748="budget_probe",ISNUMBER(F748)),F748,"")</f>
        <v/>
      </c>
    </row>
    <row r="749">
      <c r="A749" s="91" t="n"/>
      <c r="B749" s="92" t="n"/>
      <c r="C749" s="92" t="n"/>
      <c r="D749" s="92" t="n"/>
      <c r="E749" s="92" t="n"/>
      <c r="F749" s="92" t="n"/>
      <c r="G749" s="92" t="n"/>
      <c r="H749" s="92" t="n"/>
      <c r="I749" s="92" t="n"/>
      <c r="K749">
        <f>IF(C749="","",IF(COUNTIFS(C$5:C749,C749,E$5:E749,E749)=1,1,0))</f>
        <v/>
      </c>
      <c r="L749">
        <f>IF(C749="",0,IF(AND(B749="brand",E749="budget_probe",N(F749)&gt;=Inputs!$C$114,H749="Y"),1,0))</f>
        <v/>
      </c>
      <c r="M749">
        <f>IF(L749=1,IF(COUNTIFS(C$5:C749,C749,L$5:L749,1)=1,1,0),0)</f>
        <v/>
      </c>
      <c r="N749">
        <f>IF(C749="",0,IF(AND(B749="office",E749="budget_probe",N(F749)&gt;=Inputs!$C$129),1,0))</f>
        <v/>
      </c>
      <c r="O749">
        <f>IF(N749=1,IF(COUNTIFS(C$5:C749,C749,N$5:N749,1)=1,1,0),0)</f>
        <v/>
      </c>
      <c r="P749">
        <f>IF(C749="",0,IF(AND(B749="brand",E749="renewal_answer",N(F749)&gt;=Inputs!$C$125),1,0))</f>
        <v/>
      </c>
      <c r="Q749">
        <f>IF(AND(B749="office",E749="budget_probe",ISNUMBER(F749)),F749,"")</f>
        <v/>
      </c>
      <c r="R749">
        <f>IF(AND(B749="brand",E749="budget_probe",ISNUMBER(F749)),F749,"")</f>
        <v/>
      </c>
    </row>
    <row r="750">
      <c r="A750" s="91" t="n"/>
      <c r="B750" s="92" t="n"/>
      <c r="C750" s="92" t="n"/>
      <c r="D750" s="92" t="n"/>
      <c r="E750" s="92" t="n"/>
      <c r="F750" s="92" t="n"/>
      <c r="G750" s="92" t="n"/>
      <c r="H750" s="92" t="n"/>
      <c r="I750" s="92" t="n"/>
      <c r="K750">
        <f>IF(C750="","",IF(COUNTIFS(C$5:C750,C750,E$5:E750,E750)=1,1,0))</f>
        <v/>
      </c>
      <c r="L750">
        <f>IF(C750="",0,IF(AND(B750="brand",E750="budget_probe",N(F750)&gt;=Inputs!$C$114,H750="Y"),1,0))</f>
        <v/>
      </c>
      <c r="M750">
        <f>IF(L750=1,IF(COUNTIFS(C$5:C750,C750,L$5:L750,1)=1,1,0),0)</f>
        <v/>
      </c>
      <c r="N750">
        <f>IF(C750="",0,IF(AND(B750="office",E750="budget_probe",N(F750)&gt;=Inputs!$C$129),1,0))</f>
        <v/>
      </c>
      <c r="O750">
        <f>IF(N750=1,IF(COUNTIFS(C$5:C750,C750,N$5:N750,1)=1,1,0),0)</f>
        <v/>
      </c>
      <c r="P750">
        <f>IF(C750="",0,IF(AND(B750="brand",E750="renewal_answer",N(F750)&gt;=Inputs!$C$125),1,0))</f>
        <v/>
      </c>
      <c r="Q750">
        <f>IF(AND(B750="office",E750="budget_probe",ISNUMBER(F750)),F750,"")</f>
        <v/>
      </c>
      <c r="R750">
        <f>IF(AND(B750="brand",E750="budget_probe",ISNUMBER(F750)),F750,"")</f>
        <v/>
      </c>
    </row>
    <row r="751">
      <c r="A751" s="91" t="n"/>
      <c r="B751" s="92" t="n"/>
      <c r="C751" s="92" t="n"/>
      <c r="D751" s="92" t="n"/>
      <c r="E751" s="92" t="n"/>
      <c r="F751" s="92" t="n"/>
      <c r="G751" s="92" t="n"/>
      <c r="H751" s="92" t="n"/>
      <c r="I751" s="92" t="n"/>
      <c r="K751">
        <f>IF(C751="","",IF(COUNTIFS(C$5:C751,C751,E$5:E751,E751)=1,1,0))</f>
        <v/>
      </c>
      <c r="L751">
        <f>IF(C751="",0,IF(AND(B751="brand",E751="budget_probe",N(F751)&gt;=Inputs!$C$114,H751="Y"),1,0))</f>
        <v/>
      </c>
      <c r="M751">
        <f>IF(L751=1,IF(COUNTIFS(C$5:C751,C751,L$5:L751,1)=1,1,0),0)</f>
        <v/>
      </c>
      <c r="N751">
        <f>IF(C751="",0,IF(AND(B751="office",E751="budget_probe",N(F751)&gt;=Inputs!$C$129),1,0))</f>
        <v/>
      </c>
      <c r="O751">
        <f>IF(N751=1,IF(COUNTIFS(C$5:C751,C751,N$5:N751,1)=1,1,0),0)</f>
        <v/>
      </c>
      <c r="P751">
        <f>IF(C751="",0,IF(AND(B751="brand",E751="renewal_answer",N(F751)&gt;=Inputs!$C$125),1,0))</f>
        <v/>
      </c>
      <c r="Q751">
        <f>IF(AND(B751="office",E751="budget_probe",ISNUMBER(F751)),F751,"")</f>
        <v/>
      </c>
      <c r="R751">
        <f>IF(AND(B751="brand",E751="budget_probe",ISNUMBER(F751)),F751,"")</f>
        <v/>
      </c>
    </row>
    <row r="752">
      <c r="A752" s="91" t="n"/>
      <c r="B752" s="92" t="n"/>
      <c r="C752" s="92" t="n"/>
      <c r="D752" s="92" t="n"/>
      <c r="E752" s="92" t="n"/>
      <c r="F752" s="92" t="n"/>
      <c r="G752" s="92" t="n"/>
      <c r="H752" s="92" t="n"/>
      <c r="I752" s="92" t="n"/>
      <c r="K752">
        <f>IF(C752="","",IF(COUNTIFS(C$5:C752,C752,E$5:E752,E752)=1,1,0))</f>
        <v/>
      </c>
      <c r="L752">
        <f>IF(C752="",0,IF(AND(B752="brand",E752="budget_probe",N(F752)&gt;=Inputs!$C$114,H752="Y"),1,0))</f>
        <v/>
      </c>
      <c r="M752">
        <f>IF(L752=1,IF(COUNTIFS(C$5:C752,C752,L$5:L752,1)=1,1,0),0)</f>
        <v/>
      </c>
      <c r="N752">
        <f>IF(C752="",0,IF(AND(B752="office",E752="budget_probe",N(F752)&gt;=Inputs!$C$129),1,0))</f>
        <v/>
      </c>
      <c r="O752">
        <f>IF(N752=1,IF(COUNTIFS(C$5:C752,C752,N$5:N752,1)=1,1,0),0)</f>
        <v/>
      </c>
      <c r="P752">
        <f>IF(C752="",0,IF(AND(B752="brand",E752="renewal_answer",N(F752)&gt;=Inputs!$C$125),1,0))</f>
        <v/>
      </c>
      <c r="Q752">
        <f>IF(AND(B752="office",E752="budget_probe",ISNUMBER(F752)),F752,"")</f>
        <v/>
      </c>
      <c r="R752">
        <f>IF(AND(B752="brand",E752="budget_probe",ISNUMBER(F752)),F752,"")</f>
        <v/>
      </c>
    </row>
    <row r="753">
      <c r="A753" s="91" t="n"/>
      <c r="B753" s="92" t="n"/>
      <c r="C753" s="92" t="n"/>
      <c r="D753" s="92" t="n"/>
      <c r="E753" s="92" t="n"/>
      <c r="F753" s="92" t="n"/>
      <c r="G753" s="92" t="n"/>
      <c r="H753" s="92" t="n"/>
      <c r="I753" s="92" t="n"/>
      <c r="K753">
        <f>IF(C753="","",IF(COUNTIFS(C$5:C753,C753,E$5:E753,E753)=1,1,0))</f>
        <v/>
      </c>
      <c r="L753">
        <f>IF(C753="",0,IF(AND(B753="brand",E753="budget_probe",N(F753)&gt;=Inputs!$C$114,H753="Y"),1,0))</f>
        <v/>
      </c>
      <c r="M753">
        <f>IF(L753=1,IF(COUNTIFS(C$5:C753,C753,L$5:L753,1)=1,1,0),0)</f>
        <v/>
      </c>
      <c r="N753">
        <f>IF(C753="",0,IF(AND(B753="office",E753="budget_probe",N(F753)&gt;=Inputs!$C$129),1,0))</f>
        <v/>
      </c>
      <c r="O753">
        <f>IF(N753=1,IF(COUNTIFS(C$5:C753,C753,N$5:N753,1)=1,1,0),0)</f>
        <v/>
      </c>
      <c r="P753">
        <f>IF(C753="",0,IF(AND(B753="brand",E753="renewal_answer",N(F753)&gt;=Inputs!$C$125),1,0))</f>
        <v/>
      </c>
      <c r="Q753">
        <f>IF(AND(B753="office",E753="budget_probe",ISNUMBER(F753)),F753,"")</f>
        <v/>
      </c>
      <c r="R753">
        <f>IF(AND(B753="brand",E753="budget_probe",ISNUMBER(F753)),F753,"")</f>
        <v/>
      </c>
    </row>
    <row r="754">
      <c r="A754" s="91" t="n"/>
      <c r="B754" s="92" t="n"/>
      <c r="C754" s="92" t="n"/>
      <c r="D754" s="92" t="n"/>
      <c r="E754" s="92" t="n"/>
      <c r="F754" s="92" t="n"/>
      <c r="G754" s="92" t="n"/>
      <c r="H754" s="92" t="n"/>
      <c r="I754" s="92" t="n"/>
      <c r="K754">
        <f>IF(C754="","",IF(COUNTIFS(C$5:C754,C754,E$5:E754,E754)=1,1,0))</f>
        <v/>
      </c>
      <c r="L754">
        <f>IF(C754="",0,IF(AND(B754="brand",E754="budget_probe",N(F754)&gt;=Inputs!$C$114,H754="Y"),1,0))</f>
        <v/>
      </c>
      <c r="M754">
        <f>IF(L754=1,IF(COUNTIFS(C$5:C754,C754,L$5:L754,1)=1,1,0),0)</f>
        <v/>
      </c>
      <c r="N754">
        <f>IF(C754="",0,IF(AND(B754="office",E754="budget_probe",N(F754)&gt;=Inputs!$C$129),1,0))</f>
        <v/>
      </c>
      <c r="O754">
        <f>IF(N754=1,IF(COUNTIFS(C$5:C754,C754,N$5:N754,1)=1,1,0),0)</f>
        <v/>
      </c>
      <c r="P754">
        <f>IF(C754="",0,IF(AND(B754="brand",E754="renewal_answer",N(F754)&gt;=Inputs!$C$125),1,0))</f>
        <v/>
      </c>
      <c r="Q754">
        <f>IF(AND(B754="office",E754="budget_probe",ISNUMBER(F754)),F754,"")</f>
        <v/>
      </c>
      <c r="R754">
        <f>IF(AND(B754="brand",E754="budget_probe",ISNUMBER(F754)),F754,"")</f>
        <v/>
      </c>
    </row>
    <row r="755">
      <c r="A755" s="91" t="n"/>
      <c r="B755" s="92" t="n"/>
      <c r="C755" s="92" t="n"/>
      <c r="D755" s="92" t="n"/>
      <c r="E755" s="92" t="n"/>
      <c r="F755" s="92" t="n"/>
      <c r="G755" s="92" t="n"/>
      <c r="H755" s="92" t="n"/>
      <c r="I755" s="92" t="n"/>
      <c r="K755">
        <f>IF(C755="","",IF(COUNTIFS(C$5:C755,C755,E$5:E755,E755)=1,1,0))</f>
        <v/>
      </c>
      <c r="L755">
        <f>IF(C755="",0,IF(AND(B755="brand",E755="budget_probe",N(F755)&gt;=Inputs!$C$114,H755="Y"),1,0))</f>
        <v/>
      </c>
      <c r="M755">
        <f>IF(L755=1,IF(COUNTIFS(C$5:C755,C755,L$5:L755,1)=1,1,0),0)</f>
        <v/>
      </c>
      <c r="N755">
        <f>IF(C755="",0,IF(AND(B755="office",E755="budget_probe",N(F755)&gt;=Inputs!$C$129),1,0))</f>
        <v/>
      </c>
      <c r="O755">
        <f>IF(N755=1,IF(COUNTIFS(C$5:C755,C755,N$5:N755,1)=1,1,0),0)</f>
        <v/>
      </c>
      <c r="P755">
        <f>IF(C755="",0,IF(AND(B755="brand",E755="renewal_answer",N(F755)&gt;=Inputs!$C$125),1,0))</f>
        <v/>
      </c>
      <c r="Q755">
        <f>IF(AND(B755="office",E755="budget_probe",ISNUMBER(F755)),F755,"")</f>
        <v/>
      </c>
      <c r="R755">
        <f>IF(AND(B755="brand",E755="budget_probe",ISNUMBER(F755)),F755,"")</f>
        <v/>
      </c>
    </row>
    <row r="756">
      <c r="A756" s="91" t="n"/>
      <c r="B756" s="92" t="n"/>
      <c r="C756" s="92" t="n"/>
      <c r="D756" s="92" t="n"/>
      <c r="E756" s="92" t="n"/>
      <c r="F756" s="92" t="n"/>
      <c r="G756" s="92" t="n"/>
      <c r="H756" s="92" t="n"/>
      <c r="I756" s="92" t="n"/>
      <c r="K756">
        <f>IF(C756="","",IF(COUNTIFS(C$5:C756,C756,E$5:E756,E756)=1,1,0))</f>
        <v/>
      </c>
      <c r="L756">
        <f>IF(C756="",0,IF(AND(B756="brand",E756="budget_probe",N(F756)&gt;=Inputs!$C$114,H756="Y"),1,0))</f>
        <v/>
      </c>
      <c r="M756">
        <f>IF(L756=1,IF(COUNTIFS(C$5:C756,C756,L$5:L756,1)=1,1,0),0)</f>
        <v/>
      </c>
      <c r="N756">
        <f>IF(C756="",0,IF(AND(B756="office",E756="budget_probe",N(F756)&gt;=Inputs!$C$129),1,0))</f>
        <v/>
      </c>
      <c r="O756">
        <f>IF(N756=1,IF(COUNTIFS(C$5:C756,C756,N$5:N756,1)=1,1,0),0)</f>
        <v/>
      </c>
      <c r="P756">
        <f>IF(C756="",0,IF(AND(B756="brand",E756="renewal_answer",N(F756)&gt;=Inputs!$C$125),1,0))</f>
        <v/>
      </c>
      <c r="Q756">
        <f>IF(AND(B756="office",E756="budget_probe",ISNUMBER(F756)),F756,"")</f>
        <v/>
      </c>
      <c r="R756">
        <f>IF(AND(B756="brand",E756="budget_probe",ISNUMBER(F756)),F756,"")</f>
        <v/>
      </c>
    </row>
    <row r="757">
      <c r="A757" s="91" t="n"/>
      <c r="B757" s="92" t="n"/>
      <c r="C757" s="92" t="n"/>
      <c r="D757" s="92" t="n"/>
      <c r="E757" s="92" t="n"/>
      <c r="F757" s="92" t="n"/>
      <c r="G757" s="92" t="n"/>
      <c r="H757" s="92" t="n"/>
      <c r="I757" s="92" t="n"/>
      <c r="K757">
        <f>IF(C757="","",IF(COUNTIFS(C$5:C757,C757,E$5:E757,E757)=1,1,0))</f>
        <v/>
      </c>
      <c r="L757">
        <f>IF(C757="",0,IF(AND(B757="brand",E757="budget_probe",N(F757)&gt;=Inputs!$C$114,H757="Y"),1,0))</f>
        <v/>
      </c>
      <c r="M757">
        <f>IF(L757=1,IF(COUNTIFS(C$5:C757,C757,L$5:L757,1)=1,1,0),0)</f>
        <v/>
      </c>
      <c r="N757">
        <f>IF(C757="",0,IF(AND(B757="office",E757="budget_probe",N(F757)&gt;=Inputs!$C$129),1,0))</f>
        <v/>
      </c>
      <c r="O757">
        <f>IF(N757=1,IF(COUNTIFS(C$5:C757,C757,N$5:N757,1)=1,1,0),0)</f>
        <v/>
      </c>
      <c r="P757">
        <f>IF(C757="",0,IF(AND(B757="brand",E757="renewal_answer",N(F757)&gt;=Inputs!$C$125),1,0))</f>
        <v/>
      </c>
      <c r="Q757">
        <f>IF(AND(B757="office",E757="budget_probe",ISNUMBER(F757)),F757,"")</f>
        <v/>
      </c>
      <c r="R757">
        <f>IF(AND(B757="brand",E757="budget_probe",ISNUMBER(F757)),F757,"")</f>
        <v/>
      </c>
    </row>
    <row r="758">
      <c r="A758" s="91" t="n"/>
      <c r="B758" s="92" t="n"/>
      <c r="C758" s="92" t="n"/>
      <c r="D758" s="92" t="n"/>
      <c r="E758" s="92" t="n"/>
      <c r="F758" s="92" t="n"/>
      <c r="G758" s="92" t="n"/>
      <c r="H758" s="92" t="n"/>
      <c r="I758" s="92" t="n"/>
      <c r="K758">
        <f>IF(C758="","",IF(COUNTIFS(C$5:C758,C758,E$5:E758,E758)=1,1,0))</f>
        <v/>
      </c>
      <c r="L758">
        <f>IF(C758="",0,IF(AND(B758="brand",E758="budget_probe",N(F758)&gt;=Inputs!$C$114,H758="Y"),1,0))</f>
        <v/>
      </c>
      <c r="M758">
        <f>IF(L758=1,IF(COUNTIFS(C$5:C758,C758,L$5:L758,1)=1,1,0),0)</f>
        <v/>
      </c>
      <c r="N758">
        <f>IF(C758="",0,IF(AND(B758="office",E758="budget_probe",N(F758)&gt;=Inputs!$C$129),1,0))</f>
        <v/>
      </c>
      <c r="O758">
        <f>IF(N758=1,IF(COUNTIFS(C$5:C758,C758,N$5:N758,1)=1,1,0),0)</f>
        <v/>
      </c>
      <c r="P758">
        <f>IF(C758="",0,IF(AND(B758="brand",E758="renewal_answer",N(F758)&gt;=Inputs!$C$125),1,0))</f>
        <v/>
      </c>
      <c r="Q758">
        <f>IF(AND(B758="office",E758="budget_probe",ISNUMBER(F758)),F758,"")</f>
        <v/>
      </c>
      <c r="R758">
        <f>IF(AND(B758="brand",E758="budget_probe",ISNUMBER(F758)),F758,"")</f>
        <v/>
      </c>
    </row>
    <row r="759">
      <c r="A759" s="91" t="n"/>
      <c r="B759" s="92" t="n"/>
      <c r="C759" s="92" t="n"/>
      <c r="D759" s="92" t="n"/>
      <c r="E759" s="92" t="n"/>
      <c r="F759" s="92" t="n"/>
      <c r="G759" s="92" t="n"/>
      <c r="H759" s="92" t="n"/>
      <c r="I759" s="92" t="n"/>
      <c r="K759">
        <f>IF(C759="","",IF(COUNTIFS(C$5:C759,C759,E$5:E759,E759)=1,1,0))</f>
        <v/>
      </c>
      <c r="L759">
        <f>IF(C759="",0,IF(AND(B759="brand",E759="budget_probe",N(F759)&gt;=Inputs!$C$114,H759="Y"),1,0))</f>
        <v/>
      </c>
      <c r="M759">
        <f>IF(L759=1,IF(COUNTIFS(C$5:C759,C759,L$5:L759,1)=1,1,0),0)</f>
        <v/>
      </c>
      <c r="N759">
        <f>IF(C759="",0,IF(AND(B759="office",E759="budget_probe",N(F759)&gt;=Inputs!$C$129),1,0))</f>
        <v/>
      </c>
      <c r="O759">
        <f>IF(N759=1,IF(COUNTIFS(C$5:C759,C759,N$5:N759,1)=1,1,0),0)</f>
        <v/>
      </c>
      <c r="P759">
        <f>IF(C759="",0,IF(AND(B759="brand",E759="renewal_answer",N(F759)&gt;=Inputs!$C$125),1,0))</f>
        <v/>
      </c>
      <c r="Q759">
        <f>IF(AND(B759="office",E759="budget_probe",ISNUMBER(F759)),F759,"")</f>
        <v/>
      </c>
      <c r="R759">
        <f>IF(AND(B759="brand",E759="budget_probe",ISNUMBER(F759)),F759,"")</f>
        <v/>
      </c>
    </row>
    <row r="760">
      <c r="A760" s="91" t="n"/>
      <c r="B760" s="92" t="n"/>
      <c r="C760" s="92" t="n"/>
      <c r="D760" s="92" t="n"/>
      <c r="E760" s="92" t="n"/>
      <c r="F760" s="92" t="n"/>
      <c r="G760" s="92" t="n"/>
      <c r="H760" s="92" t="n"/>
      <c r="I760" s="92" t="n"/>
      <c r="K760">
        <f>IF(C760="","",IF(COUNTIFS(C$5:C760,C760,E$5:E760,E760)=1,1,0))</f>
        <v/>
      </c>
      <c r="L760">
        <f>IF(C760="",0,IF(AND(B760="brand",E760="budget_probe",N(F760)&gt;=Inputs!$C$114,H760="Y"),1,0))</f>
        <v/>
      </c>
      <c r="M760">
        <f>IF(L760=1,IF(COUNTIFS(C$5:C760,C760,L$5:L760,1)=1,1,0),0)</f>
        <v/>
      </c>
      <c r="N760">
        <f>IF(C760="",0,IF(AND(B760="office",E760="budget_probe",N(F760)&gt;=Inputs!$C$129),1,0))</f>
        <v/>
      </c>
      <c r="O760">
        <f>IF(N760=1,IF(COUNTIFS(C$5:C760,C760,N$5:N760,1)=1,1,0),0)</f>
        <v/>
      </c>
      <c r="P760">
        <f>IF(C760="",0,IF(AND(B760="brand",E760="renewal_answer",N(F760)&gt;=Inputs!$C$125),1,0))</f>
        <v/>
      </c>
      <c r="Q760">
        <f>IF(AND(B760="office",E760="budget_probe",ISNUMBER(F760)),F760,"")</f>
        <v/>
      </c>
      <c r="R760">
        <f>IF(AND(B760="brand",E760="budget_probe",ISNUMBER(F760)),F760,"")</f>
        <v/>
      </c>
    </row>
    <row r="761">
      <c r="A761" s="91" t="n"/>
      <c r="B761" s="92" t="n"/>
      <c r="C761" s="92" t="n"/>
      <c r="D761" s="92" t="n"/>
      <c r="E761" s="92" t="n"/>
      <c r="F761" s="92" t="n"/>
      <c r="G761" s="92" t="n"/>
      <c r="H761" s="92" t="n"/>
      <c r="I761" s="92" t="n"/>
      <c r="K761">
        <f>IF(C761="","",IF(COUNTIFS(C$5:C761,C761,E$5:E761,E761)=1,1,0))</f>
        <v/>
      </c>
      <c r="L761">
        <f>IF(C761="",0,IF(AND(B761="brand",E761="budget_probe",N(F761)&gt;=Inputs!$C$114,H761="Y"),1,0))</f>
        <v/>
      </c>
      <c r="M761">
        <f>IF(L761=1,IF(COUNTIFS(C$5:C761,C761,L$5:L761,1)=1,1,0),0)</f>
        <v/>
      </c>
      <c r="N761">
        <f>IF(C761="",0,IF(AND(B761="office",E761="budget_probe",N(F761)&gt;=Inputs!$C$129),1,0))</f>
        <v/>
      </c>
      <c r="O761">
        <f>IF(N761=1,IF(COUNTIFS(C$5:C761,C761,N$5:N761,1)=1,1,0),0)</f>
        <v/>
      </c>
      <c r="P761">
        <f>IF(C761="",0,IF(AND(B761="brand",E761="renewal_answer",N(F761)&gt;=Inputs!$C$125),1,0))</f>
        <v/>
      </c>
      <c r="Q761">
        <f>IF(AND(B761="office",E761="budget_probe",ISNUMBER(F761)),F761,"")</f>
        <v/>
      </c>
      <c r="R761">
        <f>IF(AND(B761="brand",E761="budget_probe",ISNUMBER(F761)),F761,"")</f>
        <v/>
      </c>
    </row>
    <row r="762">
      <c r="A762" s="91" t="n"/>
      <c r="B762" s="92" t="n"/>
      <c r="C762" s="92" t="n"/>
      <c r="D762" s="92" t="n"/>
      <c r="E762" s="92" t="n"/>
      <c r="F762" s="92" t="n"/>
      <c r="G762" s="92" t="n"/>
      <c r="H762" s="92" t="n"/>
      <c r="I762" s="92" t="n"/>
      <c r="K762">
        <f>IF(C762="","",IF(COUNTIFS(C$5:C762,C762,E$5:E762,E762)=1,1,0))</f>
        <v/>
      </c>
      <c r="L762">
        <f>IF(C762="",0,IF(AND(B762="brand",E762="budget_probe",N(F762)&gt;=Inputs!$C$114,H762="Y"),1,0))</f>
        <v/>
      </c>
      <c r="M762">
        <f>IF(L762=1,IF(COUNTIFS(C$5:C762,C762,L$5:L762,1)=1,1,0),0)</f>
        <v/>
      </c>
      <c r="N762">
        <f>IF(C762="",0,IF(AND(B762="office",E762="budget_probe",N(F762)&gt;=Inputs!$C$129),1,0))</f>
        <v/>
      </c>
      <c r="O762">
        <f>IF(N762=1,IF(COUNTIFS(C$5:C762,C762,N$5:N762,1)=1,1,0),0)</f>
        <v/>
      </c>
      <c r="P762">
        <f>IF(C762="",0,IF(AND(B762="brand",E762="renewal_answer",N(F762)&gt;=Inputs!$C$125),1,0))</f>
        <v/>
      </c>
      <c r="Q762">
        <f>IF(AND(B762="office",E762="budget_probe",ISNUMBER(F762)),F762,"")</f>
        <v/>
      </c>
      <c r="R762">
        <f>IF(AND(B762="brand",E762="budget_probe",ISNUMBER(F762)),F762,"")</f>
        <v/>
      </c>
    </row>
    <row r="763">
      <c r="A763" s="91" t="n"/>
      <c r="B763" s="92" t="n"/>
      <c r="C763" s="92" t="n"/>
      <c r="D763" s="92" t="n"/>
      <c r="E763" s="92" t="n"/>
      <c r="F763" s="92" t="n"/>
      <c r="G763" s="92" t="n"/>
      <c r="H763" s="92" t="n"/>
      <c r="I763" s="92" t="n"/>
      <c r="K763">
        <f>IF(C763="","",IF(COUNTIFS(C$5:C763,C763,E$5:E763,E763)=1,1,0))</f>
        <v/>
      </c>
      <c r="L763">
        <f>IF(C763="",0,IF(AND(B763="brand",E763="budget_probe",N(F763)&gt;=Inputs!$C$114,H763="Y"),1,0))</f>
        <v/>
      </c>
      <c r="M763">
        <f>IF(L763=1,IF(COUNTIFS(C$5:C763,C763,L$5:L763,1)=1,1,0),0)</f>
        <v/>
      </c>
      <c r="N763">
        <f>IF(C763="",0,IF(AND(B763="office",E763="budget_probe",N(F763)&gt;=Inputs!$C$129),1,0))</f>
        <v/>
      </c>
      <c r="O763">
        <f>IF(N763=1,IF(COUNTIFS(C$5:C763,C763,N$5:N763,1)=1,1,0),0)</f>
        <v/>
      </c>
      <c r="P763">
        <f>IF(C763="",0,IF(AND(B763="brand",E763="renewal_answer",N(F763)&gt;=Inputs!$C$125),1,0))</f>
        <v/>
      </c>
      <c r="Q763">
        <f>IF(AND(B763="office",E763="budget_probe",ISNUMBER(F763)),F763,"")</f>
        <v/>
      </c>
      <c r="R763">
        <f>IF(AND(B763="brand",E763="budget_probe",ISNUMBER(F763)),F763,"")</f>
        <v/>
      </c>
    </row>
    <row r="764">
      <c r="A764" s="91" t="n"/>
      <c r="B764" s="92" t="n"/>
      <c r="C764" s="92" t="n"/>
      <c r="D764" s="92" t="n"/>
      <c r="E764" s="92" t="n"/>
      <c r="F764" s="92" t="n"/>
      <c r="G764" s="92" t="n"/>
      <c r="H764" s="92" t="n"/>
      <c r="I764" s="92" t="n"/>
      <c r="K764">
        <f>IF(C764="","",IF(COUNTIFS(C$5:C764,C764,E$5:E764,E764)=1,1,0))</f>
        <v/>
      </c>
      <c r="L764">
        <f>IF(C764="",0,IF(AND(B764="brand",E764="budget_probe",N(F764)&gt;=Inputs!$C$114,H764="Y"),1,0))</f>
        <v/>
      </c>
      <c r="M764">
        <f>IF(L764=1,IF(COUNTIFS(C$5:C764,C764,L$5:L764,1)=1,1,0),0)</f>
        <v/>
      </c>
      <c r="N764">
        <f>IF(C764="",0,IF(AND(B764="office",E764="budget_probe",N(F764)&gt;=Inputs!$C$129),1,0))</f>
        <v/>
      </c>
      <c r="O764">
        <f>IF(N764=1,IF(COUNTIFS(C$5:C764,C764,N$5:N764,1)=1,1,0),0)</f>
        <v/>
      </c>
      <c r="P764">
        <f>IF(C764="",0,IF(AND(B764="brand",E764="renewal_answer",N(F764)&gt;=Inputs!$C$125),1,0))</f>
        <v/>
      </c>
      <c r="Q764">
        <f>IF(AND(B764="office",E764="budget_probe",ISNUMBER(F764)),F764,"")</f>
        <v/>
      </c>
      <c r="R764">
        <f>IF(AND(B764="brand",E764="budget_probe",ISNUMBER(F764)),F764,"")</f>
        <v/>
      </c>
    </row>
    <row r="765">
      <c r="A765" s="91" t="n"/>
      <c r="B765" s="92" t="n"/>
      <c r="C765" s="92" t="n"/>
      <c r="D765" s="92" t="n"/>
      <c r="E765" s="92" t="n"/>
      <c r="F765" s="92" t="n"/>
      <c r="G765" s="92" t="n"/>
      <c r="H765" s="92" t="n"/>
      <c r="I765" s="92" t="n"/>
      <c r="K765">
        <f>IF(C765="","",IF(COUNTIFS(C$5:C765,C765,E$5:E765,E765)=1,1,0))</f>
        <v/>
      </c>
      <c r="L765">
        <f>IF(C765="",0,IF(AND(B765="brand",E765="budget_probe",N(F765)&gt;=Inputs!$C$114,H765="Y"),1,0))</f>
        <v/>
      </c>
      <c r="M765">
        <f>IF(L765=1,IF(COUNTIFS(C$5:C765,C765,L$5:L765,1)=1,1,0),0)</f>
        <v/>
      </c>
      <c r="N765">
        <f>IF(C765="",0,IF(AND(B765="office",E765="budget_probe",N(F765)&gt;=Inputs!$C$129),1,0))</f>
        <v/>
      </c>
      <c r="O765">
        <f>IF(N765=1,IF(COUNTIFS(C$5:C765,C765,N$5:N765,1)=1,1,0),0)</f>
        <v/>
      </c>
      <c r="P765">
        <f>IF(C765="",0,IF(AND(B765="brand",E765="renewal_answer",N(F765)&gt;=Inputs!$C$125),1,0))</f>
        <v/>
      </c>
      <c r="Q765">
        <f>IF(AND(B765="office",E765="budget_probe",ISNUMBER(F765)),F765,"")</f>
        <v/>
      </c>
      <c r="R765">
        <f>IF(AND(B765="brand",E765="budget_probe",ISNUMBER(F765)),F765,"")</f>
        <v/>
      </c>
    </row>
    <row r="766">
      <c r="A766" s="91" t="n"/>
      <c r="B766" s="92" t="n"/>
      <c r="C766" s="92" t="n"/>
      <c r="D766" s="92" t="n"/>
      <c r="E766" s="92" t="n"/>
      <c r="F766" s="92" t="n"/>
      <c r="G766" s="92" t="n"/>
      <c r="H766" s="92" t="n"/>
      <c r="I766" s="92" t="n"/>
      <c r="K766">
        <f>IF(C766="","",IF(COUNTIFS(C$5:C766,C766,E$5:E766,E766)=1,1,0))</f>
        <v/>
      </c>
      <c r="L766">
        <f>IF(C766="",0,IF(AND(B766="brand",E766="budget_probe",N(F766)&gt;=Inputs!$C$114,H766="Y"),1,0))</f>
        <v/>
      </c>
      <c r="M766">
        <f>IF(L766=1,IF(COUNTIFS(C$5:C766,C766,L$5:L766,1)=1,1,0),0)</f>
        <v/>
      </c>
      <c r="N766">
        <f>IF(C766="",0,IF(AND(B766="office",E766="budget_probe",N(F766)&gt;=Inputs!$C$129),1,0))</f>
        <v/>
      </c>
      <c r="O766">
        <f>IF(N766=1,IF(COUNTIFS(C$5:C766,C766,N$5:N766,1)=1,1,0),0)</f>
        <v/>
      </c>
      <c r="P766">
        <f>IF(C766="",0,IF(AND(B766="brand",E766="renewal_answer",N(F766)&gt;=Inputs!$C$125),1,0))</f>
        <v/>
      </c>
      <c r="Q766">
        <f>IF(AND(B766="office",E766="budget_probe",ISNUMBER(F766)),F766,"")</f>
        <v/>
      </c>
      <c r="R766">
        <f>IF(AND(B766="brand",E766="budget_probe",ISNUMBER(F766)),F766,"")</f>
        <v/>
      </c>
    </row>
    <row r="767">
      <c r="A767" s="91" t="n"/>
      <c r="B767" s="92" t="n"/>
      <c r="C767" s="92" t="n"/>
      <c r="D767" s="92" t="n"/>
      <c r="E767" s="92" t="n"/>
      <c r="F767" s="92" t="n"/>
      <c r="G767" s="92" t="n"/>
      <c r="H767" s="92" t="n"/>
      <c r="I767" s="92" t="n"/>
      <c r="K767">
        <f>IF(C767="","",IF(COUNTIFS(C$5:C767,C767,E$5:E767,E767)=1,1,0))</f>
        <v/>
      </c>
      <c r="L767">
        <f>IF(C767="",0,IF(AND(B767="brand",E767="budget_probe",N(F767)&gt;=Inputs!$C$114,H767="Y"),1,0))</f>
        <v/>
      </c>
      <c r="M767">
        <f>IF(L767=1,IF(COUNTIFS(C$5:C767,C767,L$5:L767,1)=1,1,0),0)</f>
        <v/>
      </c>
      <c r="N767">
        <f>IF(C767="",0,IF(AND(B767="office",E767="budget_probe",N(F767)&gt;=Inputs!$C$129),1,0))</f>
        <v/>
      </c>
      <c r="O767">
        <f>IF(N767=1,IF(COUNTIFS(C$5:C767,C767,N$5:N767,1)=1,1,0),0)</f>
        <v/>
      </c>
      <c r="P767">
        <f>IF(C767="",0,IF(AND(B767="brand",E767="renewal_answer",N(F767)&gt;=Inputs!$C$125),1,0))</f>
        <v/>
      </c>
      <c r="Q767">
        <f>IF(AND(B767="office",E767="budget_probe",ISNUMBER(F767)),F767,"")</f>
        <v/>
      </c>
      <c r="R767">
        <f>IF(AND(B767="brand",E767="budget_probe",ISNUMBER(F767)),F767,"")</f>
        <v/>
      </c>
    </row>
    <row r="768">
      <c r="A768" s="91" t="n"/>
      <c r="B768" s="92" t="n"/>
      <c r="C768" s="92" t="n"/>
      <c r="D768" s="92" t="n"/>
      <c r="E768" s="92" t="n"/>
      <c r="F768" s="92" t="n"/>
      <c r="G768" s="92" t="n"/>
      <c r="H768" s="92" t="n"/>
      <c r="I768" s="92" t="n"/>
      <c r="K768">
        <f>IF(C768="","",IF(COUNTIFS(C$5:C768,C768,E$5:E768,E768)=1,1,0))</f>
        <v/>
      </c>
      <c r="L768">
        <f>IF(C768="",0,IF(AND(B768="brand",E768="budget_probe",N(F768)&gt;=Inputs!$C$114,H768="Y"),1,0))</f>
        <v/>
      </c>
      <c r="M768">
        <f>IF(L768=1,IF(COUNTIFS(C$5:C768,C768,L$5:L768,1)=1,1,0),0)</f>
        <v/>
      </c>
      <c r="N768">
        <f>IF(C768="",0,IF(AND(B768="office",E768="budget_probe",N(F768)&gt;=Inputs!$C$129),1,0))</f>
        <v/>
      </c>
      <c r="O768">
        <f>IF(N768=1,IF(COUNTIFS(C$5:C768,C768,N$5:N768,1)=1,1,0),0)</f>
        <v/>
      </c>
      <c r="P768">
        <f>IF(C768="",0,IF(AND(B768="brand",E768="renewal_answer",N(F768)&gt;=Inputs!$C$125),1,0))</f>
        <v/>
      </c>
      <c r="Q768">
        <f>IF(AND(B768="office",E768="budget_probe",ISNUMBER(F768)),F768,"")</f>
        <v/>
      </c>
      <c r="R768">
        <f>IF(AND(B768="brand",E768="budget_probe",ISNUMBER(F768)),F768,"")</f>
        <v/>
      </c>
    </row>
    <row r="769">
      <c r="A769" s="91" t="n"/>
      <c r="B769" s="92" t="n"/>
      <c r="C769" s="92" t="n"/>
      <c r="D769" s="92" t="n"/>
      <c r="E769" s="92" t="n"/>
      <c r="F769" s="92" t="n"/>
      <c r="G769" s="92" t="n"/>
      <c r="H769" s="92" t="n"/>
      <c r="I769" s="92" t="n"/>
      <c r="K769">
        <f>IF(C769="","",IF(COUNTIFS(C$5:C769,C769,E$5:E769,E769)=1,1,0))</f>
        <v/>
      </c>
      <c r="L769">
        <f>IF(C769="",0,IF(AND(B769="brand",E769="budget_probe",N(F769)&gt;=Inputs!$C$114,H769="Y"),1,0))</f>
        <v/>
      </c>
      <c r="M769">
        <f>IF(L769=1,IF(COUNTIFS(C$5:C769,C769,L$5:L769,1)=1,1,0),0)</f>
        <v/>
      </c>
      <c r="N769">
        <f>IF(C769="",0,IF(AND(B769="office",E769="budget_probe",N(F769)&gt;=Inputs!$C$129),1,0))</f>
        <v/>
      </c>
      <c r="O769">
        <f>IF(N769=1,IF(COUNTIFS(C$5:C769,C769,N$5:N769,1)=1,1,0),0)</f>
        <v/>
      </c>
      <c r="P769">
        <f>IF(C769="",0,IF(AND(B769="brand",E769="renewal_answer",N(F769)&gt;=Inputs!$C$125),1,0))</f>
        <v/>
      </c>
      <c r="Q769">
        <f>IF(AND(B769="office",E769="budget_probe",ISNUMBER(F769)),F769,"")</f>
        <v/>
      </c>
      <c r="R769">
        <f>IF(AND(B769="brand",E769="budget_probe",ISNUMBER(F769)),F769,"")</f>
        <v/>
      </c>
    </row>
    <row r="770">
      <c r="A770" s="91" t="n"/>
      <c r="B770" s="92" t="n"/>
      <c r="C770" s="92" t="n"/>
      <c r="D770" s="92" t="n"/>
      <c r="E770" s="92" t="n"/>
      <c r="F770" s="92" t="n"/>
      <c r="G770" s="92" t="n"/>
      <c r="H770" s="92" t="n"/>
      <c r="I770" s="92" t="n"/>
      <c r="K770">
        <f>IF(C770="","",IF(COUNTIFS(C$5:C770,C770,E$5:E770,E770)=1,1,0))</f>
        <v/>
      </c>
      <c r="L770">
        <f>IF(C770="",0,IF(AND(B770="brand",E770="budget_probe",N(F770)&gt;=Inputs!$C$114,H770="Y"),1,0))</f>
        <v/>
      </c>
      <c r="M770">
        <f>IF(L770=1,IF(COUNTIFS(C$5:C770,C770,L$5:L770,1)=1,1,0),0)</f>
        <v/>
      </c>
      <c r="N770">
        <f>IF(C770="",0,IF(AND(B770="office",E770="budget_probe",N(F770)&gt;=Inputs!$C$129),1,0))</f>
        <v/>
      </c>
      <c r="O770">
        <f>IF(N770=1,IF(COUNTIFS(C$5:C770,C770,N$5:N770,1)=1,1,0),0)</f>
        <v/>
      </c>
      <c r="P770">
        <f>IF(C770="",0,IF(AND(B770="brand",E770="renewal_answer",N(F770)&gt;=Inputs!$C$125),1,0))</f>
        <v/>
      </c>
      <c r="Q770">
        <f>IF(AND(B770="office",E770="budget_probe",ISNUMBER(F770)),F770,"")</f>
        <v/>
      </c>
      <c r="R770">
        <f>IF(AND(B770="brand",E770="budget_probe",ISNUMBER(F770)),F770,"")</f>
        <v/>
      </c>
    </row>
    <row r="771">
      <c r="A771" s="91" t="n"/>
      <c r="B771" s="92" t="n"/>
      <c r="C771" s="92" t="n"/>
      <c r="D771" s="92" t="n"/>
      <c r="E771" s="92" t="n"/>
      <c r="F771" s="92" t="n"/>
      <c r="G771" s="92" t="n"/>
      <c r="H771" s="92" t="n"/>
      <c r="I771" s="92" t="n"/>
      <c r="K771">
        <f>IF(C771="","",IF(COUNTIFS(C$5:C771,C771,E$5:E771,E771)=1,1,0))</f>
        <v/>
      </c>
      <c r="L771">
        <f>IF(C771="",0,IF(AND(B771="brand",E771="budget_probe",N(F771)&gt;=Inputs!$C$114,H771="Y"),1,0))</f>
        <v/>
      </c>
      <c r="M771">
        <f>IF(L771=1,IF(COUNTIFS(C$5:C771,C771,L$5:L771,1)=1,1,0),0)</f>
        <v/>
      </c>
      <c r="N771">
        <f>IF(C771="",0,IF(AND(B771="office",E771="budget_probe",N(F771)&gt;=Inputs!$C$129),1,0))</f>
        <v/>
      </c>
      <c r="O771">
        <f>IF(N771=1,IF(COUNTIFS(C$5:C771,C771,N$5:N771,1)=1,1,0),0)</f>
        <v/>
      </c>
      <c r="P771">
        <f>IF(C771="",0,IF(AND(B771="brand",E771="renewal_answer",N(F771)&gt;=Inputs!$C$125),1,0))</f>
        <v/>
      </c>
      <c r="Q771">
        <f>IF(AND(B771="office",E771="budget_probe",ISNUMBER(F771)),F771,"")</f>
        <v/>
      </c>
      <c r="R771">
        <f>IF(AND(B771="brand",E771="budget_probe",ISNUMBER(F771)),F771,"")</f>
        <v/>
      </c>
    </row>
    <row r="772">
      <c r="A772" s="91" t="n"/>
      <c r="B772" s="92" t="n"/>
      <c r="C772" s="92" t="n"/>
      <c r="D772" s="92" t="n"/>
      <c r="E772" s="92" t="n"/>
      <c r="F772" s="92" t="n"/>
      <c r="G772" s="92" t="n"/>
      <c r="H772" s="92" t="n"/>
      <c r="I772" s="92" t="n"/>
      <c r="K772">
        <f>IF(C772="","",IF(COUNTIFS(C$5:C772,C772,E$5:E772,E772)=1,1,0))</f>
        <v/>
      </c>
      <c r="L772">
        <f>IF(C772="",0,IF(AND(B772="brand",E772="budget_probe",N(F772)&gt;=Inputs!$C$114,H772="Y"),1,0))</f>
        <v/>
      </c>
      <c r="M772">
        <f>IF(L772=1,IF(COUNTIFS(C$5:C772,C772,L$5:L772,1)=1,1,0),0)</f>
        <v/>
      </c>
      <c r="N772">
        <f>IF(C772="",0,IF(AND(B772="office",E772="budget_probe",N(F772)&gt;=Inputs!$C$129),1,0))</f>
        <v/>
      </c>
      <c r="O772">
        <f>IF(N772=1,IF(COUNTIFS(C$5:C772,C772,N$5:N772,1)=1,1,0),0)</f>
        <v/>
      </c>
      <c r="P772">
        <f>IF(C772="",0,IF(AND(B772="brand",E772="renewal_answer",N(F772)&gt;=Inputs!$C$125),1,0))</f>
        <v/>
      </c>
      <c r="Q772">
        <f>IF(AND(B772="office",E772="budget_probe",ISNUMBER(F772)),F772,"")</f>
        <v/>
      </c>
      <c r="R772">
        <f>IF(AND(B772="brand",E772="budget_probe",ISNUMBER(F772)),F772,"")</f>
        <v/>
      </c>
    </row>
    <row r="773">
      <c r="A773" s="91" t="n"/>
      <c r="B773" s="92" t="n"/>
      <c r="C773" s="92" t="n"/>
      <c r="D773" s="92" t="n"/>
      <c r="E773" s="92" t="n"/>
      <c r="F773" s="92" t="n"/>
      <c r="G773" s="92" t="n"/>
      <c r="H773" s="92" t="n"/>
      <c r="I773" s="92" t="n"/>
      <c r="K773">
        <f>IF(C773="","",IF(COUNTIFS(C$5:C773,C773,E$5:E773,E773)=1,1,0))</f>
        <v/>
      </c>
      <c r="L773">
        <f>IF(C773="",0,IF(AND(B773="brand",E773="budget_probe",N(F773)&gt;=Inputs!$C$114,H773="Y"),1,0))</f>
        <v/>
      </c>
      <c r="M773">
        <f>IF(L773=1,IF(COUNTIFS(C$5:C773,C773,L$5:L773,1)=1,1,0),0)</f>
        <v/>
      </c>
      <c r="N773">
        <f>IF(C773="",0,IF(AND(B773="office",E773="budget_probe",N(F773)&gt;=Inputs!$C$129),1,0))</f>
        <v/>
      </c>
      <c r="O773">
        <f>IF(N773=1,IF(COUNTIFS(C$5:C773,C773,N$5:N773,1)=1,1,0),0)</f>
        <v/>
      </c>
      <c r="P773">
        <f>IF(C773="",0,IF(AND(B773="brand",E773="renewal_answer",N(F773)&gt;=Inputs!$C$125),1,0))</f>
        <v/>
      </c>
      <c r="Q773">
        <f>IF(AND(B773="office",E773="budget_probe",ISNUMBER(F773)),F773,"")</f>
        <v/>
      </c>
      <c r="R773">
        <f>IF(AND(B773="brand",E773="budget_probe",ISNUMBER(F773)),F773,"")</f>
        <v/>
      </c>
    </row>
    <row r="774">
      <c r="A774" s="91" t="n"/>
      <c r="B774" s="92" t="n"/>
      <c r="C774" s="92" t="n"/>
      <c r="D774" s="92" t="n"/>
      <c r="E774" s="92" t="n"/>
      <c r="F774" s="92" t="n"/>
      <c r="G774" s="92" t="n"/>
      <c r="H774" s="92" t="n"/>
      <c r="I774" s="92" t="n"/>
      <c r="K774">
        <f>IF(C774="","",IF(COUNTIFS(C$5:C774,C774,E$5:E774,E774)=1,1,0))</f>
        <v/>
      </c>
      <c r="L774">
        <f>IF(C774="",0,IF(AND(B774="brand",E774="budget_probe",N(F774)&gt;=Inputs!$C$114,H774="Y"),1,0))</f>
        <v/>
      </c>
      <c r="M774">
        <f>IF(L774=1,IF(COUNTIFS(C$5:C774,C774,L$5:L774,1)=1,1,0),0)</f>
        <v/>
      </c>
      <c r="N774">
        <f>IF(C774="",0,IF(AND(B774="office",E774="budget_probe",N(F774)&gt;=Inputs!$C$129),1,0))</f>
        <v/>
      </c>
      <c r="O774">
        <f>IF(N774=1,IF(COUNTIFS(C$5:C774,C774,N$5:N774,1)=1,1,0),0)</f>
        <v/>
      </c>
      <c r="P774">
        <f>IF(C774="",0,IF(AND(B774="brand",E774="renewal_answer",N(F774)&gt;=Inputs!$C$125),1,0))</f>
        <v/>
      </c>
      <c r="Q774">
        <f>IF(AND(B774="office",E774="budget_probe",ISNUMBER(F774)),F774,"")</f>
        <v/>
      </c>
      <c r="R774">
        <f>IF(AND(B774="brand",E774="budget_probe",ISNUMBER(F774)),F774,"")</f>
        <v/>
      </c>
    </row>
    <row r="775">
      <c r="A775" s="91" t="n"/>
      <c r="B775" s="92" t="n"/>
      <c r="C775" s="92" t="n"/>
      <c r="D775" s="92" t="n"/>
      <c r="E775" s="92" t="n"/>
      <c r="F775" s="92" t="n"/>
      <c r="G775" s="92" t="n"/>
      <c r="H775" s="92" t="n"/>
      <c r="I775" s="92" t="n"/>
      <c r="K775">
        <f>IF(C775="","",IF(COUNTIFS(C$5:C775,C775,E$5:E775,E775)=1,1,0))</f>
        <v/>
      </c>
      <c r="L775">
        <f>IF(C775="",0,IF(AND(B775="brand",E775="budget_probe",N(F775)&gt;=Inputs!$C$114,H775="Y"),1,0))</f>
        <v/>
      </c>
      <c r="M775">
        <f>IF(L775=1,IF(COUNTIFS(C$5:C775,C775,L$5:L775,1)=1,1,0),0)</f>
        <v/>
      </c>
      <c r="N775">
        <f>IF(C775="",0,IF(AND(B775="office",E775="budget_probe",N(F775)&gt;=Inputs!$C$129),1,0))</f>
        <v/>
      </c>
      <c r="O775">
        <f>IF(N775=1,IF(COUNTIFS(C$5:C775,C775,N$5:N775,1)=1,1,0),0)</f>
        <v/>
      </c>
      <c r="P775">
        <f>IF(C775="",0,IF(AND(B775="brand",E775="renewal_answer",N(F775)&gt;=Inputs!$C$125),1,0))</f>
        <v/>
      </c>
      <c r="Q775">
        <f>IF(AND(B775="office",E775="budget_probe",ISNUMBER(F775)),F775,"")</f>
        <v/>
      </c>
      <c r="R775">
        <f>IF(AND(B775="brand",E775="budget_probe",ISNUMBER(F775)),F775,"")</f>
        <v/>
      </c>
    </row>
    <row r="776">
      <c r="A776" s="91" t="n"/>
      <c r="B776" s="92" t="n"/>
      <c r="C776" s="92" t="n"/>
      <c r="D776" s="92" t="n"/>
      <c r="E776" s="92" t="n"/>
      <c r="F776" s="92" t="n"/>
      <c r="G776" s="92" t="n"/>
      <c r="H776" s="92" t="n"/>
      <c r="I776" s="92" t="n"/>
      <c r="K776">
        <f>IF(C776="","",IF(COUNTIFS(C$5:C776,C776,E$5:E776,E776)=1,1,0))</f>
        <v/>
      </c>
      <c r="L776">
        <f>IF(C776="",0,IF(AND(B776="brand",E776="budget_probe",N(F776)&gt;=Inputs!$C$114,H776="Y"),1,0))</f>
        <v/>
      </c>
      <c r="M776">
        <f>IF(L776=1,IF(COUNTIFS(C$5:C776,C776,L$5:L776,1)=1,1,0),0)</f>
        <v/>
      </c>
      <c r="N776">
        <f>IF(C776="",0,IF(AND(B776="office",E776="budget_probe",N(F776)&gt;=Inputs!$C$129),1,0))</f>
        <v/>
      </c>
      <c r="O776">
        <f>IF(N776=1,IF(COUNTIFS(C$5:C776,C776,N$5:N776,1)=1,1,0),0)</f>
        <v/>
      </c>
      <c r="P776">
        <f>IF(C776="",0,IF(AND(B776="brand",E776="renewal_answer",N(F776)&gt;=Inputs!$C$125),1,0))</f>
        <v/>
      </c>
      <c r="Q776">
        <f>IF(AND(B776="office",E776="budget_probe",ISNUMBER(F776)),F776,"")</f>
        <v/>
      </c>
      <c r="R776">
        <f>IF(AND(B776="brand",E776="budget_probe",ISNUMBER(F776)),F776,"")</f>
        <v/>
      </c>
    </row>
    <row r="777">
      <c r="A777" s="91" t="n"/>
      <c r="B777" s="92" t="n"/>
      <c r="C777" s="92" t="n"/>
      <c r="D777" s="92" t="n"/>
      <c r="E777" s="92" t="n"/>
      <c r="F777" s="92" t="n"/>
      <c r="G777" s="92" t="n"/>
      <c r="H777" s="92" t="n"/>
      <c r="I777" s="92" t="n"/>
      <c r="K777">
        <f>IF(C777="","",IF(COUNTIFS(C$5:C777,C777,E$5:E777,E777)=1,1,0))</f>
        <v/>
      </c>
      <c r="L777">
        <f>IF(C777="",0,IF(AND(B777="brand",E777="budget_probe",N(F777)&gt;=Inputs!$C$114,H777="Y"),1,0))</f>
        <v/>
      </c>
      <c r="M777">
        <f>IF(L777=1,IF(COUNTIFS(C$5:C777,C777,L$5:L777,1)=1,1,0),0)</f>
        <v/>
      </c>
      <c r="N777">
        <f>IF(C777="",0,IF(AND(B777="office",E777="budget_probe",N(F777)&gt;=Inputs!$C$129),1,0))</f>
        <v/>
      </c>
      <c r="O777">
        <f>IF(N777=1,IF(COUNTIFS(C$5:C777,C777,N$5:N777,1)=1,1,0),0)</f>
        <v/>
      </c>
      <c r="P777">
        <f>IF(C777="",0,IF(AND(B777="brand",E777="renewal_answer",N(F777)&gt;=Inputs!$C$125),1,0))</f>
        <v/>
      </c>
      <c r="Q777">
        <f>IF(AND(B777="office",E777="budget_probe",ISNUMBER(F777)),F777,"")</f>
        <v/>
      </c>
      <c r="R777">
        <f>IF(AND(B777="brand",E777="budget_probe",ISNUMBER(F777)),F777,"")</f>
        <v/>
      </c>
    </row>
    <row r="778">
      <c r="A778" s="91" t="n"/>
      <c r="B778" s="92" t="n"/>
      <c r="C778" s="92" t="n"/>
      <c r="D778" s="92" t="n"/>
      <c r="E778" s="92" t="n"/>
      <c r="F778" s="92" t="n"/>
      <c r="G778" s="92" t="n"/>
      <c r="H778" s="92" t="n"/>
      <c r="I778" s="92" t="n"/>
      <c r="K778">
        <f>IF(C778="","",IF(COUNTIFS(C$5:C778,C778,E$5:E778,E778)=1,1,0))</f>
        <v/>
      </c>
      <c r="L778">
        <f>IF(C778="",0,IF(AND(B778="brand",E778="budget_probe",N(F778)&gt;=Inputs!$C$114,H778="Y"),1,0))</f>
        <v/>
      </c>
      <c r="M778">
        <f>IF(L778=1,IF(COUNTIFS(C$5:C778,C778,L$5:L778,1)=1,1,0),0)</f>
        <v/>
      </c>
      <c r="N778">
        <f>IF(C778="",0,IF(AND(B778="office",E778="budget_probe",N(F778)&gt;=Inputs!$C$129),1,0))</f>
        <v/>
      </c>
      <c r="O778">
        <f>IF(N778=1,IF(COUNTIFS(C$5:C778,C778,N$5:N778,1)=1,1,0),0)</f>
        <v/>
      </c>
      <c r="P778">
        <f>IF(C778="",0,IF(AND(B778="brand",E778="renewal_answer",N(F778)&gt;=Inputs!$C$125),1,0))</f>
        <v/>
      </c>
      <c r="Q778">
        <f>IF(AND(B778="office",E778="budget_probe",ISNUMBER(F778)),F778,"")</f>
        <v/>
      </c>
      <c r="R778">
        <f>IF(AND(B778="brand",E778="budget_probe",ISNUMBER(F778)),F778,"")</f>
        <v/>
      </c>
    </row>
    <row r="779">
      <c r="A779" s="91" t="n"/>
      <c r="B779" s="92" t="n"/>
      <c r="C779" s="92" t="n"/>
      <c r="D779" s="92" t="n"/>
      <c r="E779" s="92" t="n"/>
      <c r="F779" s="92" t="n"/>
      <c r="G779" s="92" t="n"/>
      <c r="H779" s="92" t="n"/>
      <c r="I779" s="92" t="n"/>
      <c r="K779">
        <f>IF(C779="","",IF(COUNTIFS(C$5:C779,C779,E$5:E779,E779)=1,1,0))</f>
        <v/>
      </c>
      <c r="L779">
        <f>IF(C779="",0,IF(AND(B779="brand",E779="budget_probe",N(F779)&gt;=Inputs!$C$114,H779="Y"),1,0))</f>
        <v/>
      </c>
      <c r="M779">
        <f>IF(L779=1,IF(COUNTIFS(C$5:C779,C779,L$5:L779,1)=1,1,0),0)</f>
        <v/>
      </c>
      <c r="N779">
        <f>IF(C779="",0,IF(AND(B779="office",E779="budget_probe",N(F779)&gt;=Inputs!$C$129),1,0))</f>
        <v/>
      </c>
      <c r="O779">
        <f>IF(N779=1,IF(COUNTIFS(C$5:C779,C779,N$5:N779,1)=1,1,0),0)</f>
        <v/>
      </c>
      <c r="P779">
        <f>IF(C779="",0,IF(AND(B779="brand",E779="renewal_answer",N(F779)&gt;=Inputs!$C$125),1,0))</f>
        <v/>
      </c>
      <c r="Q779">
        <f>IF(AND(B779="office",E779="budget_probe",ISNUMBER(F779)),F779,"")</f>
        <v/>
      </c>
      <c r="R779">
        <f>IF(AND(B779="brand",E779="budget_probe",ISNUMBER(F779)),F779,"")</f>
        <v/>
      </c>
    </row>
    <row r="780">
      <c r="A780" s="91" t="n"/>
      <c r="B780" s="92" t="n"/>
      <c r="C780" s="92" t="n"/>
      <c r="D780" s="92" t="n"/>
      <c r="E780" s="92" t="n"/>
      <c r="F780" s="92" t="n"/>
      <c r="G780" s="92" t="n"/>
      <c r="H780" s="92" t="n"/>
      <c r="I780" s="92" t="n"/>
      <c r="K780">
        <f>IF(C780="","",IF(COUNTIFS(C$5:C780,C780,E$5:E780,E780)=1,1,0))</f>
        <v/>
      </c>
      <c r="L780">
        <f>IF(C780="",0,IF(AND(B780="brand",E780="budget_probe",N(F780)&gt;=Inputs!$C$114,H780="Y"),1,0))</f>
        <v/>
      </c>
      <c r="M780">
        <f>IF(L780=1,IF(COUNTIFS(C$5:C780,C780,L$5:L780,1)=1,1,0),0)</f>
        <v/>
      </c>
      <c r="N780">
        <f>IF(C780="",0,IF(AND(B780="office",E780="budget_probe",N(F780)&gt;=Inputs!$C$129),1,0))</f>
        <v/>
      </c>
      <c r="O780">
        <f>IF(N780=1,IF(COUNTIFS(C$5:C780,C780,N$5:N780,1)=1,1,0),0)</f>
        <v/>
      </c>
      <c r="P780">
        <f>IF(C780="",0,IF(AND(B780="brand",E780="renewal_answer",N(F780)&gt;=Inputs!$C$125),1,0))</f>
        <v/>
      </c>
      <c r="Q780">
        <f>IF(AND(B780="office",E780="budget_probe",ISNUMBER(F780)),F780,"")</f>
        <v/>
      </c>
      <c r="R780">
        <f>IF(AND(B780="brand",E780="budget_probe",ISNUMBER(F780)),F780,"")</f>
        <v/>
      </c>
    </row>
    <row r="781">
      <c r="A781" s="91" t="n"/>
      <c r="B781" s="92" t="n"/>
      <c r="C781" s="92" t="n"/>
      <c r="D781" s="92" t="n"/>
      <c r="E781" s="92" t="n"/>
      <c r="F781" s="92" t="n"/>
      <c r="G781" s="92" t="n"/>
      <c r="H781" s="92" t="n"/>
      <c r="I781" s="92" t="n"/>
      <c r="K781">
        <f>IF(C781="","",IF(COUNTIFS(C$5:C781,C781,E$5:E781,E781)=1,1,0))</f>
        <v/>
      </c>
      <c r="L781">
        <f>IF(C781="",0,IF(AND(B781="brand",E781="budget_probe",N(F781)&gt;=Inputs!$C$114,H781="Y"),1,0))</f>
        <v/>
      </c>
      <c r="M781">
        <f>IF(L781=1,IF(COUNTIFS(C$5:C781,C781,L$5:L781,1)=1,1,0),0)</f>
        <v/>
      </c>
      <c r="N781">
        <f>IF(C781="",0,IF(AND(B781="office",E781="budget_probe",N(F781)&gt;=Inputs!$C$129),1,0))</f>
        <v/>
      </c>
      <c r="O781">
        <f>IF(N781=1,IF(COUNTIFS(C$5:C781,C781,N$5:N781,1)=1,1,0),0)</f>
        <v/>
      </c>
      <c r="P781">
        <f>IF(C781="",0,IF(AND(B781="brand",E781="renewal_answer",N(F781)&gt;=Inputs!$C$125),1,0))</f>
        <v/>
      </c>
      <c r="Q781">
        <f>IF(AND(B781="office",E781="budget_probe",ISNUMBER(F781)),F781,"")</f>
        <v/>
      </c>
      <c r="R781">
        <f>IF(AND(B781="brand",E781="budget_probe",ISNUMBER(F781)),F781,"")</f>
        <v/>
      </c>
    </row>
    <row r="782">
      <c r="A782" s="91" t="n"/>
      <c r="B782" s="92" t="n"/>
      <c r="C782" s="92" t="n"/>
      <c r="D782" s="92" t="n"/>
      <c r="E782" s="92" t="n"/>
      <c r="F782" s="92" t="n"/>
      <c r="G782" s="92" t="n"/>
      <c r="H782" s="92" t="n"/>
      <c r="I782" s="92" t="n"/>
      <c r="K782">
        <f>IF(C782="","",IF(COUNTIFS(C$5:C782,C782,E$5:E782,E782)=1,1,0))</f>
        <v/>
      </c>
      <c r="L782">
        <f>IF(C782="",0,IF(AND(B782="brand",E782="budget_probe",N(F782)&gt;=Inputs!$C$114,H782="Y"),1,0))</f>
        <v/>
      </c>
      <c r="M782">
        <f>IF(L782=1,IF(COUNTIFS(C$5:C782,C782,L$5:L782,1)=1,1,0),0)</f>
        <v/>
      </c>
      <c r="N782">
        <f>IF(C782="",0,IF(AND(B782="office",E782="budget_probe",N(F782)&gt;=Inputs!$C$129),1,0))</f>
        <v/>
      </c>
      <c r="O782">
        <f>IF(N782=1,IF(COUNTIFS(C$5:C782,C782,N$5:N782,1)=1,1,0),0)</f>
        <v/>
      </c>
      <c r="P782">
        <f>IF(C782="",0,IF(AND(B782="brand",E782="renewal_answer",N(F782)&gt;=Inputs!$C$125),1,0))</f>
        <v/>
      </c>
      <c r="Q782">
        <f>IF(AND(B782="office",E782="budget_probe",ISNUMBER(F782)),F782,"")</f>
        <v/>
      </c>
      <c r="R782">
        <f>IF(AND(B782="brand",E782="budget_probe",ISNUMBER(F782)),F782,"")</f>
        <v/>
      </c>
    </row>
    <row r="783">
      <c r="A783" s="91" t="n"/>
      <c r="B783" s="92" t="n"/>
      <c r="C783" s="92" t="n"/>
      <c r="D783" s="92" t="n"/>
      <c r="E783" s="92" t="n"/>
      <c r="F783" s="92" t="n"/>
      <c r="G783" s="92" t="n"/>
      <c r="H783" s="92" t="n"/>
      <c r="I783" s="92" t="n"/>
      <c r="K783">
        <f>IF(C783="","",IF(COUNTIFS(C$5:C783,C783,E$5:E783,E783)=1,1,0))</f>
        <v/>
      </c>
      <c r="L783">
        <f>IF(C783="",0,IF(AND(B783="brand",E783="budget_probe",N(F783)&gt;=Inputs!$C$114,H783="Y"),1,0))</f>
        <v/>
      </c>
      <c r="M783">
        <f>IF(L783=1,IF(COUNTIFS(C$5:C783,C783,L$5:L783,1)=1,1,0),0)</f>
        <v/>
      </c>
      <c r="N783">
        <f>IF(C783="",0,IF(AND(B783="office",E783="budget_probe",N(F783)&gt;=Inputs!$C$129),1,0))</f>
        <v/>
      </c>
      <c r="O783">
        <f>IF(N783=1,IF(COUNTIFS(C$5:C783,C783,N$5:N783,1)=1,1,0),0)</f>
        <v/>
      </c>
      <c r="P783">
        <f>IF(C783="",0,IF(AND(B783="brand",E783="renewal_answer",N(F783)&gt;=Inputs!$C$125),1,0))</f>
        <v/>
      </c>
      <c r="Q783">
        <f>IF(AND(B783="office",E783="budget_probe",ISNUMBER(F783)),F783,"")</f>
        <v/>
      </c>
      <c r="R783">
        <f>IF(AND(B783="brand",E783="budget_probe",ISNUMBER(F783)),F783,"")</f>
        <v/>
      </c>
    </row>
    <row r="784">
      <c r="A784" s="91" t="n"/>
      <c r="B784" s="92" t="n"/>
      <c r="C784" s="92" t="n"/>
      <c r="D784" s="92" t="n"/>
      <c r="E784" s="92" t="n"/>
      <c r="F784" s="92" t="n"/>
      <c r="G784" s="92" t="n"/>
      <c r="H784" s="92" t="n"/>
      <c r="I784" s="92" t="n"/>
      <c r="K784">
        <f>IF(C784="","",IF(COUNTIFS(C$5:C784,C784,E$5:E784,E784)=1,1,0))</f>
        <v/>
      </c>
      <c r="L784">
        <f>IF(C784="",0,IF(AND(B784="brand",E784="budget_probe",N(F784)&gt;=Inputs!$C$114,H784="Y"),1,0))</f>
        <v/>
      </c>
      <c r="M784">
        <f>IF(L784=1,IF(COUNTIFS(C$5:C784,C784,L$5:L784,1)=1,1,0),0)</f>
        <v/>
      </c>
      <c r="N784">
        <f>IF(C784="",0,IF(AND(B784="office",E784="budget_probe",N(F784)&gt;=Inputs!$C$129),1,0))</f>
        <v/>
      </c>
      <c r="O784">
        <f>IF(N784=1,IF(COUNTIFS(C$5:C784,C784,N$5:N784,1)=1,1,0),0)</f>
        <v/>
      </c>
      <c r="P784">
        <f>IF(C784="",0,IF(AND(B784="brand",E784="renewal_answer",N(F784)&gt;=Inputs!$C$125),1,0))</f>
        <v/>
      </c>
      <c r="Q784">
        <f>IF(AND(B784="office",E784="budget_probe",ISNUMBER(F784)),F784,"")</f>
        <v/>
      </c>
      <c r="R784">
        <f>IF(AND(B784="brand",E784="budget_probe",ISNUMBER(F784)),F784,"")</f>
        <v/>
      </c>
    </row>
    <row r="785">
      <c r="A785" s="91" t="n"/>
      <c r="B785" s="92" t="n"/>
      <c r="C785" s="92" t="n"/>
      <c r="D785" s="92" t="n"/>
      <c r="E785" s="92" t="n"/>
      <c r="F785" s="92" t="n"/>
      <c r="G785" s="92" t="n"/>
      <c r="H785" s="92" t="n"/>
      <c r="I785" s="92" t="n"/>
      <c r="K785">
        <f>IF(C785="","",IF(COUNTIFS(C$5:C785,C785,E$5:E785,E785)=1,1,0))</f>
        <v/>
      </c>
      <c r="L785">
        <f>IF(C785="",0,IF(AND(B785="brand",E785="budget_probe",N(F785)&gt;=Inputs!$C$114,H785="Y"),1,0))</f>
        <v/>
      </c>
      <c r="M785">
        <f>IF(L785=1,IF(COUNTIFS(C$5:C785,C785,L$5:L785,1)=1,1,0),0)</f>
        <v/>
      </c>
      <c r="N785">
        <f>IF(C785="",0,IF(AND(B785="office",E785="budget_probe",N(F785)&gt;=Inputs!$C$129),1,0))</f>
        <v/>
      </c>
      <c r="O785">
        <f>IF(N785=1,IF(COUNTIFS(C$5:C785,C785,N$5:N785,1)=1,1,0),0)</f>
        <v/>
      </c>
      <c r="P785">
        <f>IF(C785="",0,IF(AND(B785="brand",E785="renewal_answer",N(F785)&gt;=Inputs!$C$125),1,0))</f>
        <v/>
      </c>
      <c r="Q785">
        <f>IF(AND(B785="office",E785="budget_probe",ISNUMBER(F785)),F785,"")</f>
        <v/>
      </c>
      <c r="R785">
        <f>IF(AND(B785="brand",E785="budget_probe",ISNUMBER(F785)),F785,"")</f>
        <v/>
      </c>
    </row>
    <row r="786">
      <c r="A786" s="91" t="n"/>
      <c r="B786" s="92" t="n"/>
      <c r="C786" s="92" t="n"/>
      <c r="D786" s="92" t="n"/>
      <c r="E786" s="92" t="n"/>
      <c r="F786" s="92" t="n"/>
      <c r="G786" s="92" t="n"/>
      <c r="H786" s="92" t="n"/>
      <c r="I786" s="92" t="n"/>
      <c r="K786">
        <f>IF(C786="","",IF(COUNTIFS(C$5:C786,C786,E$5:E786,E786)=1,1,0))</f>
        <v/>
      </c>
      <c r="L786">
        <f>IF(C786="",0,IF(AND(B786="brand",E786="budget_probe",N(F786)&gt;=Inputs!$C$114,H786="Y"),1,0))</f>
        <v/>
      </c>
      <c r="M786">
        <f>IF(L786=1,IF(COUNTIFS(C$5:C786,C786,L$5:L786,1)=1,1,0),0)</f>
        <v/>
      </c>
      <c r="N786">
        <f>IF(C786="",0,IF(AND(B786="office",E786="budget_probe",N(F786)&gt;=Inputs!$C$129),1,0))</f>
        <v/>
      </c>
      <c r="O786">
        <f>IF(N786=1,IF(COUNTIFS(C$5:C786,C786,N$5:N786,1)=1,1,0),0)</f>
        <v/>
      </c>
      <c r="P786">
        <f>IF(C786="",0,IF(AND(B786="brand",E786="renewal_answer",N(F786)&gt;=Inputs!$C$125),1,0))</f>
        <v/>
      </c>
      <c r="Q786">
        <f>IF(AND(B786="office",E786="budget_probe",ISNUMBER(F786)),F786,"")</f>
        <v/>
      </c>
      <c r="R786">
        <f>IF(AND(B786="brand",E786="budget_probe",ISNUMBER(F786)),F786,"")</f>
        <v/>
      </c>
    </row>
    <row r="787">
      <c r="A787" s="91" t="n"/>
      <c r="B787" s="92" t="n"/>
      <c r="C787" s="92" t="n"/>
      <c r="D787" s="92" t="n"/>
      <c r="E787" s="92" t="n"/>
      <c r="F787" s="92" t="n"/>
      <c r="G787" s="92" t="n"/>
      <c r="H787" s="92" t="n"/>
      <c r="I787" s="92" t="n"/>
      <c r="K787">
        <f>IF(C787="","",IF(COUNTIFS(C$5:C787,C787,E$5:E787,E787)=1,1,0))</f>
        <v/>
      </c>
      <c r="L787">
        <f>IF(C787="",0,IF(AND(B787="brand",E787="budget_probe",N(F787)&gt;=Inputs!$C$114,H787="Y"),1,0))</f>
        <v/>
      </c>
      <c r="M787">
        <f>IF(L787=1,IF(COUNTIFS(C$5:C787,C787,L$5:L787,1)=1,1,0),0)</f>
        <v/>
      </c>
      <c r="N787">
        <f>IF(C787="",0,IF(AND(B787="office",E787="budget_probe",N(F787)&gt;=Inputs!$C$129),1,0))</f>
        <v/>
      </c>
      <c r="O787">
        <f>IF(N787=1,IF(COUNTIFS(C$5:C787,C787,N$5:N787,1)=1,1,0),0)</f>
        <v/>
      </c>
      <c r="P787">
        <f>IF(C787="",0,IF(AND(B787="brand",E787="renewal_answer",N(F787)&gt;=Inputs!$C$125),1,0))</f>
        <v/>
      </c>
      <c r="Q787">
        <f>IF(AND(B787="office",E787="budget_probe",ISNUMBER(F787)),F787,"")</f>
        <v/>
      </c>
      <c r="R787">
        <f>IF(AND(B787="brand",E787="budget_probe",ISNUMBER(F787)),F787,"")</f>
        <v/>
      </c>
    </row>
    <row r="788">
      <c r="A788" s="91" t="n"/>
      <c r="B788" s="92" t="n"/>
      <c r="C788" s="92" t="n"/>
      <c r="D788" s="92" t="n"/>
      <c r="E788" s="92" t="n"/>
      <c r="F788" s="92" t="n"/>
      <c r="G788" s="92" t="n"/>
      <c r="H788" s="92" t="n"/>
      <c r="I788" s="92" t="n"/>
      <c r="K788">
        <f>IF(C788="","",IF(COUNTIFS(C$5:C788,C788,E$5:E788,E788)=1,1,0))</f>
        <v/>
      </c>
      <c r="L788">
        <f>IF(C788="",0,IF(AND(B788="brand",E788="budget_probe",N(F788)&gt;=Inputs!$C$114,H788="Y"),1,0))</f>
        <v/>
      </c>
      <c r="M788">
        <f>IF(L788=1,IF(COUNTIFS(C$5:C788,C788,L$5:L788,1)=1,1,0),0)</f>
        <v/>
      </c>
      <c r="N788">
        <f>IF(C788="",0,IF(AND(B788="office",E788="budget_probe",N(F788)&gt;=Inputs!$C$129),1,0))</f>
        <v/>
      </c>
      <c r="O788">
        <f>IF(N788=1,IF(COUNTIFS(C$5:C788,C788,N$5:N788,1)=1,1,0),0)</f>
        <v/>
      </c>
      <c r="P788">
        <f>IF(C788="",0,IF(AND(B788="brand",E788="renewal_answer",N(F788)&gt;=Inputs!$C$125),1,0))</f>
        <v/>
      </c>
      <c r="Q788">
        <f>IF(AND(B788="office",E788="budget_probe",ISNUMBER(F788)),F788,"")</f>
        <v/>
      </c>
      <c r="R788">
        <f>IF(AND(B788="brand",E788="budget_probe",ISNUMBER(F788)),F788,"")</f>
        <v/>
      </c>
    </row>
    <row r="789">
      <c r="A789" s="91" t="n"/>
      <c r="B789" s="92" t="n"/>
      <c r="C789" s="92" t="n"/>
      <c r="D789" s="92" t="n"/>
      <c r="E789" s="92" t="n"/>
      <c r="F789" s="92" t="n"/>
      <c r="G789" s="92" t="n"/>
      <c r="H789" s="92" t="n"/>
      <c r="I789" s="92" t="n"/>
      <c r="K789">
        <f>IF(C789="","",IF(COUNTIFS(C$5:C789,C789,E$5:E789,E789)=1,1,0))</f>
        <v/>
      </c>
      <c r="L789">
        <f>IF(C789="",0,IF(AND(B789="brand",E789="budget_probe",N(F789)&gt;=Inputs!$C$114,H789="Y"),1,0))</f>
        <v/>
      </c>
      <c r="M789">
        <f>IF(L789=1,IF(COUNTIFS(C$5:C789,C789,L$5:L789,1)=1,1,0),0)</f>
        <v/>
      </c>
      <c r="N789">
        <f>IF(C789="",0,IF(AND(B789="office",E789="budget_probe",N(F789)&gt;=Inputs!$C$129),1,0))</f>
        <v/>
      </c>
      <c r="O789">
        <f>IF(N789=1,IF(COUNTIFS(C$5:C789,C789,N$5:N789,1)=1,1,0),0)</f>
        <v/>
      </c>
      <c r="P789">
        <f>IF(C789="",0,IF(AND(B789="brand",E789="renewal_answer",N(F789)&gt;=Inputs!$C$125),1,0))</f>
        <v/>
      </c>
      <c r="Q789">
        <f>IF(AND(B789="office",E789="budget_probe",ISNUMBER(F789)),F789,"")</f>
        <v/>
      </c>
      <c r="R789">
        <f>IF(AND(B789="brand",E789="budget_probe",ISNUMBER(F789)),F789,"")</f>
        <v/>
      </c>
    </row>
    <row r="790">
      <c r="A790" s="91" t="n"/>
      <c r="B790" s="92" t="n"/>
      <c r="C790" s="92" t="n"/>
      <c r="D790" s="92" t="n"/>
      <c r="E790" s="92" t="n"/>
      <c r="F790" s="92" t="n"/>
      <c r="G790" s="92" t="n"/>
      <c r="H790" s="92" t="n"/>
      <c r="I790" s="92" t="n"/>
      <c r="K790">
        <f>IF(C790="","",IF(COUNTIFS(C$5:C790,C790,E$5:E790,E790)=1,1,0))</f>
        <v/>
      </c>
      <c r="L790">
        <f>IF(C790="",0,IF(AND(B790="brand",E790="budget_probe",N(F790)&gt;=Inputs!$C$114,H790="Y"),1,0))</f>
        <v/>
      </c>
      <c r="M790">
        <f>IF(L790=1,IF(COUNTIFS(C$5:C790,C790,L$5:L790,1)=1,1,0),0)</f>
        <v/>
      </c>
      <c r="N790">
        <f>IF(C790="",0,IF(AND(B790="office",E790="budget_probe",N(F790)&gt;=Inputs!$C$129),1,0))</f>
        <v/>
      </c>
      <c r="O790">
        <f>IF(N790=1,IF(COUNTIFS(C$5:C790,C790,N$5:N790,1)=1,1,0),0)</f>
        <v/>
      </c>
      <c r="P790">
        <f>IF(C790="",0,IF(AND(B790="brand",E790="renewal_answer",N(F790)&gt;=Inputs!$C$125),1,0))</f>
        <v/>
      </c>
      <c r="Q790">
        <f>IF(AND(B790="office",E790="budget_probe",ISNUMBER(F790)),F790,"")</f>
        <v/>
      </c>
      <c r="R790">
        <f>IF(AND(B790="brand",E790="budget_probe",ISNUMBER(F790)),F790,"")</f>
        <v/>
      </c>
    </row>
    <row r="791">
      <c r="A791" s="91" t="n"/>
      <c r="B791" s="92" t="n"/>
      <c r="C791" s="92" t="n"/>
      <c r="D791" s="92" t="n"/>
      <c r="E791" s="92" t="n"/>
      <c r="F791" s="92" t="n"/>
      <c r="G791" s="92" t="n"/>
      <c r="H791" s="92" t="n"/>
      <c r="I791" s="92" t="n"/>
      <c r="K791">
        <f>IF(C791="","",IF(COUNTIFS(C$5:C791,C791,E$5:E791,E791)=1,1,0))</f>
        <v/>
      </c>
      <c r="L791">
        <f>IF(C791="",0,IF(AND(B791="brand",E791="budget_probe",N(F791)&gt;=Inputs!$C$114,H791="Y"),1,0))</f>
        <v/>
      </c>
      <c r="M791">
        <f>IF(L791=1,IF(COUNTIFS(C$5:C791,C791,L$5:L791,1)=1,1,0),0)</f>
        <v/>
      </c>
      <c r="N791">
        <f>IF(C791="",0,IF(AND(B791="office",E791="budget_probe",N(F791)&gt;=Inputs!$C$129),1,0))</f>
        <v/>
      </c>
      <c r="O791">
        <f>IF(N791=1,IF(COUNTIFS(C$5:C791,C791,N$5:N791,1)=1,1,0),0)</f>
        <v/>
      </c>
      <c r="P791">
        <f>IF(C791="",0,IF(AND(B791="brand",E791="renewal_answer",N(F791)&gt;=Inputs!$C$125),1,0))</f>
        <v/>
      </c>
      <c r="Q791">
        <f>IF(AND(B791="office",E791="budget_probe",ISNUMBER(F791)),F791,"")</f>
        <v/>
      </c>
      <c r="R791">
        <f>IF(AND(B791="brand",E791="budget_probe",ISNUMBER(F791)),F791,"")</f>
        <v/>
      </c>
    </row>
    <row r="792">
      <c r="A792" s="91" t="n"/>
      <c r="B792" s="92" t="n"/>
      <c r="C792" s="92" t="n"/>
      <c r="D792" s="92" t="n"/>
      <c r="E792" s="92" t="n"/>
      <c r="F792" s="92" t="n"/>
      <c r="G792" s="92" t="n"/>
      <c r="H792" s="92" t="n"/>
      <c r="I792" s="92" t="n"/>
      <c r="K792">
        <f>IF(C792="","",IF(COUNTIFS(C$5:C792,C792,E$5:E792,E792)=1,1,0))</f>
        <v/>
      </c>
      <c r="L792">
        <f>IF(C792="",0,IF(AND(B792="brand",E792="budget_probe",N(F792)&gt;=Inputs!$C$114,H792="Y"),1,0))</f>
        <v/>
      </c>
      <c r="M792">
        <f>IF(L792=1,IF(COUNTIFS(C$5:C792,C792,L$5:L792,1)=1,1,0),0)</f>
        <v/>
      </c>
      <c r="N792">
        <f>IF(C792="",0,IF(AND(B792="office",E792="budget_probe",N(F792)&gt;=Inputs!$C$129),1,0))</f>
        <v/>
      </c>
      <c r="O792">
        <f>IF(N792=1,IF(COUNTIFS(C$5:C792,C792,N$5:N792,1)=1,1,0),0)</f>
        <v/>
      </c>
      <c r="P792">
        <f>IF(C792="",0,IF(AND(B792="brand",E792="renewal_answer",N(F792)&gt;=Inputs!$C$125),1,0))</f>
        <v/>
      </c>
      <c r="Q792">
        <f>IF(AND(B792="office",E792="budget_probe",ISNUMBER(F792)),F792,"")</f>
        <v/>
      </c>
      <c r="R792">
        <f>IF(AND(B792="brand",E792="budget_probe",ISNUMBER(F792)),F792,"")</f>
        <v/>
      </c>
    </row>
    <row r="793">
      <c r="A793" s="91" t="n"/>
      <c r="B793" s="92" t="n"/>
      <c r="C793" s="92" t="n"/>
      <c r="D793" s="92" t="n"/>
      <c r="E793" s="92" t="n"/>
      <c r="F793" s="92" t="n"/>
      <c r="G793" s="92" t="n"/>
      <c r="H793" s="92" t="n"/>
      <c r="I793" s="92" t="n"/>
      <c r="K793">
        <f>IF(C793="","",IF(COUNTIFS(C$5:C793,C793,E$5:E793,E793)=1,1,0))</f>
        <v/>
      </c>
      <c r="L793">
        <f>IF(C793="",0,IF(AND(B793="brand",E793="budget_probe",N(F793)&gt;=Inputs!$C$114,H793="Y"),1,0))</f>
        <v/>
      </c>
      <c r="M793">
        <f>IF(L793=1,IF(COUNTIFS(C$5:C793,C793,L$5:L793,1)=1,1,0),0)</f>
        <v/>
      </c>
      <c r="N793">
        <f>IF(C793="",0,IF(AND(B793="office",E793="budget_probe",N(F793)&gt;=Inputs!$C$129),1,0))</f>
        <v/>
      </c>
      <c r="O793">
        <f>IF(N793=1,IF(COUNTIFS(C$5:C793,C793,N$5:N793,1)=1,1,0),0)</f>
        <v/>
      </c>
      <c r="P793">
        <f>IF(C793="",0,IF(AND(B793="brand",E793="renewal_answer",N(F793)&gt;=Inputs!$C$125),1,0))</f>
        <v/>
      </c>
      <c r="Q793">
        <f>IF(AND(B793="office",E793="budget_probe",ISNUMBER(F793)),F793,"")</f>
        <v/>
      </c>
      <c r="R793">
        <f>IF(AND(B793="brand",E793="budget_probe",ISNUMBER(F793)),F793,"")</f>
        <v/>
      </c>
    </row>
    <row r="794">
      <c r="A794" s="91" t="n"/>
      <c r="B794" s="92" t="n"/>
      <c r="C794" s="92" t="n"/>
      <c r="D794" s="92" t="n"/>
      <c r="E794" s="92" t="n"/>
      <c r="F794" s="92" t="n"/>
      <c r="G794" s="92" t="n"/>
      <c r="H794" s="92" t="n"/>
      <c r="I794" s="92" t="n"/>
      <c r="K794">
        <f>IF(C794="","",IF(COUNTIFS(C$5:C794,C794,E$5:E794,E794)=1,1,0))</f>
        <v/>
      </c>
      <c r="L794">
        <f>IF(C794="",0,IF(AND(B794="brand",E794="budget_probe",N(F794)&gt;=Inputs!$C$114,H794="Y"),1,0))</f>
        <v/>
      </c>
      <c r="M794">
        <f>IF(L794=1,IF(COUNTIFS(C$5:C794,C794,L$5:L794,1)=1,1,0),0)</f>
        <v/>
      </c>
      <c r="N794">
        <f>IF(C794="",0,IF(AND(B794="office",E794="budget_probe",N(F794)&gt;=Inputs!$C$129),1,0))</f>
        <v/>
      </c>
      <c r="O794">
        <f>IF(N794=1,IF(COUNTIFS(C$5:C794,C794,N$5:N794,1)=1,1,0),0)</f>
        <v/>
      </c>
      <c r="P794">
        <f>IF(C794="",0,IF(AND(B794="brand",E794="renewal_answer",N(F794)&gt;=Inputs!$C$125),1,0))</f>
        <v/>
      </c>
      <c r="Q794">
        <f>IF(AND(B794="office",E794="budget_probe",ISNUMBER(F794)),F794,"")</f>
        <v/>
      </c>
      <c r="R794">
        <f>IF(AND(B794="brand",E794="budget_probe",ISNUMBER(F794)),F794,"")</f>
        <v/>
      </c>
    </row>
    <row r="795">
      <c r="A795" s="91" t="n"/>
      <c r="B795" s="92" t="n"/>
      <c r="C795" s="92" t="n"/>
      <c r="D795" s="92" t="n"/>
      <c r="E795" s="92" t="n"/>
      <c r="F795" s="92" t="n"/>
      <c r="G795" s="92" t="n"/>
      <c r="H795" s="92" t="n"/>
      <c r="I795" s="92" t="n"/>
      <c r="K795">
        <f>IF(C795="","",IF(COUNTIFS(C$5:C795,C795,E$5:E795,E795)=1,1,0))</f>
        <v/>
      </c>
      <c r="L795">
        <f>IF(C795="",0,IF(AND(B795="brand",E795="budget_probe",N(F795)&gt;=Inputs!$C$114,H795="Y"),1,0))</f>
        <v/>
      </c>
      <c r="M795">
        <f>IF(L795=1,IF(COUNTIFS(C$5:C795,C795,L$5:L795,1)=1,1,0),0)</f>
        <v/>
      </c>
      <c r="N795">
        <f>IF(C795="",0,IF(AND(B795="office",E795="budget_probe",N(F795)&gt;=Inputs!$C$129),1,0))</f>
        <v/>
      </c>
      <c r="O795">
        <f>IF(N795=1,IF(COUNTIFS(C$5:C795,C795,N$5:N795,1)=1,1,0),0)</f>
        <v/>
      </c>
      <c r="P795">
        <f>IF(C795="",0,IF(AND(B795="brand",E795="renewal_answer",N(F795)&gt;=Inputs!$C$125),1,0))</f>
        <v/>
      </c>
      <c r="Q795">
        <f>IF(AND(B795="office",E795="budget_probe",ISNUMBER(F795)),F795,"")</f>
        <v/>
      </c>
      <c r="R795">
        <f>IF(AND(B795="brand",E795="budget_probe",ISNUMBER(F795)),F795,"")</f>
        <v/>
      </c>
    </row>
    <row r="796">
      <c r="A796" s="91" t="n"/>
      <c r="B796" s="92" t="n"/>
      <c r="C796" s="92" t="n"/>
      <c r="D796" s="92" t="n"/>
      <c r="E796" s="92" t="n"/>
      <c r="F796" s="92" t="n"/>
      <c r="G796" s="92" t="n"/>
      <c r="H796" s="92" t="n"/>
      <c r="I796" s="92" t="n"/>
      <c r="K796">
        <f>IF(C796="","",IF(COUNTIFS(C$5:C796,C796,E$5:E796,E796)=1,1,0))</f>
        <v/>
      </c>
      <c r="L796">
        <f>IF(C796="",0,IF(AND(B796="brand",E796="budget_probe",N(F796)&gt;=Inputs!$C$114,H796="Y"),1,0))</f>
        <v/>
      </c>
      <c r="M796">
        <f>IF(L796=1,IF(COUNTIFS(C$5:C796,C796,L$5:L796,1)=1,1,0),0)</f>
        <v/>
      </c>
      <c r="N796">
        <f>IF(C796="",0,IF(AND(B796="office",E796="budget_probe",N(F796)&gt;=Inputs!$C$129),1,0))</f>
        <v/>
      </c>
      <c r="O796">
        <f>IF(N796=1,IF(COUNTIFS(C$5:C796,C796,N$5:N796,1)=1,1,0),0)</f>
        <v/>
      </c>
      <c r="P796">
        <f>IF(C796="",0,IF(AND(B796="brand",E796="renewal_answer",N(F796)&gt;=Inputs!$C$125),1,0))</f>
        <v/>
      </c>
      <c r="Q796">
        <f>IF(AND(B796="office",E796="budget_probe",ISNUMBER(F796)),F796,"")</f>
        <v/>
      </c>
      <c r="R796">
        <f>IF(AND(B796="brand",E796="budget_probe",ISNUMBER(F796)),F796,"")</f>
        <v/>
      </c>
    </row>
    <row r="797">
      <c r="A797" s="91" t="n"/>
      <c r="B797" s="92" t="n"/>
      <c r="C797" s="92" t="n"/>
      <c r="D797" s="92" t="n"/>
      <c r="E797" s="92" t="n"/>
      <c r="F797" s="92" t="n"/>
      <c r="G797" s="92" t="n"/>
      <c r="H797" s="92" t="n"/>
      <c r="I797" s="92" t="n"/>
      <c r="K797">
        <f>IF(C797="","",IF(COUNTIFS(C$5:C797,C797,E$5:E797,E797)=1,1,0))</f>
        <v/>
      </c>
      <c r="L797">
        <f>IF(C797="",0,IF(AND(B797="brand",E797="budget_probe",N(F797)&gt;=Inputs!$C$114,H797="Y"),1,0))</f>
        <v/>
      </c>
      <c r="M797">
        <f>IF(L797=1,IF(COUNTIFS(C$5:C797,C797,L$5:L797,1)=1,1,0),0)</f>
        <v/>
      </c>
      <c r="N797">
        <f>IF(C797="",0,IF(AND(B797="office",E797="budget_probe",N(F797)&gt;=Inputs!$C$129),1,0))</f>
        <v/>
      </c>
      <c r="O797">
        <f>IF(N797=1,IF(COUNTIFS(C$5:C797,C797,N$5:N797,1)=1,1,0),0)</f>
        <v/>
      </c>
      <c r="P797">
        <f>IF(C797="",0,IF(AND(B797="brand",E797="renewal_answer",N(F797)&gt;=Inputs!$C$125),1,0))</f>
        <v/>
      </c>
      <c r="Q797">
        <f>IF(AND(B797="office",E797="budget_probe",ISNUMBER(F797)),F797,"")</f>
        <v/>
      </c>
      <c r="R797">
        <f>IF(AND(B797="brand",E797="budget_probe",ISNUMBER(F797)),F797,"")</f>
        <v/>
      </c>
    </row>
    <row r="798">
      <c r="A798" s="91" t="n"/>
      <c r="B798" s="92" t="n"/>
      <c r="C798" s="92" t="n"/>
      <c r="D798" s="92" t="n"/>
      <c r="E798" s="92" t="n"/>
      <c r="F798" s="92" t="n"/>
      <c r="G798" s="92" t="n"/>
      <c r="H798" s="92" t="n"/>
      <c r="I798" s="92" t="n"/>
      <c r="K798">
        <f>IF(C798="","",IF(COUNTIFS(C$5:C798,C798,E$5:E798,E798)=1,1,0))</f>
        <v/>
      </c>
      <c r="L798">
        <f>IF(C798="",0,IF(AND(B798="brand",E798="budget_probe",N(F798)&gt;=Inputs!$C$114,H798="Y"),1,0))</f>
        <v/>
      </c>
      <c r="M798">
        <f>IF(L798=1,IF(COUNTIFS(C$5:C798,C798,L$5:L798,1)=1,1,0),0)</f>
        <v/>
      </c>
      <c r="N798">
        <f>IF(C798="",0,IF(AND(B798="office",E798="budget_probe",N(F798)&gt;=Inputs!$C$129),1,0))</f>
        <v/>
      </c>
      <c r="O798">
        <f>IF(N798=1,IF(COUNTIFS(C$5:C798,C798,N$5:N798,1)=1,1,0),0)</f>
        <v/>
      </c>
      <c r="P798">
        <f>IF(C798="",0,IF(AND(B798="brand",E798="renewal_answer",N(F798)&gt;=Inputs!$C$125),1,0))</f>
        <v/>
      </c>
      <c r="Q798">
        <f>IF(AND(B798="office",E798="budget_probe",ISNUMBER(F798)),F798,"")</f>
        <v/>
      </c>
      <c r="R798">
        <f>IF(AND(B798="brand",E798="budget_probe",ISNUMBER(F798)),F798,"")</f>
        <v/>
      </c>
    </row>
    <row r="799">
      <c r="A799" s="91" t="n"/>
      <c r="B799" s="92" t="n"/>
      <c r="C799" s="92" t="n"/>
      <c r="D799" s="92" t="n"/>
      <c r="E799" s="92" t="n"/>
      <c r="F799" s="92" t="n"/>
      <c r="G799" s="92" t="n"/>
      <c r="H799" s="92" t="n"/>
      <c r="I799" s="92" t="n"/>
      <c r="K799">
        <f>IF(C799="","",IF(COUNTIFS(C$5:C799,C799,E$5:E799,E799)=1,1,0))</f>
        <v/>
      </c>
      <c r="L799">
        <f>IF(C799="",0,IF(AND(B799="brand",E799="budget_probe",N(F799)&gt;=Inputs!$C$114,H799="Y"),1,0))</f>
        <v/>
      </c>
      <c r="M799">
        <f>IF(L799=1,IF(COUNTIFS(C$5:C799,C799,L$5:L799,1)=1,1,0),0)</f>
        <v/>
      </c>
      <c r="N799">
        <f>IF(C799="",0,IF(AND(B799="office",E799="budget_probe",N(F799)&gt;=Inputs!$C$129),1,0))</f>
        <v/>
      </c>
      <c r="O799">
        <f>IF(N799=1,IF(COUNTIFS(C$5:C799,C799,N$5:N799,1)=1,1,0),0)</f>
        <v/>
      </c>
      <c r="P799">
        <f>IF(C799="",0,IF(AND(B799="brand",E799="renewal_answer",N(F799)&gt;=Inputs!$C$125),1,0))</f>
        <v/>
      </c>
      <c r="Q799">
        <f>IF(AND(B799="office",E799="budget_probe",ISNUMBER(F799)),F799,"")</f>
        <v/>
      </c>
      <c r="R799">
        <f>IF(AND(B799="brand",E799="budget_probe",ISNUMBER(F799)),F799,"")</f>
        <v/>
      </c>
    </row>
    <row r="800">
      <c r="A800" s="91" t="n"/>
      <c r="B800" s="92" t="n"/>
      <c r="C800" s="92" t="n"/>
      <c r="D800" s="92" t="n"/>
      <c r="E800" s="92" t="n"/>
      <c r="F800" s="92" t="n"/>
      <c r="G800" s="92" t="n"/>
      <c r="H800" s="92" t="n"/>
      <c r="I800" s="92" t="n"/>
      <c r="K800">
        <f>IF(C800="","",IF(COUNTIFS(C$5:C800,C800,E$5:E800,E800)=1,1,0))</f>
        <v/>
      </c>
      <c r="L800">
        <f>IF(C800="",0,IF(AND(B800="brand",E800="budget_probe",N(F800)&gt;=Inputs!$C$114,H800="Y"),1,0))</f>
        <v/>
      </c>
      <c r="M800">
        <f>IF(L800=1,IF(COUNTIFS(C$5:C800,C800,L$5:L800,1)=1,1,0),0)</f>
        <v/>
      </c>
      <c r="N800">
        <f>IF(C800="",0,IF(AND(B800="office",E800="budget_probe",N(F800)&gt;=Inputs!$C$129),1,0))</f>
        <v/>
      </c>
      <c r="O800">
        <f>IF(N800=1,IF(COUNTIFS(C$5:C800,C800,N$5:N800,1)=1,1,0),0)</f>
        <v/>
      </c>
      <c r="P800">
        <f>IF(C800="",0,IF(AND(B800="brand",E800="renewal_answer",N(F800)&gt;=Inputs!$C$125),1,0))</f>
        <v/>
      </c>
      <c r="Q800">
        <f>IF(AND(B800="office",E800="budget_probe",ISNUMBER(F800)),F800,"")</f>
        <v/>
      </c>
      <c r="R800">
        <f>IF(AND(B800="brand",E800="budget_probe",ISNUMBER(F800)),F800,"")</f>
        <v/>
      </c>
    </row>
    <row r="801">
      <c r="A801" s="91" t="n"/>
      <c r="B801" s="92" t="n"/>
      <c r="C801" s="92" t="n"/>
      <c r="D801" s="92" t="n"/>
      <c r="E801" s="92" t="n"/>
      <c r="F801" s="92" t="n"/>
      <c r="G801" s="92" t="n"/>
      <c r="H801" s="92" t="n"/>
      <c r="I801" s="92" t="n"/>
      <c r="K801">
        <f>IF(C801="","",IF(COUNTIFS(C$5:C801,C801,E$5:E801,E801)=1,1,0))</f>
        <v/>
      </c>
      <c r="L801">
        <f>IF(C801="",0,IF(AND(B801="brand",E801="budget_probe",N(F801)&gt;=Inputs!$C$114,H801="Y"),1,0))</f>
        <v/>
      </c>
      <c r="M801">
        <f>IF(L801=1,IF(COUNTIFS(C$5:C801,C801,L$5:L801,1)=1,1,0),0)</f>
        <v/>
      </c>
      <c r="N801">
        <f>IF(C801="",0,IF(AND(B801="office",E801="budget_probe",N(F801)&gt;=Inputs!$C$129),1,0))</f>
        <v/>
      </c>
      <c r="O801">
        <f>IF(N801=1,IF(COUNTIFS(C$5:C801,C801,N$5:N801,1)=1,1,0),0)</f>
        <v/>
      </c>
      <c r="P801">
        <f>IF(C801="",0,IF(AND(B801="brand",E801="renewal_answer",N(F801)&gt;=Inputs!$C$125),1,0))</f>
        <v/>
      </c>
      <c r="Q801">
        <f>IF(AND(B801="office",E801="budget_probe",ISNUMBER(F801)),F801,"")</f>
        <v/>
      </c>
      <c r="R801">
        <f>IF(AND(B801="brand",E801="budget_probe",ISNUMBER(F801)),F801,"")</f>
        <v/>
      </c>
    </row>
    <row r="802">
      <c r="A802" s="91" t="n"/>
      <c r="B802" s="92" t="n"/>
      <c r="C802" s="92" t="n"/>
      <c r="D802" s="92" t="n"/>
      <c r="E802" s="92" t="n"/>
      <c r="F802" s="92" t="n"/>
      <c r="G802" s="92" t="n"/>
      <c r="H802" s="92" t="n"/>
      <c r="I802" s="92" t="n"/>
      <c r="K802">
        <f>IF(C802="","",IF(COUNTIFS(C$5:C802,C802,E$5:E802,E802)=1,1,0))</f>
        <v/>
      </c>
      <c r="L802">
        <f>IF(C802="",0,IF(AND(B802="brand",E802="budget_probe",N(F802)&gt;=Inputs!$C$114,H802="Y"),1,0))</f>
        <v/>
      </c>
      <c r="M802">
        <f>IF(L802=1,IF(COUNTIFS(C$5:C802,C802,L$5:L802,1)=1,1,0),0)</f>
        <v/>
      </c>
      <c r="N802">
        <f>IF(C802="",0,IF(AND(B802="office",E802="budget_probe",N(F802)&gt;=Inputs!$C$129),1,0))</f>
        <v/>
      </c>
      <c r="O802">
        <f>IF(N802=1,IF(COUNTIFS(C$5:C802,C802,N$5:N802,1)=1,1,0),0)</f>
        <v/>
      </c>
      <c r="P802">
        <f>IF(C802="",0,IF(AND(B802="brand",E802="renewal_answer",N(F802)&gt;=Inputs!$C$125),1,0))</f>
        <v/>
      </c>
      <c r="Q802">
        <f>IF(AND(B802="office",E802="budget_probe",ISNUMBER(F802)),F802,"")</f>
        <v/>
      </c>
      <c r="R802">
        <f>IF(AND(B802="brand",E802="budget_probe",ISNUMBER(F802)),F802,"")</f>
        <v/>
      </c>
    </row>
    <row r="803">
      <c r="A803" s="91" t="n"/>
      <c r="B803" s="92" t="n"/>
      <c r="C803" s="92" t="n"/>
      <c r="D803" s="92" t="n"/>
      <c r="E803" s="92" t="n"/>
      <c r="F803" s="92" t="n"/>
      <c r="G803" s="92" t="n"/>
      <c r="H803" s="92" t="n"/>
      <c r="I803" s="92" t="n"/>
      <c r="K803">
        <f>IF(C803="","",IF(COUNTIFS(C$5:C803,C803,E$5:E803,E803)=1,1,0))</f>
        <v/>
      </c>
      <c r="L803">
        <f>IF(C803="",0,IF(AND(B803="brand",E803="budget_probe",N(F803)&gt;=Inputs!$C$114,H803="Y"),1,0))</f>
        <v/>
      </c>
      <c r="M803">
        <f>IF(L803=1,IF(COUNTIFS(C$5:C803,C803,L$5:L803,1)=1,1,0),0)</f>
        <v/>
      </c>
      <c r="N803">
        <f>IF(C803="",0,IF(AND(B803="office",E803="budget_probe",N(F803)&gt;=Inputs!$C$129),1,0))</f>
        <v/>
      </c>
      <c r="O803">
        <f>IF(N803=1,IF(COUNTIFS(C$5:C803,C803,N$5:N803,1)=1,1,0),0)</f>
        <v/>
      </c>
      <c r="P803">
        <f>IF(C803="",0,IF(AND(B803="brand",E803="renewal_answer",N(F803)&gt;=Inputs!$C$125),1,0))</f>
        <v/>
      </c>
      <c r="Q803">
        <f>IF(AND(B803="office",E803="budget_probe",ISNUMBER(F803)),F803,"")</f>
        <v/>
      </c>
      <c r="R803">
        <f>IF(AND(B803="brand",E803="budget_probe",ISNUMBER(F803)),F803,"")</f>
        <v/>
      </c>
    </row>
    <row r="804">
      <c r="A804" s="91" t="n"/>
      <c r="B804" s="92" t="n"/>
      <c r="C804" s="92" t="n"/>
      <c r="D804" s="92" t="n"/>
      <c r="E804" s="92" t="n"/>
      <c r="F804" s="92" t="n"/>
      <c r="G804" s="92" t="n"/>
      <c r="H804" s="92" t="n"/>
      <c r="I804" s="92" t="n"/>
      <c r="K804">
        <f>IF(C804="","",IF(COUNTIFS(C$5:C804,C804,E$5:E804,E804)=1,1,0))</f>
        <v/>
      </c>
      <c r="L804">
        <f>IF(C804="",0,IF(AND(B804="brand",E804="budget_probe",N(F804)&gt;=Inputs!$C$114,H804="Y"),1,0))</f>
        <v/>
      </c>
      <c r="M804">
        <f>IF(L804=1,IF(COUNTIFS(C$5:C804,C804,L$5:L804,1)=1,1,0),0)</f>
        <v/>
      </c>
      <c r="N804">
        <f>IF(C804="",0,IF(AND(B804="office",E804="budget_probe",N(F804)&gt;=Inputs!$C$129),1,0))</f>
        <v/>
      </c>
      <c r="O804">
        <f>IF(N804=1,IF(COUNTIFS(C$5:C804,C804,N$5:N804,1)=1,1,0),0)</f>
        <v/>
      </c>
      <c r="P804">
        <f>IF(C804="",0,IF(AND(B804="brand",E804="renewal_answer",N(F804)&gt;=Inputs!$C$125),1,0))</f>
        <v/>
      </c>
      <c r="Q804">
        <f>IF(AND(B804="office",E804="budget_probe",ISNUMBER(F804)),F804,"")</f>
        <v/>
      </c>
      <c r="R804">
        <f>IF(AND(B804="brand",E804="budget_probe",ISNUMBER(F804)),F804,"")</f>
        <v/>
      </c>
    </row>
    <row r="805">
      <c r="A805" s="91" t="n"/>
      <c r="B805" s="92" t="n"/>
      <c r="C805" s="92" t="n"/>
      <c r="D805" s="92" t="n"/>
      <c r="E805" s="92" t="n"/>
      <c r="F805" s="92" t="n"/>
      <c r="G805" s="92" t="n"/>
      <c r="H805" s="92" t="n"/>
      <c r="I805" s="92" t="n"/>
      <c r="K805">
        <f>IF(C805="","",IF(COUNTIFS(C$5:C805,C805,E$5:E805,E805)=1,1,0))</f>
        <v/>
      </c>
      <c r="L805">
        <f>IF(C805="",0,IF(AND(B805="brand",E805="budget_probe",N(F805)&gt;=Inputs!$C$114,H805="Y"),1,0))</f>
        <v/>
      </c>
      <c r="M805">
        <f>IF(L805=1,IF(COUNTIFS(C$5:C805,C805,L$5:L805,1)=1,1,0),0)</f>
        <v/>
      </c>
      <c r="N805">
        <f>IF(C805="",0,IF(AND(B805="office",E805="budget_probe",N(F805)&gt;=Inputs!$C$129),1,0))</f>
        <v/>
      </c>
      <c r="O805">
        <f>IF(N805=1,IF(COUNTIFS(C$5:C805,C805,N$5:N805,1)=1,1,0),0)</f>
        <v/>
      </c>
      <c r="P805">
        <f>IF(C805="",0,IF(AND(B805="brand",E805="renewal_answer",N(F805)&gt;=Inputs!$C$125),1,0))</f>
        <v/>
      </c>
      <c r="Q805">
        <f>IF(AND(B805="office",E805="budget_probe",ISNUMBER(F805)),F805,"")</f>
        <v/>
      </c>
      <c r="R805">
        <f>IF(AND(B805="brand",E805="budget_probe",ISNUMBER(F805)),F805,"")</f>
        <v/>
      </c>
    </row>
    <row r="806">
      <c r="A806" s="91" t="n"/>
      <c r="B806" s="92" t="n"/>
      <c r="C806" s="92" t="n"/>
      <c r="D806" s="92" t="n"/>
      <c r="E806" s="92" t="n"/>
      <c r="F806" s="92" t="n"/>
      <c r="G806" s="92" t="n"/>
      <c r="H806" s="92" t="n"/>
      <c r="I806" s="92" t="n"/>
      <c r="K806">
        <f>IF(C806="","",IF(COUNTIFS(C$5:C806,C806,E$5:E806,E806)=1,1,0))</f>
        <v/>
      </c>
      <c r="L806">
        <f>IF(C806="",0,IF(AND(B806="brand",E806="budget_probe",N(F806)&gt;=Inputs!$C$114,H806="Y"),1,0))</f>
        <v/>
      </c>
      <c r="M806">
        <f>IF(L806=1,IF(COUNTIFS(C$5:C806,C806,L$5:L806,1)=1,1,0),0)</f>
        <v/>
      </c>
      <c r="N806">
        <f>IF(C806="",0,IF(AND(B806="office",E806="budget_probe",N(F806)&gt;=Inputs!$C$129),1,0))</f>
        <v/>
      </c>
      <c r="O806">
        <f>IF(N806=1,IF(COUNTIFS(C$5:C806,C806,N$5:N806,1)=1,1,0),0)</f>
        <v/>
      </c>
      <c r="P806">
        <f>IF(C806="",0,IF(AND(B806="brand",E806="renewal_answer",N(F806)&gt;=Inputs!$C$125),1,0))</f>
        <v/>
      </c>
      <c r="Q806">
        <f>IF(AND(B806="office",E806="budget_probe",ISNUMBER(F806)),F806,"")</f>
        <v/>
      </c>
      <c r="R806">
        <f>IF(AND(B806="brand",E806="budget_probe",ISNUMBER(F806)),F806,"")</f>
        <v/>
      </c>
    </row>
    <row r="807">
      <c r="A807" s="91" t="n"/>
      <c r="B807" s="92" t="n"/>
      <c r="C807" s="92" t="n"/>
      <c r="D807" s="92" t="n"/>
      <c r="E807" s="92" t="n"/>
      <c r="F807" s="92" t="n"/>
      <c r="G807" s="92" t="n"/>
      <c r="H807" s="92" t="n"/>
      <c r="I807" s="92" t="n"/>
      <c r="K807">
        <f>IF(C807="","",IF(COUNTIFS(C$5:C807,C807,E$5:E807,E807)=1,1,0))</f>
        <v/>
      </c>
      <c r="L807">
        <f>IF(C807="",0,IF(AND(B807="brand",E807="budget_probe",N(F807)&gt;=Inputs!$C$114,H807="Y"),1,0))</f>
        <v/>
      </c>
      <c r="M807">
        <f>IF(L807=1,IF(COUNTIFS(C$5:C807,C807,L$5:L807,1)=1,1,0),0)</f>
        <v/>
      </c>
      <c r="N807">
        <f>IF(C807="",0,IF(AND(B807="office",E807="budget_probe",N(F807)&gt;=Inputs!$C$129),1,0))</f>
        <v/>
      </c>
      <c r="O807">
        <f>IF(N807=1,IF(COUNTIFS(C$5:C807,C807,N$5:N807,1)=1,1,0),0)</f>
        <v/>
      </c>
      <c r="P807">
        <f>IF(C807="",0,IF(AND(B807="brand",E807="renewal_answer",N(F807)&gt;=Inputs!$C$125),1,0))</f>
        <v/>
      </c>
      <c r="Q807">
        <f>IF(AND(B807="office",E807="budget_probe",ISNUMBER(F807)),F807,"")</f>
        <v/>
      </c>
      <c r="R807">
        <f>IF(AND(B807="brand",E807="budget_probe",ISNUMBER(F807)),F807,"")</f>
        <v/>
      </c>
    </row>
    <row r="808">
      <c r="A808" s="91" t="n"/>
      <c r="B808" s="92" t="n"/>
      <c r="C808" s="92" t="n"/>
      <c r="D808" s="92" t="n"/>
      <c r="E808" s="92" t="n"/>
      <c r="F808" s="92" t="n"/>
      <c r="G808" s="92" t="n"/>
      <c r="H808" s="92" t="n"/>
      <c r="I808" s="92" t="n"/>
      <c r="K808">
        <f>IF(C808="","",IF(COUNTIFS(C$5:C808,C808,E$5:E808,E808)=1,1,0))</f>
        <v/>
      </c>
      <c r="L808">
        <f>IF(C808="",0,IF(AND(B808="brand",E808="budget_probe",N(F808)&gt;=Inputs!$C$114,H808="Y"),1,0))</f>
        <v/>
      </c>
      <c r="M808">
        <f>IF(L808=1,IF(COUNTIFS(C$5:C808,C808,L$5:L808,1)=1,1,0),0)</f>
        <v/>
      </c>
      <c r="N808">
        <f>IF(C808="",0,IF(AND(B808="office",E808="budget_probe",N(F808)&gt;=Inputs!$C$129),1,0))</f>
        <v/>
      </c>
      <c r="O808">
        <f>IF(N808=1,IF(COUNTIFS(C$5:C808,C808,N$5:N808,1)=1,1,0),0)</f>
        <v/>
      </c>
      <c r="P808">
        <f>IF(C808="",0,IF(AND(B808="brand",E808="renewal_answer",N(F808)&gt;=Inputs!$C$125),1,0))</f>
        <v/>
      </c>
      <c r="Q808">
        <f>IF(AND(B808="office",E808="budget_probe",ISNUMBER(F808)),F808,"")</f>
        <v/>
      </c>
      <c r="R808">
        <f>IF(AND(B808="brand",E808="budget_probe",ISNUMBER(F808)),F808,"")</f>
        <v/>
      </c>
    </row>
    <row r="809">
      <c r="A809" s="91" t="n"/>
      <c r="B809" s="92" t="n"/>
      <c r="C809" s="92" t="n"/>
      <c r="D809" s="92" t="n"/>
      <c r="E809" s="92" t="n"/>
      <c r="F809" s="92" t="n"/>
      <c r="G809" s="92" t="n"/>
      <c r="H809" s="92" t="n"/>
      <c r="I809" s="92" t="n"/>
      <c r="K809">
        <f>IF(C809="","",IF(COUNTIFS(C$5:C809,C809,E$5:E809,E809)=1,1,0))</f>
        <v/>
      </c>
      <c r="L809">
        <f>IF(C809="",0,IF(AND(B809="brand",E809="budget_probe",N(F809)&gt;=Inputs!$C$114,H809="Y"),1,0))</f>
        <v/>
      </c>
      <c r="M809">
        <f>IF(L809=1,IF(COUNTIFS(C$5:C809,C809,L$5:L809,1)=1,1,0),0)</f>
        <v/>
      </c>
      <c r="N809">
        <f>IF(C809="",0,IF(AND(B809="office",E809="budget_probe",N(F809)&gt;=Inputs!$C$129),1,0))</f>
        <v/>
      </c>
      <c r="O809">
        <f>IF(N809=1,IF(COUNTIFS(C$5:C809,C809,N$5:N809,1)=1,1,0),0)</f>
        <v/>
      </c>
      <c r="P809">
        <f>IF(C809="",0,IF(AND(B809="brand",E809="renewal_answer",N(F809)&gt;=Inputs!$C$125),1,0))</f>
        <v/>
      </c>
      <c r="Q809">
        <f>IF(AND(B809="office",E809="budget_probe",ISNUMBER(F809)),F809,"")</f>
        <v/>
      </c>
      <c r="R809">
        <f>IF(AND(B809="brand",E809="budget_probe",ISNUMBER(F809)),F809,"")</f>
        <v/>
      </c>
    </row>
    <row r="810">
      <c r="A810" s="91" t="n"/>
      <c r="B810" s="92" t="n"/>
      <c r="C810" s="92" t="n"/>
      <c r="D810" s="92" t="n"/>
      <c r="E810" s="92" t="n"/>
      <c r="F810" s="92" t="n"/>
      <c r="G810" s="92" t="n"/>
      <c r="H810" s="92" t="n"/>
      <c r="I810" s="92" t="n"/>
      <c r="K810">
        <f>IF(C810="","",IF(COUNTIFS(C$5:C810,C810,E$5:E810,E810)=1,1,0))</f>
        <v/>
      </c>
      <c r="L810">
        <f>IF(C810="",0,IF(AND(B810="brand",E810="budget_probe",N(F810)&gt;=Inputs!$C$114,H810="Y"),1,0))</f>
        <v/>
      </c>
      <c r="M810">
        <f>IF(L810=1,IF(COUNTIFS(C$5:C810,C810,L$5:L810,1)=1,1,0),0)</f>
        <v/>
      </c>
      <c r="N810">
        <f>IF(C810="",0,IF(AND(B810="office",E810="budget_probe",N(F810)&gt;=Inputs!$C$129),1,0))</f>
        <v/>
      </c>
      <c r="O810">
        <f>IF(N810=1,IF(COUNTIFS(C$5:C810,C810,N$5:N810,1)=1,1,0),0)</f>
        <v/>
      </c>
      <c r="P810">
        <f>IF(C810="",0,IF(AND(B810="brand",E810="renewal_answer",N(F810)&gt;=Inputs!$C$125),1,0))</f>
        <v/>
      </c>
      <c r="Q810">
        <f>IF(AND(B810="office",E810="budget_probe",ISNUMBER(F810)),F810,"")</f>
        <v/>
      </c>
      <c r="R810">
        <f>IF(AND(B810="brand",E810="budget_probe",ISNUMBER(F810)),F810,"")</f>
        <v/>
      </c>
    </row>
    <row r="811">
      <c r="A811" s="91" t="n"/>
      <c r="B811" s="92" t="n"/>
      <c r="C811" s="92" t="n"/>
      <c r="D811" s="92" t="n"/>
      <c r="E811" s="92" t="n"/>
      <c r="F811" s="92" t="n"/>
      <c r="G811" s="92" t="n"/>
      <c r="H811" s="92" t="n"/>
      <c r="I811" s="92" t="n"/>
      <c r="K811">
        <f>IF(C811="","",IF(COUNTIFS(C$5:C811,C811,E$5:E811,E811)=1,1,0))</f>
        <v/>
      </c>
      <c r="L811">
        <f>IF(C811="",0,IF(AND(B811="brand",E811="budget_probe",N(F811)&gt;=Inputs!$C$114,H811="Y"),1,0))</f>
        <v/>
      </c>
      <c r="M811">
        <f>IF(L811=1,IF(COUNTIFS(C$5:C811,C811,L$5:L811,1)=1,1,0),0)</f>
        <v/>
      </c>
      <c r="N811">
        <f>IF(C811="",0,IF(AND(B811="office",E811="budget_probe",N(F811)&gt;=Inputs!$C$129),1,0))</f>
        <v/>
      </c>
      <c r="O811">
        <f>IF(N811=1,IF(COUNTIFS(C$5:C811,C811,N$5:N811,1)=1,1,0),0)</f>
        <v/>
      </c>
      <c r="P811">
        <f>IF(C811="",0,IF(AND(B811="brand",E811="renewal_answer",N(F811)&gt;=Inputs!$C$125),1,0))</f>
        <v/>
      </c>
      <c r="Q811">
        <f>IF(AND(B811="office",E811="budget_probe",ISNUMBER(F811)),F811,"")</f>
        <v/>
      </c>
      <c r="R811">
        <f>IF(AND(B811="brand",E811="budget_probe",ISNUMBER(F811)),F811,"")</f>
        <v/>
      </c>
    </row>
    <row r="812">
      <c r="A812" s="91" t="n"/>
      <c r="B812" s="92" t="n"/>
      <c r="C812" s="92" t="n"/>
      <c r="D812" s="92" t="n"/>
      <c r="E812" s="92" t="n"/>
      <c r="F812" s="92" t="n"/>
      <c r="G812" s="92" t="n"/>
      <c r="H812" s="92" t="n"/>
      <c r="I812" s="92" t="n"/>
      <c r="K812">
        <f>IF(C812="","",IF(COUNTIFS(C$5:C812,C812,E$5:E812,E812)=1,1,0))</f>
        <v/>
      </c>
      <c r="L812">
        <f>IF(C812="",0,IF(AND(B812="brand",E812="budget_probe",N(F812)&gt;=Inputs!$C$114,H812="Y"),1,0))</f>
        <v/>
      </c>
      <c r="M812">
        <f>IF(L812=1,IF(COUNTIFS(C$5:C812,C812,L$5:L812,1)=1,1,0),0)</f>
        <v/>
      </c>
      <c r="N812">
        <f>IF(C812="",0,IF(AND(B812="office",E812="budget_probe",N(F812)&gt;=Inputs!$C$129),1,0))</f>
        <v/>
      </c>
      <c r="O812">
        <f>IF(N812=1,IF(COUNTIFS(C$5:C812,C812,N$5:N812,1)=1,1,0),0)</f>
        <v/>
      </c>
      <c r="P812">
        <f>IF(C812="",0,IF(AND(B812="brand",E812="renewal_answer",N(F812)&gt;=Inputs!$C$125),1,0))</f>
        <v/>
      </c>
      <c r="Q812">
        <f>IF(AND(B812="office",E812="budget_probe",ISNUMBER(F812)),F812,"")</f>
        <v/>
      </c>
      <c r="R812">
        <f>IF(AND(B812="brand",E812="budget_probe",ISNUMBER(F812)),F812,"")</f>
        <v/>
      </c>
    </row>
    <row r="813">
      <c r="A813" s="91" t="n"/>
      <c r="B813" s="92" t="n"/>
      <c r="C813" s="92" t="n"/>
      <c r="D813" s="92" t="n"/>
      <c r="E813" s="92" t="n"/>
      <c r="F813" s="92" t="n"/>
      <c r="G813" s="92" t="n"/>
      <c r="H813" s="92" t="n"/>
      <c r="I813" s="92" t="n"/>
      <c r="K813">
        <f>IF(C813="","",IF(COUNTIFS(C$5:C813,C813,E$5:E813,E813)=1,1,0))</f>
        <v/>
      </c>
      <c r="L813">
        <f>IF(C813="",0,IF(AND(B813="brand",E813="budget_probe",N(F813)&gt;=Inputs!$C$114,H813="Y"),1,0))</f>
        <v/>
      </c>
      <c r="M813">
        <f>IF(L813=1,IF(COUNTIFS(C$5:C813,C813,L$5:L813,1)=1,1,0),0)</f>
        <v/>
      </c>
      <c r="N813">
        <f>IF(C813="",0,IF(AND(B813="office",E813="budget_probe",N(F813)&gt;=Inputs!$C$129),1,0))</f>
        <v/>
      </c>
      <c r="O813">
        <f>IF(N813=1,IF(COUNTIFS(C$5:C813,C813,N$5:N813,1)=1,1,0),0)</f>
        <v/>
      </c>
      <c r="P813">
        <f>IF(C813="",0,IF(AND(B813="brand",E813="renewal_answer",N(F813)&gt;=Inputs!$C$125),1,0))</f>
        <v/>
      </c>
      <c r="Q813">
        <f>IF(AND(B813="office",E813="budget_probe",ISNUMBER(F813)),F813,"")</f>
        <v/>
      </c>
      <c r="R813">
        <f>IF(AND(B813="brand",E813="budget_probe",ISNUMBER(F813)),F813,"")</f>
        <v/>
      </c>
    </row>
    <row r="814">
      <c r="A814" s="91" t="n"/>
      <c r="B814" s="92" t="n"/>
      <c r="C814" s="92" t="n"/>
      <c r="D814" s="92" t="n"/>
      <c r="E814" s="92" t="n"/>
      <c r="F814" s="92" t="n"/>
      <c r="G814" s="92" t="n"/>
      <c r="H814" s="92" t="n"/>
      <c r="I814" s="92" t="n"/>
      <c r="K814">
        <f>IF(C814="","",IF(COUNTIFS(C$5:C814,C814,E$5:E814,E814)=1,1,0))</f>
        <v/>
      </c>
      <c r="L814">
        <f>IF(C814="",0,IF(AND(B814="brand",E814="budget_probe",N(F814)&gt;=Inputs!$C$114,H814="Y"),1,0))</f>
        <v/>
      </c>
      <c r="M814">
        <f>IF(L814=1,IF(COUNTIFS(C$5:C814,C814,L$5:L814,1)=1,1,0),0)</f>
        <v/>
      </c>
      <c r="N814">
        <f>IF(C814="",0,IF(AND(B814="office",E814="budget_probe",N(F814)&gt;=Inputs!$C$129),1,0))</f>
        <v/>
      </c>
      <c r="O814">
        <f>IF(N814=1,IF(COUNTIFS(C$5:C814,C814,N$5:N814,1)=1,1,0),0)</f>
        <v/>
      </c>
      <c r="P814">
        <f>IF(C814="",0,IF(AND(B814="brand",E814="renewal_answer",N(F814)&gt;=Inputs!$C$125),1,0))</f>
        <v/>
      </c>
      <c r="Q814">
        <f>IF(AND(B814="office",E814="budget_probe",ISNUMBER(F814)),F814,"")</f>
        <v/>
      </c>
      <c r="R814">
        <f>IF(AND(B814="brand",E814="budget_probe",ISNUMBER(F814)),F814,"")</f>
        <v/>
      </c>
    </row>
    <row r="815">
      <c r="A815" s="91" t="n"/>
      <c r="B815" s="92" t="n"/>
      <c r="C815" s="92" t="n"/>
      <c r="D815" s="92" t="n"/>
      <c r="E815" s="92" t="n"/>
      <c r="F815" s="92" t="n"/>
      <c r="G815" s="92" t="n"/>
      <c r="H815" s="92" t="n"/>
      <c r="I815" s="92" t="n"/>
      <c r="K815">
        <f>IF(C815="","",IF(COUNTIFS(C$5:C815,C815,E$5:E815,E815)=1,1,0))</f>
        <v/>
      </c>
      <c r="L815">
        <f>IF(C815="",0,IF(AND(B815="brand",E815="budget_probe",N(F815)&gt;=Inputs!$C$114,H815="Y"),1,0))</f>
        <v/>
      </c>
      <c r="M815">
        <f>IF(L815=1,IF(COUNTIFS(C$5:C815,C815,L$5:L815,1)=1,1,0),0)</f>
        <v/>
      </c>
      <c r="N815">
        <f>IF(C815="",0,IF(AND(B815="office",E815="budget_probe",N(F815)&gt;=Inputs!$C$129),1,0))</f>
        <v/>
      </c>
      <c r="O815">
        <f>IF(N815=1,IF(COUNTIFS(C$5:C815,C815,N$5:N815,1)=1,1,0),0)</f>
        <v/>
      </c>
      <c r="P815">
        <f>IF(C815="",0,IF(AND(B815="brand",E815="renewal_answer",N(F815)&gt;=Inputs!$C$125),1,0))</f>
        <v/>
      </c>
      <c r="Q815">
        <f>IF(AND(B815="office",E815="budget_probe",ISNUMBER(F815)),F815,"")</f>
        <v/>
      </c>
      <c r="R815">
        <f>IF(AND(B815="brand",E815="budget_probe",ISNUMBER(F815)),F815,"")</f>
        <v/>
      </c>
    </row>
    <row r="816">
      <c r="A816" s="91" t="n"/>
      <c r="B816" s="92" t="n"/>
      <c r="C816" s="92" t="n"/>
      <c r="D816" s="92" t="n"/>
      <c r="E816" s="92" t="n"/>
      <c r="F816" s="92" t="n"/>
      <c r="G816" s="92" t="n"/>
      <c r="H816" s="92" t="n"/>
      <c r="I816" s="92" t="n"/>
      <c r="K816">
        <f>IF(C816="","",IF(COUNTIFS(C$5:C816,C816,E$5:E816,E816)=1,1,0))</f>
        <v/>
      </c>
      <c r="L816">
        <f>IF(C816="",0,IF(AND(B816="brand",E816="budget_probe",N(F816)&gt;=Inputs!$C$114,H816="Y"),1,0))</f>
        <v/>
      </c>
      <c r="M816">
        <f>IF(L816=1,IF(COUNTIFS(C$5:C816,C816,L$5:L816,1)=1,1,0),0)</f>
        <v/>
      </c>
      <c r="N816">
        <f>IF(C816="",0,IF(AND(B816="office",E816="budget_probe",N(F816)&gt;=Inputs!$C$129),1,0))</f>
        <v/>
      </c>
      <c r="O816">
        <f>IF(N816=1,IF(COUNTIFS(C$5:C816,C816,N$5:N816,1)=1,1,0),0)</f>
        <v/>
      </c>
      <c r="P816">
        <f>IF(C816="",0,IF(AND(B816="brand",E816="renewal_answer",N(F816)&gt;=Inputs!$C$125),1,0))</f>
        <v/>
      </c>
      <c r="Q816">
        <f>IF(AND(B816="office",E816="budget_probe",ISNUMBER(F816)),F816,"")</f>
        <v/>
      </c>
      <c r="R816">
        <f>IF(AND(B816="brand",E816="budget_probe",ISNUMBER(F816)),F816,"")</f>
        <v/>
      </c>
    </row>
    <row r="817">
      <c r="A817" s="91" t="n"/>
      <c r="B817" s="92" t="n"/>
      <c r="C817" s="92" t="n"/>
      <c r="D817" s="92" t="n"/>
      <c r="E817" s="92" t="n"/>
      <c r="F817" s="92" t="n"/>
      <c r="G817" s="92" t="n"/>
      <c r="H817" s="92" t="n"/>
      <c r="I817" s="92" t="n"/>
      <c r="K817">
        <f>IF(C817="","",IF(COUNTIFS(C$5:C817,C817,E$5:E817,E817)=1,1,0))</f>
        <v/>
      </c>
      <c r="L817">
        <f>IF(C817="",0,IF(AND(B817="brand",E817="budget_probe",N(F817)&gt;=Inputs!$C$114,H817="Y"),1,0))</f>
        <v/>
      </c>
      <c r="M817">
        <f>IF(L817=1,IF(COUNTIFS(C$5:C817,C817,L$5:L817,1)=1,1,0),0)</f>
        <v/>
      </c>
      <c r="N817">
        <f>IF(C817="",0,IF(AND(B817="office",E817="budget_probe",N(F817)&gt;=Inputs!$C$129),1,0))</f>
        <v/>
      </c>
      <c r="O817">
        <f>IF(N817=1,IF(COUNTIFS(C$5:C817,C817,N$5:N817,1)=1,1,0),0)</f>
        <v/>
      </c>
      <c r="P817">
        <f>IF(C817="",0,IF(AND(B817="brand",E817="renewal_answer",N(F817)&gt;=Inputs!$C$125),1,0))</f>
        <v/>
      </c>
      <c r="Q817">
        <f>IF(AND(B817="office",E817="budget_probe",ISNUMBER(F817)),F817,"")</f>
        <v/>
      </c>
      <c r="R817">
        <f>IF(AND(B817="brand",E817="budget_probe",ISNUMBER(F817)),F817,"")</f>
        <v/>
      </c>
    </row>
    <row r="818">
      <c r="A818" s="91" t="n"/>
      <c r="B818" s="92" t="n"/>
      <c r="C818" s="92" t="n"/>
      <c r="D818" s="92" t="n"/>
      <c r="E818" s="92" t="n"/>
      <c r="F818" s="92" t="n"/>
      <c r="G818" s="92" t="n"/>
      <c r="H818" s="92" t="n"/>
      <c r="I818" s="92" t="n"/>
      <c r="K818">
        <f>IF(C818="","",IF(COUNTIFS(C$5:C818,C818,E$5:E818,E818)=1,1,0))</f>
        <v/>
      </c>
      <c r="L818">
        <f>IF(C818="",0,IF(AND(B818="brand",E818="budget_probe",N(F818)&gt;=Inputs!$C$114,H818="Y"),1,0))</f>
        <v/>
      </c>
      <c r="M818">
        <f>IF(L818=1,IF(COUNTIFS(C$5:C818,C818,L$5:L818,1)=1,1,0),0)</f>
        <v/>
      </c>
      <c r="N818">
        <f>IF(C818="",0,IF(AND(B818="office",E818="budget_probe",N(F818)&gt;=Inputs!$C$129),1,0))</f>
        <v/>
      </c>
      <c r="O818">
        <f>IF(N818=1,IF(COUNTIFS(C$5:C818,C818,N$5:N818,1)=1,1,0),0)</f>
        <v/>
      </c>
      <c r="P818">
        <f>IF(C818="",0,IF(AND(B818="brand",E818="renewal_answer",N(F818)&gt;=Inputs!$C$125),1,0))</f>
        <v/>
      </c>
      <c r="Q818">
        <f>IF(AND(B818="office",E818="budget_probe",ISNUMBER(F818)),F818,"")</f>
        <v/>
      </c>
      <c r="R818">
        <f>IF(AND(B818="brand",E818="budget_probe",ISNUMBER(F818)),F818,"")</f>
        <v/>
      </c>
    </row>
    <row r="819">
      <c r="A819" s="91" t="n"/>
      <c r="B819" s="92" t="n"/>
      <c r="C819" s="92" t="n"/>
      <c r="D819" s="92" t="n"/>
      <c r="E819" s="92" t="n"/>
      <c r="F819" s="92" t="n"/>
      <c r="G819" s="92" t="n"/>
      <c r="H819" s="92" t="n"/>
      <c r="I819" s="92" t="n"/>
      <c r="K819">
        <f>IF(C819="","",IF(COUNTIFS(C$5:C819,C819,E$5:E819,E819)=1,1,0))</f>
        <v/>
      </c>
      <c r="L819">
        <f>IF(C819="",0,IF(AND(B819="brand",E819="budget_probe",N(F819)&gt;=Inputs!$C$114,H819="Y"),1,0))</f>
        <v/>
      </c>
      <c r="M819">
        <f>IF(L819=1,IF(COUNTIFS(C$5:C819,C819,L$5:L819,1)=1,1,0),0)</f>
        <v/>
      </c>
      <c r="N819">
        <f>IF(C819="",0,IF(AND(B819="office",E819="budget_probe",N(F819)&gt;=Inputs!$C$129),1,0))</f>
        <v/>
      </c>
      <c r="O819">
        <f>IF(N819=1,IF(COUNTIFS(C$5:C819,C819,N$5:N819,1)=1,1,0),0)</f>
        <v/>
      </c>
      <c r="P819">
        <f>IF(C819="",0,IF(AND(B819="brand",E819="renewal_answer",N(F819)&gt;=Inputs!$C$125),1,0))</f>
        <v/>
      </c>
      <c r="Q819">
        <f>IF(AND(B819="office",E819="budget_probe",ISNUMBER(F819)),F819,"")</f>
        <v/>
      </c>
      <c r="R819">
        <f>IF(AND(B819="brand",E819="budget_probe",ISNUMBER(F819)),F819,"")</f>
        <v/>
      </c>
    </row>
    <row r="820">
      <c r="A820" s="91" t="n"/>
      <c r="B820" s="92" t="n"/>
      <c r="C820" s="92" t="n"/>
      <c r="D820" s="92" t="n"/>
      <c r="E820" s="92" t="n"/>
      <c r="F820" s="92" t="n"/>
      <c r="G820" s="92" t="n"/>
      <c r="H820" s="92" t="n"/>
      <c r="I820" s="92" t="n"/>
      <c r="K820">
        <f>IF(C820="","",IF(COUNTIFS(C$5:C820,C820,E$5:E820,E820)=1,1,0))</f>
        <v/>
      </c>
      <c r="L820">
        <f>IF(C820="",0,IF(AND(B820="brand",E820="budget_probe",N(F820)&gt;=Inputs!$C$114,H820="Y"),1,0))</f>
        <v/>
      </c>
      <c r="M820">
        <f>IF(L820=1,IF(COUNTIFS(C$5:C820,C820,L$5:L820,1)=1,1,0),0)</f>
        <v/>
      </c>
      <c r="N820">
        <f>IF(C820="",0,IF(AND(B820="office",E820="budget_probe",N(F820)&gt;=Inputs!$C$129),1,0))</f>
        <v/>
      </c>
      <c r="O820">
        <f>IF(N820=1,IF(COUNTIFS(C$5:C820,C820,N$5:N820,1)=1,1,0),0)</f>
        <v/>
      </c>
      <c r="P820">
        <f>IF(C820="",0,IF(AND(B820="brand",E820="renewal_answer",N(F820)&gt;=Inputs!$C$125),1,0))</f>
        <v/>
      </c>
      <c r="Q820">
        <f>IF(AND(B820="office",E820="budget_probe",ISNUMBER(F820)),F820,"")</f>
        <v/>
      </c>
      <c r="R820">
        <f>IF(AND(B820="brand",E820="budget_probe",ISNUMBER(F820)),F820,"")</f>
        <v/>
      </c>
    </row>
    <row r="821">
      <c r="A821" s="91" t="n"/>
      <c r="B821" s="92" t="n"/>
      <c r="C821" s="92" t="n"/>
      <c r="D821" s="92" t="n"/>
      <c r="E821" s="92" t="n"/>
      <c r="F821" s="92" t="n"/>
      <c r="G821" s="92" t="n"/>
      <c r="H821" s="92" t="n"/>
      <c r="I821" s="92" t="n"/>
      <c r="K821">
        <f>IF(C821="","",IF(COUNTIFS(C$5:C821,C821,E$5:E821,E821)=1,1,0))</f>
        <v/>
      </c>
      <c r="L821">
        <f>IF(C821="",0,IF(AND(B821="brand",E821="budget_probe",N(F821)&gt;=Inputs!$C$114,H821="Y"),1,0))</f>
        <v/>
      </c>
      <c r="M821">
        <f>IF(L821=1,IF(COUNTIFS(C$5:C821,C821,L$5:L821,1)=1,1,0),0)</f>
        <v/>
      </c>
      <c r="N821">
        <f>IF(C821="",0,IF(AND(B821="office",E821="budget_probe",N(F821)&gt;=Inputs!$C$129),1,0))</f>
        <v/>
      </c>
      <c r="O821">
        <f>IF(N821=1,IF(COUNTIFS(C$5:C821,C821,N$5:N821,1)=1,1,0),0)</f>
        <v/>
      </c>
      <c r="P821">
        <f>IF(C821="",0,IF(AND(B821="brand",E821="renewal_answer",N(F821)&gt;=Inputs!$C$125),1,0))</f>
        <v/>
      </c>
      <c r="Q821">
        <f>IF(AND(B821="office",E821="budget_probe",ISNUMBER(F821)),F821,"")</f>
        <v/>
      </c>
      <c r="R821">
        <f>IF(AND(B821="brand",E821="budget_probe",ISNUMBER(F821)),F821,"")</f>
        <v/>
      </c>
    </row>
    <row r="822">
      <c r="A822" s="91" t="n"/>
      <c r="B822" s="92" t="n"/>
      <c r="C822" s="92" t="n"/>
      <c r="D822" s="92" t="n"/>
      <c r="E822" s="92" t="n"/>
      <c r="F822" s="92" t="n"/>
      <c r="G822" s="92" t="n"/>
      <c r="H822" s="92" t="n"/>
      <c r="I822" s="92" t="n"/>
      <c r="K822">
        <f>IF(C822="","",IF(COUNTIFS(C$5:C822,C822,E$5:E822,E822)=1,1,0))</f>
        <v/>
      </c>
      <c r="L822">
        <f>IF(C822="",0,IF(AND(B822="brand",E822="budget_probe",N(F822)&gt;=Inputs!$C$114,H822="Y"),1,0))</f>
        <v/>
      </c>
      <c r="M822">
        <f>IF(L822=1,IF(COUNTIFS(C$5:C822,C822,L$5:L822,1)=1,1,0),0)</f>
        <v/>
      </c>
      <c r="N822">
        <f>IF(C822="",0,IF(AND(B822="office",E822="budget_probe",N(F822)&gt;=Inputs!$C$129),1,0))</f>
        <v/>
      </c>
      <c r="O822">
        <f>IF(N822=1,IF(COUNTIFS(C$5:C822,C822,N$5:N822,1)=1,1,0),0)</f>
        <v/>
      </c>
      <c r="P822">
        <f>IF(C822="",0,IF(AND(B822="brand",E822="renewal_answer",N(F822)&gt;=Inputs!$C$125),1,0))</f>
        <v/>
      </c>
      <c r="Q822">
        <f>IF(AND(B822="office",E822="budget_probe",ISNUMBER(F822)),F822,"")</f>
        <v/>
      </c>
      <c r="R822">
        <f>IF(AND(B822="brand",E822="budget_probe",ISNUMBER(F822)),F822,"")</f>
        <v/>
      </c>
    </row>
    <row r="823">
      <c r="A823" s="91" t="n"/>
      <c r="B823" s="92" t="n"/>
      <c r="C823" s="92" t="n"/>
      <c r="D823" s="92" t="n"/>
      <c r="E823" s="92" t="n"/>
      <c r="F823" s="92" t="n"/>
      <c r="G823" s="92" t="n"/>
      <c r="H823" s="92" t="n"/>
      <c r="I823" s="92" t="n"/>
      <c r="K823">
        <f>IF(C823="","",IF(COUNTIFS(C$5:C823,C823,E$5:E823,E823)=1,1,0))</f>
        <v/>
      </c>
      <c r="L823">
        <f>IF(C823="",0,IF(AND(B823="brand",E823="budget_probe",N(F823)&gt;=Inputs!$C$114,H823="Y"),1,0))</f>
        <v/>
      </c>
      <c r="M823">
        <f>IF(L823=1,IF(COUNTIFS(C$5:C823,C823,L$5:L823,1)=1,1,0),0)</f>
        <v/>
      </c>
      <c r="N823">
        <f>IF(C823="",0,IF(AND(B823="office",E823="budget_probe",N(F823)&gt;=Inputs!$C$129),1,0))</f>
        <v/>
      </c>
      <c r="O823">
        <f>IF(N823=1,IF(COUNTIFS(C$5:C823,C823,N$5:N823,1)=1,1,0),0)</f>
        <v/>
      </c>
      <c r="P823">
        <f>IF(C823="",0,IF(AND(B823="brand",E823="renewal_answer",N(F823)&gt;=Inputs!$C$125),1,0))</f>
        <v/>
      </c>
      <c r="Q823">
        <f>IF(AND(B823="office",E823="budget_probe",ISNUMBER(F823)),F823,"")</f>
        <v/>
      </c>
      <c r="R823">
        <f>IF(AND(B823="brand",E823="budget_probe",ISNUMBER(F823)),F823,"")</f>
        <v/>
      </c>
    </row>
    <row r="824">
      <c r="A824" s="91" t="n"/>
      <c r="B824" s="92" t="n"/>
      <c r="C824" s="92" t="n"/>
      <c r="D824" s="92" t="n"/>
      <c r="E824" s="92" t="n"/>
      <c r="F824" s="92" t="n"/>
      <c r="G824" s="92" t="n"/>
      <c r="H824" s="92" t="n"/>
      <c r="I824" s="92" t="n"/>
      <c r="K824">
        <f>IF(C824="","",IF(COUNTIFS(C$5:C824,C824,E$5:E824,E824)=1,1,0))</f>
        <v/>
      </c>
      <c r="L824">
        <f>IF(C824="",0,IF(AND(B824="brand",E824="budget_probe",N(F824)&gt;=Inputs!$C$114,H824="Y"),1,0))</f>
        <v/>
      </c>
      <c r="M824">
        <f>IF(L824=1,IF(COUNTIFS(C$5:C824,C824,L$5:L824,1)=1,1,0),0)</f>
        <v/>
      </c>
      <c r="N824">
        <f>IF(C824="",0,IF(AND(B824="office",E824="budget_probe",N(F824)&gt;=Inputs!$C$129),1,0))</f>
        <v/>
      </c>
      <c r="O824">
        <f>IF(N824=1,IF(COUNTIFS(C$5:C824,C824,N$5:N824,1)=1,1,0),0)</f>
        <v/>
      </c>
      <c r="P824">
        <f>IF(C824="",0,IF(AND(B824="brand",E824="renewal_answer",N(F824)&gt;=Inputs!$C$125),1,0))</f>
        <v/>
      </c>
      <c r="Q824">
        <f>IF(AND(B824="office",E824="budget_probe",ISNUMBER(F824)),F824,"")</f>
        <v/>
      </c>
      <c r="R824">
        <f>IF(AND(B824="brand",E824="budget_probe",ISNUMBER(F824)),F824,"")</f>
        <v/>
      </c>
    </row>
    <row r="825">
      <c r="A825" s="91" t="n"/>
      <c r="B825" s="92" t="n"/>
      <c r="C825" s="92" t="n"/>
      <c r="D825" s="92" t="n"/>
      <c r="E825" s="92" t="n"/>
      <c r="F825" s="92" t="n"/>
      <c r="G825" s="92" t="n"/>
      <c r="H825" s="92" t="n"/>
      <c r="I825" s="92" t="n"/>
      <c r="K825">
        <f>IF(C825="","",IF(COUNTIFS(C$5:C825,C825,E$5:E825,E825)=1,1,0))</f>
        <v/>
      </c>
      <c r="L825">
        <f>IF(C825="",0,IF(AND(B825="brand",E825="budget_probe",N(F825)&gt;=Inputs!$C$114,H825="Y"),1,0))</f>
        <v/>
      </c>
      <c r="M825">
        <f>IF(L825=1,IF(COUNTIFS(C$5:C825,C825,L$5:L825,1)=1,1,0),0)</f>
        <v/>
      </c>
      <c r="N825">
        <f>IF(C825="",0,IF(AND(B825="office",E825="budget_probe",N(F825)&gt;=Inputs!$C$129),1,0))</f>
        <v/>
      </c>
      <c r="O825">
        <f>IF(N825=1,IF(COUNTIFS(C$5:C825,C825,N$5:N825,1)=1,1,0),0)</f>
        <v/>
      </c>
      <c r="P825">
        <f>IF(C825="",0,IF(AND(B825="brand",E825="renewal_answer",N(F825)&gt;=Inputs!$C$125),1,0))</f>
        <v/>
      </c>
      <c r="Q825">
        <f>IF(AND(B825="office",E825="budget_probe",ISNUMBER(F825)),F825,"")</f>
        <v/>
      </c>
      <c r="R825">
        <f>IF(AND(B825="brand",E825="budget_probe",ISNUMBER(F825)),F825,"")</f>
        <v/>
      </c>
    </row>
    <row r="826">
      <c r="A826" s="91" t="n"/>
      <c r="B826" s="92" t="n"/>
      <c r="C826" s="92" t="n"/>
      <c r="D826" s="92" t="n"/>
      <c r="E826" s="92" t="n"/>
      <c r="F826" s="92" t="n"/>
      <c r="G826" s="92" t="n"/>
      <c r="H826" s="92" t="n"/>
      <c r="I826" s="92" t="n"/>
      <c r="K826">
        <f>IF(C826="","",IF(COUNTIFS(C$5:C826,C826,E$5:E826,E826)=1,1,0))</f>
        <v/>
      </c>
      <c r="L826">
        <f>IF(C826="",0,IF(AND(B826="brand",E826="budget_probe",N(F826)&gt;=Inputs!$C$114,H826="Y"),1,0))</f>
        <v/>
      </c>
      <c r="M826">
        <f>IF(L826=1,IF(COUNTIFS(C$5:C826,C826,L$5:L826,1)=1,1,0),0)</f>
        <v/>
      </c>
      <c r="N826">
        <f>IF(C826="",0,IF(AND(B826="office",E826="budget_probe",N(F826)&gt;=Inputs!$C$129),1,0))</f>
        <v/>
      </c>
      <c r="O826">
        <f>IF(N826=1,IF(COUNTIFS(C$5:C826,C826,N$5:N826,1)=1,1,0),0)</f>
        <v/>
      </c>
      <c r="P826">
        <f>IF(C826="",0,IF(AND(B826="brand",E826="renewal_answer",N(F826)&gt;=Inputs!$C$125),1,0))</f>
        <v/>
      </c>
      <c r="Q826">
        <f>IF(AND(B826="office",E826="budget_probe",ISNUMBER(F826)),F826,"")</f>
        <v/>
      </c>
      <c r="R826">
        <f>IF(AND(B826="brand",E826="budget_probe",ISNUMBER(F826)),F826,"")</f>
        <v/>
      </c>
    </row>
    <row r="827">
      <c r="A827" s="91" t="n"/>
      <c r="B827" s="92" t="n"/>
      <c r="C827" s="92" t="n"/>
      <c r="D827" s="92" t="n"/>
      <c r="E827" s="92" t="n"/>
      <c r="F827" s="92" t="n"/>
      <c r="G827" s="92" t="n"/>
      <c r="H827" s="92" t="n"/>
      <c r="I827" s="92" t="n"/>
      <c r="K827">
        <f>IF(C827="","",IF(COUNTIFS(C$5:C827,C827,E$5:E827,E827)=1,1,0))</f>
        <v/>
      </c>
      <c r="L827">
        <f>IF(C827="",0,IF(AND(B827="brand",E827="budget_probe",N(F827)&gt;=Inputs!$C$114,H827="Y"),1,0))</f>
        <v/>
      </c>
      <c r="M827">
        <f>IF(L827=1,IF(COUNTIFS(C$5:C827,C827,L$5:L827,1)=1,1,0),0)</f>
        <v/>
      </c>
      <c r="N827">
        <f>IF(C827="",0,IF(AND(B827="office",E827="budget_probe",N(F827)&gt;=Inputs!$C$129),1,0))</f>
        <v/>
      </c>
      <c r="O827">
        <f>IF(N827=1,IF(COUNTIFS(C$5:C827,C827,N$5:N827,1)=1,1,0),0)</f>
        <v/>
      </c>
      <c r="P827">
        <f>IF(C827="",0,IF(AND(B827="brand",E827="renewal_answer",N(F827)&gt;=Inputs!$C$125),1,0))</f>
        <v/>
      </c>
      <c r="Q827">
        <f>IF(AND(B827="office",E827="budget_probe",ISNUMBER(F827)),F827,"")</f>
        <v/>
      </c>
      <c r="R827">
        <f>IF(AND(B827="brand",E827="budget_probe",ISNUMBER(F827)),F827,"")</f>
        <v/>
      </c>
    </row>
    <row r="828">
      <c r="A828" s="91" t="n"/>
      <c r="B828" s="92" t="n"/>
      <c r="C828" s="92" t="n"/>
      <c r="D828" s="92" t="n"/>
      <c r="E828" s="92" t="n"/>
      <c r="F828" s="92" t="n"/>
      <c r="G828" s="92" t="n"/>
      <c r="H828" s="92" t="n"/>
      <c r="I828" s="92" t="n"/>
      <c r="K828">
        <f>IF(C828="","",IF(COUNTIFS(C$5:C828,C828,E$5:E828,E828)=1,1,0))</f>
        <v/>
      </c>
      <c r="L828">
        <f>IF(C828="",0,IF(AND(B828="brand",E828="budget_probe",N(F828)&gt;=Inputs!$C$114,H828="Y"),1,0))</f>
        <v/>
      </c>
      <c r="M828">
        <f>IF(L828=1,IF(COUNTIFS(C$5:C828,C828,L$5:L828,1)=1,1,0),0)</f>
        <v/>
      </c>
      <c r="N828">
        <f>IF(C828="",0,IF(AND(B828="office",E828="budget_probe",N(F828)&gt;=Inputs!$C$129),1,0))</f>
        <v/>
      </c>
      <c r="O828">
        <f>IF(N828=1,IF(COUNTIFS(C$5:C828,C828,N$5:N828,1)=1,1,0),0)</f>
        <v/>
      </c>
      <c r="P828">
        <f>IF(C828="",0,IF(AND(B828="brand",E828="renewal_answer",N(F828)&gt;=Inputs!$C$125),1,0))</f>
        <v/>
      </c>
      <c r="Q828">
        <f>IF(AND(B828="office",E828="budget_probe",ISNUMBER(F828)),F828,"")</f>
        <v/>
      </c>
      <c r="R828">
        <f>IF(AND(B828="brand",E828="budget_probe",ISNUMBER(F828)),F828,"")</f>
        <v/>
      </c>
    </row>
    <row r="829">
      <c r="A829" s="91" t="n"/>
      <c r="B829" s="92" t="n"/>
      <c r="C829" s="92" t="n"/>
      <c r="D829" s="92" t="n"/>
      <c r="E829" s="92" t="n"/>
      <c r="F829" s="92" t="n"/>
      <c r="G829" s="92" t="n"/>
      <c r="H829" s="92" t="n"/>
      <c r="I829" s="92" t="n"/>
      <c r="K829">
        <f>IF(C829="","",IF(COUNTIFS(C$5:C829,C829,E$5:E829,E829)=1,1,0))</f>
        <v/>
      </c>
      <c r="L829">
        <f>IF(C829="",0,IF(AND(B829="brand",E829="budget_probe",N(F829)&gt;=Inputs!$C$114,H829="Y"),1,0))</f>
        <v/>
      </c>
      <c r="M829">
        <f>IF(L829=1,IF(COUNTIFS(C$5:C829,C829,L$5:L829,1)=1,1,0),0)</f>
        <v/>
      </c>
      <c r="N829">
        <f>IF(C829="",0,IF(AND(B829="office",E829="budget_probe",N(F829)&gt;=Inputs!$C$129),1,0))</f>
        <v/>
      </c>
      <c r="O829">
        <f>IF(N829=1,IF(COUNTIFS(C$5:C829,C829,N$5:N829,1)=1,1,0),0)</f>
        <v/>
      </c>
      <c r="P829">
        <f>IF(C829="",0,IF(AND(B829="brand",E829="renewal_answer",N(F829)&gt;=Inputs!$C$125),1,0))</f>
        <v/>
      </c>
      <c r="Q829">
        <f>IF(AND(B829="office",E829="budget_probe",ISNUMBER(F829)),F829,"")</f>
        <v/>
      </c>
      <c r="R829">
        <f>IF(AND(B829="brand",E829="budget_probe",ISNUMBER(F829)),F829,"")</f>
        <v/>
      </c>
    </row>
    <row r="830">
      <c r="A830" s="91" t="n"/>
      <c r="B830" s="92" t="n"/>
      <c r="C830" s="92" t="n"/>
      <c r="D830" s="92" t="n"/>
      <c r="E830" s="92" t="n"/>
      <c r="F830" s="92" t="n"/>
      <c r="G830" s="92" t="n"/>
      <c r="H830" s="92" t="n"/>
      <c r="I830" s="92" t="n"/>
      <c r="K830">
        <f>IF(C830="","",IF(COUNTIFS(C$5:C830,C830,E$5:E830,E830)=1,1,0))</f>
        <v/>
      </c>
      <c r="L830">
        <f>IF(C830="",0,IF(AND(B830="brand",E830="budget_probe",N(F830)&gt;=Inputs!$C$114,H830="Y"),1,0))</f>
        <v/>
      </c>
      <c r="M830">
        <f>IF(L830=1,IF(COUNTIFS(C$5:C830,C830,L$5:L830,1)=1,1,0),0)</f>
        <v/>
      </c>
      <c r="N830">
        <f>IF(C830="",0,IF(AND(B830="office",E830="budget_probe",N(F830)&gt;=Inputs!$C$129),1,0))</f>
        <v/>
      </c>
      <c r="O830">
        <f>IF(N830=1,IF(COUNTIFS(C$5:C830,C830,N$5:N830,1)=1,1,0),0)</f>
        <v/>
      </c>
      <c r="P830">
        <f>IF(C830="",0,IF(AND(B830="brand",E830="renewal_answer",N(F830)&gt;=Inputs!$C$125),1,0))</f>
        <v/>
      </c>
      <c r="Q830">
        <f>IF(AND(B830="office",E830="budget_probe",ISNUMBER(F830)),F830,"")</f>
        <v/>
      </c>
      <c r="R830">
        <f>IF(AND(B830="brand",E830="budget_probe",ISNUMBER(F830)),F830,"")</f>
        <v/>
      </c>
    </row>
    <row r="831">
      <c r="A831" s="91" t="n"/>
      <c r="B831" s="92" t="n"/>
      <c r="C831" s="92" t="n"/>
      <c r="D831" s="92" t="n"/>
      <c r="E831" s="92" t="n"/>
      <c r="F831" s="92" t="n"/>
      <c r="G831" s="92" t="n"/>
      <c r="H831" s="92" t="n"/>
      <c r="I831" s="92" t="n"/>
      <c r="K831">
        <f>IF(C831="","",IF(COUNTIFS(C$5:C831,C831,E$5:E831,E831)=1,1,0))</f>
        <v/>
      </c>
      <c r="L831">
        <f>IF(C831="",0,IF(AND(B831="brand",E831="budget_probe",N(F831)&gt;=Inputs!$C$114,H831="Y"),1,0))</f>
        <v/>
      </c>
      <c r="M831">
        <f>IF(L831=1,IF(COUNTIFS(C$5:C831,C831,L$5:L831,1)=1,1,0),0)</f>
        <v/>
      </c>
      <c r="N831">
        <f>IF(C831="",0,IF(AND(B831="office",E831="budget_probe",N(F831)&gt;=Inputs!$C$129),1,0))</f>
        <v/>
      </c>
      <c r="O831">
        <f>IF(N831=1,IF(COUNTIFS(C$5:C831,C831,N$5:N831,1)=1,1,0),0)</f>
        <v/>
      </c>
      <c r="P831">
        <f>IF(C831="",0,IF(AND(B831="brand",E831="renewal_answer",N(F831)&gt;=Inputs!$C$125),1,0))</f>
        <v/>
      </c>
      <c r="Q831">
        <f>IF(AND(B831="office",E831="budget_probe",ISNUMBER(F831)),F831,"")</f>
        <v/>
      </c>
      <c r="R831">
        <f>IF(AND(B831="brand",E831="budget_probe",ISNUMBER(F831)),F831,"")</f>
        <v/>
      </c>
    </row>
    <row r="832">
      <c r="A832" s="91" t="n"/>
      <c r="B832" s="92" t="n"/>
      <c r="C832" s="92" t="n"/>
      <c r="D832" s="92" t="n"/>
      <c r="E832" s="92" t="n"/>
      <c r="F832" s="92" t="n"/>
      <c r="G832" s="92" t="n"/>
      <c r="H832" s="92" t="n"/>
      <c r="I832" s="92" t="n"/>
      <c r="K832">
        <f>IF(C832="","",IF(COUNTIFS(C$5:C832,C832,E$5:E832,E832)=1,1,0))</f>
        <v/>
      </c>
      <c r="L832">
        <f>IF(C832="",0,IF(AND(B832="brand",E832="budget_probe",N(F832)&gt;=Inputs!$C$114,H832="Y"),1,0))</f>
        <v/>
      </c>
      <c r="M832">
        <f>IF(L832=1,IF(COUNTIFS(C$5:C832,C832,L$5:L832,1)=1,1,0),0)</f>
        <v/>
      </c>
      <c r="N832">
        <f>IF(C832="",0,IF(AND(B832="office",E832="budget_probe",N(F832)&gt;=Inputs!$C$129),1,0))</f>
        <v/>
      </c>
      <c r="O832">
        <f>IF(N832=1,IF(COUNTIFS(C$5:C832,C832,N$5:N832,1)=1,1,0),0)</f>
        <v/>
      </c>
      <c r="P832">
        <f>IF(C832="",0,IF(AND(B832="brand",E832="renewal_answer",N(F832)&gt;=Inputs!$C$125),1,0))</f>
        <v/>
      </c>
      <c r="Q832">
        <f>IF(AND(B832="office",E832="budget_probe",ISNUMBER(F832)),F832,"")</f>
        <v/>
      </c>
      <c r="R832">
        <f>IF(AND(B832="brand",E832="budget_probe",ISNUMBER(F832)),F832,"")</f>
        <v/>
      </c>
    </row>
    <row r="833">
      <c r="A833" s="91" t="n"/>
      <c r="B833" s="92" t="n"/>
      <c r="C833" s="92" t="n"/>
      <c r="D833" s="92" t="n"/>
      <c r="E833" s="92" t="n"/>
      <c r="F833" s="92" t="n"/>
      <c r="G833" s="92" t="n"/>
      <c r="H833" s="92" t="n"/>
      <c r="I833" s="92" t="n"/>
      <c r="K833">
        <f>IF(C833="","",IF(COUNTIFS(C$5:C833,C833,E$5:E833,E833)=1,1,0))</f>
        <v/>
      </c>
      <c r="L833">
        <f>IF(C833="",0,IF(AND(B833="brand",E833="budget_probe",N(F833)&gt;=Inputs!$C$114,H833="Y"),1,0))</f>
        <v/>
      </c>
      <c r="M833">
        <f>IF(L833=1,IF(COUNTIFS(C$5:C833,C833,L$5:L833,1)=1,1,0),0)</f>
        <v/>
      </c>
      <c r="N833">
        <f>IF(C833="",0,IF(AND(B833="office",E833="budget_probe",N(F833)&gt;=Inputs!$C$129),1,0))</f>
        <v/>
      </c>
      <c r="O833">
        <f>IF(N833=1,IF(COUNTIFS(C$5:C833,C833,N$5:N833,1)=1,1,0),0)</f>
        <v/>
      </c>
      <c r="P833">
        <f>IF(C833="",0,IF(AND(B833="brand",E833="renewal_answer",N(F833)&gt;=Inputs!$C$125),1,0))</f>
        <v/>
      </c>
      <c r="Q833">
        <f>IF(AND(B833="office",E833="budget_probe",ISNUMBER(F833)),F833,"")</f>
        <v/>
      </c>
      <c r="R833">
        <f>IF(AND(B833="brand",E833="budget_probe",ISNUMBER(F833)),F833,"")</f>
        <v/>
      </c>
    </row>
    <row r="834">
      <c r="A834" s="91" t="n"/>
      <c r="B834" s="92" t="n"/>
      <c r="C834" s="92" t="n"/>
      <c r="D834" s="92" t="n"/>
      <c r="E834" s="92" t="n"/>
      <c r="F834" s="92" t="n"/>
      <c r="G834" s="92" t="n"/>
      <c r="H834" s="92" t="n"/>
      <c r="I834" s="92" t="n"/>
      <c r="K834">
        <f>IF(C834="","",IF(COUNTIFS(C$5:C834,C834,E$5:E834,E834)=1,1,0))</f>
        <v/>
      </c>
      <c r="L834">
        <f>IF(C834="",0,IF(AND(B834="brand",E834="budget_probe",N(F834)&gt;=Inputs!$C$114,H834="Y"),1,0))</f>
        <v/>
      </c>
      <c r="M834">
        <f>IF(L834=1,IF(COUNTIFS(C$5:C834,C834,L$5:L834,1)=1,1,0),0)</f>
        <v/>
      </c>
      <c r="N834">
        <f>IF(C834="",0,IF(AND(B834="office",E834="budget_probe",N(F834)&gt;=Inputs!$C$129),1,0))</f>
        <v/>
      </c>
      <c r="O834">
        <f>IF(N834=1,IF(COUNTIFS(C$5:C834,C834,N$5:N834,1)=1,1,0),0)</f>
        <v/>
      </c>
      <c r="P834">
        <f>IF(C834="",0,IF(AND(B834="brand",E834="renewal_answer",N(F834)&gt;=Inputs!$C$125),1,0))</f>
        <v/>
      </c>
      <c r="Q834">
        <f>IF(AND(B834="office",E834="budget_probe",ISNUMBER(F834)),F834,"")</f>
        <v/>
      </c>
      <c r="R834">
        <f>IF(AND(B834="brand",E834="budget_probe",ISNUMBER(F834)),F834,"")</f>
        <v/>
      </c>
    </row>
    <row r="835">
      <c r="A835" s="91" t="n"/>
      <c r="B835" s="92" t="n"/>
      <c r="C835" s="92" t="n"/>
      <c r="D835" s="92" t="n"/>
      <c r="E835" s="92" t="n"/>
      <c r="F835" s="92" t="n"/>
      <c r="G835" s="92" t="n"/>
      <c r="H835" s="92" t="n"/>
      <c r="I835" s="92" t="n"/>
      <c r="K835">
        <f>IF(C835="","",IF(COUNTIFS(C$5:C835,C835,E$5:E835,E835)=1,1,0))</f>
        <v/>
      </c>
      <c r="L835">
        <f>IF(C835="",0,IF(AND(B835="brand",E835="budget_probe",N(F835)&gt;=Inputs!$C$114,H835="Y"),1,0))</f>
        <v/>
      </c>
      <c r="M835">
        <f>IF(L835=1,IF(COUNTIFS(C$5:C835,C835,L$5:L835,1)=1,1,0),0)</f>
        <v/>
      </c>
      <c r="N835">
        <f>IF(C835="",0,IF(AND(B835="office",E835="budget_probe",N(F835)&gt;=Inputs!$C$129),1,0))</f>
        <v/>
      </c>
      <c r="O835">
        <f>IF(N835=1,IF(COUNTIFS(C$5:C835,C835,N$5:N835,1)=1,1,0),0)</f>
        <v/>
      </c>
      <c r="P835">
        <f>IF(C835="",0,IF(AND(B835="brand",E835="renewal_answer",N(F835)&gt;=Inputs!$C$125),1,0))</f>
        <v/>
      </c>
      <c r="Q835">
        <f>IF(AND(B835="office",E835="budget_probe",ISNUMBER(F835)),F835,"")</f>
        <v/>
      </c>
      <c r="R835">
        <f>IF(AND(B835="brand",E835="budget_probe",ISNUMBER(F835)),F835,"")</f>
        <v/>
      </c>
    </row>
    <row r="836">
      <c r="A836" s="91" t="n"/>
      <c r="B836" s="92" t="n"/>
      <c r="C836" s="92" t="n"/>
      <c r="D836" s="92" t="n"/>
      <c r="E836" s="92" t="n"/>
      <c r="F836" s="92" t="n"/>
      <c r="G836" s="92" t="n"/>
      <c r="H836" s="92" t="n"/>
      <c r="I836" s="92" t="n"/>
      <c r="K836">
        <f>IF(C836="","",IF(COUNTIFS(C$5:C836,C836,E$5:E836,E836)=1,1,0))</f>
        <v/>
      </c>
      <c r="L836">
        <f>IF(C836="",0,IF(AND(B836="brand",E836="budget_probe",N(F836)&gt;=Inputs!$C$114,H836="Y"),1,0))</f>
        <v/>
      </c>
      <c r="M836">
        <f>IF(L836=1,IF(COUNTIFS(C$5:C836,C836,L$5:L836,1)=1,1,0),0)</f>
        <v/>
      </c>
      <c r="N836">
        <f>IF(C836="",0,IF(AND(B836="office",E836="budget_probe",N(F836)&gt;=Inputs!$C$129),1,0))</f>
        <v/>
      </c>
      <c r="O836">
        <f>IF(N836=1,IF(COUNTIFS(C$5:C836,C836,N$5:N836,1)=1,1,0),0)</f>
        <v/>
      </c>
      <c r="P836">
        <f>IF(C836="",0,IF(AND(B836="brand",E836="renewal_answer",N(F836)&gt;=Inputs!$C$125),1,0))</f>
        <v/>
      </c>
      <c r="Q836">
        <f>IF(AND(B836="office",E836="budget_probe",ISNUMBER(F836)),F836,"")</f>
        <v/>
      </c>
      <c r="R836">
        <f>IF(AND(B836="brand",E836="budget_probe",ISNUMBER(F836)),F836,"")</f>
        <v/>
      </c>
    </row>
    <row r="837">
      <c r="A837" s="91" t="n"/>
      <c r="B837" s="92" t="n"/>
      <c r="C837" s="92" t="n"/>
      <c r="D837" s="92" t="n"/>
      <c r="E837" s="92" t="n"/>
      <c r="F837" s="92" t="n"/>
      <c r="G837" s="92" t="n"/>
      <c r="H837" s="92" t="n"/>
      <c r="I837" s="92" t="n"/>
      <c r="K837">
        <f>IF(C837="","",IF(COUNTIFS(C$5:C837,C837,E$5:E837,E837)=1,1,0))</f>
        <v/>
      </c>
      <c r="L837">
        <f>IF(C837="",0,IF(AND(B837="brand",E837="budget_probe",N(F837)&gt;=Inputs!$C$114,H837="Y"),1,0))</f>
        <v/>
      </c>
      <c r="M837">
        <f>IF(L837=1,IF(COUNTIFS(C$5:C837,C837,L$5:L837,1)=1,1,0),0)</f>
        <v/>
      </c>
      <c r="N837">
        <f>IF(C837="",0,IF(AND(B837="office",E837="budget_probe",N(F837)&gt;=Inputs!$C$129),1,0))</f>
        <v/>
      </c>
      <c r="O837">
        <f>IF(N837=1,IF(COUNTIFS(C$5:C837,C837,N$5:N837,1)=1,1,0),0)</f>
        <v/>
      </c>
      <c r="P837">
        <f>IF(C837="",0,IF(AND(B837="brand",E837="renewal_answer",N(F837)&gt;=Inputs!$C$125),1,0))</f>
        <v/>
      </c>
      <c r="Q837">
        <f>IF(AND(B837="office",E837="budget_probe",ISNUMBER(F837)),F837,"")</f>
        <v/>
      </c>
      <c r="R837">
        <f>IF(AND(B837="brand",E837="budget_probe",ISNUMBER(F837)),F837,"")</f>
        <v/>
      </c>
    </row>
    <row r="838">
      <c r="A838" s="91" t="n"/>
      <c r="B838" s="92" t="n"/>
      <c r="C838" s="92" t="n"/>
      <c r="D838" s="92" t="n"/>
      <c r="E838" s="92" t="n"/>
      <c r="F838" s="92" t="n"/>
      <c r="G838" s="92" t="n"/>
      <c r="H838" s="92" t="n"/>
      <c r="I838" s="92" t="n"/>
      <c r="K838">
        <f>IF(C838="","",IF(COUNTIFS(C$5:C838,C838,E$5:E838,E838)=1,1,0))</f>
        <v/>
      </c>
      <c r="L838">
        <f>IF(C838="",0,IF(AND(B838="brand",E838="budget_probe",N(F838)&gt;=Inputs!$C$114,H838="Y"),1,0))</f>
        <v/>
      </c>
      <c r="M838">
        <f>IF(L838=1,IF(COUNTIFS(C$5:C838,C838,L$5:L838,1)=1,1,0),0)</f>
        <v/>
      </c>
      <c r="N838">
        <f>IF(C838="",0,IF(AND(B838="office",E838="budget_probe",N(F838)&gt;=Inputs!$C$129),1,0))</f>
        <v/>
      </c>
      <c r="O838">
        <f>IF(N838=1,IF(COUNTIFS(C$5:C838,C838,N$5:N838,1)=1,1,0),0)</f>
        <v/>
      </c>
      <c r="P838">
        <f>IF(C838="",0,IF(AND(B838="brand",E838="renewal_answer",N(F838)&gt;=Inputs!$C$125),1,0))</f>
        <v/>
      </c>
      <c r="Q838">
        <f>IF(AND(B838="office",E838="budget_probe",ISNUMBER(F838)),F838,"")</f>
        <v/>
      </c>
      <c r="R838">
        <f>IF(AND(B838="brand",E838="budget_probe",ISNUMBER(F838)),F838,"")</f>
        <v/>
      </c>
    </row>
    <row r="839">
      <c r="A839" s="91" t="n"/>
      <c r="B839" s="92" t="n"/>
      <c r="C839" s="92" t="n"/>
      <c r="D839" s="92" t="n"/>
      <c r="E839" s="92" t="n"/>
      <c r="F839" s="92" t="n"/>
      <c r="G839" s="92" t="n"/>
      <c r="H839" s="92" t="n"/>
      <c r="I839" s="92" t="n"/>
      <c r="K839">
        <f>IF(C839="","",IF(COUNTIFS(C$5:C839,C839,E$5:E839,E839)=1,1,0))</f>
        <v/>
      </c>
      <c r="L839">
        <f>IF(C839="",0,IF(AND(B839="brand",E839="budget_probe",N(F839)&gt;=Inputs!$C$114,H839="Y"),1,0))</f>
        <v/>
      </c>
      <c r="M839">
        <f>IF(L839=1,IF(COUNTIFS(C$5:C839,C839,L$5:L839,1)=1,1,0),0)</f>
        <v/>
      </c>
      <c r="N839">
        <f>IF(C839="",0,IF(AND(B839="office",E839="budget_probe",N(F839)&gt;=Inputs!$C$129),1,0))</f>
        <v/>
      </c>
      <c r="O839">
        <f>IF(N839=1,IF(COUNTIFS(C$5:C839,C839,N$5:N839,1)=1,1,0),0)</f>
        <v/>
      </c>
      <c r="P839">
        <f>IF(C839="",0,IF(AND(B839="brand",E839="renewal_answer",N(F839)&gt;=Inputs!$C$125),1,0))</f>
        <v/>
      </c>
      <c r="Q839">
        <f>IF(AND(B839="office",E839="budget_probe",ISNUMBER(F839)),F839,"")</f>
        <v/>
      </c>
      <c r="R839">
        <f>IF(AND(B839="brand",E839="budget_probe",ISNUMBER(F839)),F839,"")</f>
        <v/>
      </c>
    </row>
    <row r="840">
      <c r="A840" s="91" t="n"/>
      <c r="B840" s="92" t="n"/>
      <c r="C840" s="92" t="n"/>
      <c r="D840" s="92" t="n"/>
      <c r="E840" s="92" t="n"/>
      <c r="F840" s="92" t="n"/>
      <c r="G840" s="92" t="n"/>
      <c r="H840" s="92" t="n"/>
      <c r="I840" s="92" t="n"/>
      <c r="K840">
        <f>IF(C840="","",IF(COUNTIFS(C$5:C840,C840,E$5:E840,E840)=1,1,0))</f>
        <v/>
      </c>
      <c r="L840">
        <f>IF(C840="",0,IF(AND(B840="brand",E840="budget_probe",N(F840)&gt;=Inputs!$C$114,H840="Y"),1,0))</f>
        <v/>
      </c>
      <c r="M840">
        <f>IF(L840=1,IF(COUNTIFS(C$5:C840,C840,L$5:L840,1)=1,1,0),0)</f>
        <v/>
      </c>
      <c r="N840">
        <f>IF(C840="",0,IF(AND(B840="office",E840="budget_probe",N(F840)&gt;=Inputs!$C$129),1,0))</f>
        <v/>
      </c>
      <c r="O840">
        <f>IF(N840=1,IF(COUNTIFS(C$5:C840,C840,N$5:N840,1)=1,1,0),0)</f>
        <v/>
      </c>
      <c r="P840">
        <f>IF(C840="",0,IF(AND(B840="brand",E840="renewal_answer",N(F840)&gt;=Inputs!$C$125),1,0))</f>
        <v/>
      </c>
      <c r="Q840">
        <f>IF(AND(B840="office",E840="budget_probe",ISNUMBER(F840)),F840,"")</f>
        <v/>
      </c>
      <c r="R840">
        <f>IF(AND(B840="brand",E840="budget_probe",ISNUMBER(F840)),F840,"")</f>
        <v/>
      </c>
    </row>
    <row r="841">
      <c r="A841" s="91" t="n"/>
      <c r="B841" s="92" t="n"/>
      <c r="C841" s="92" t="n"/>
      <c r="D841" s="92" t="n"/>
      <c r="E841" s="92" t="n"/>
      <c r="F841" s="92" t="n"/>
      <c r="G841" s="92" t="n"/>
      <c r="H841" s="92" t="n"/>
      <c r="I841" s="92" t="n"/>
      <c r="K841">
        <f>IF(C841="","",IF(COUNTIFS(C$5:C841,C841,E$5:E841,E841)=1,1,0))</f>
        <v/>
      </c>
      <c r="L841">
        <f>IF(C841="",0,IF(AND(B841="brand",E841="budget_probe",N(F841)&gt;=Inputs!$C$114,H841="Y"),1,0))</f>
        <v/>
      </c>
      <c r="M841">
        <f>IF(L841=1,IF(COUNTIFS(C$5:C841,C841,L$5:L841,1)=1,1,0),0)</f>
        <v/>
      </c>
      <c r="N841">
        <f>IF(C841="",0,IF(AND(B841="office",E841="budget_probe",N(F841)&gt;=Inputs!$C$129),1,0))</f>
        <v/>
      </c>
      <c r="O841">
        <f>IF(N841=1,IF(COUNTIFS(C$5:C841,C841,N$5:N841,1)=1,1,0),0)</f>
        <v/>
      </c>
      <c r="P841">
        <f>IF(C841="",0,IF(AND(B841="brand",E841="renewal_answer",N(F841)&gt;=Inputs!$C$125),1,0))</f>
        <v/>
      </c>
      <c r="Q841">
        <f>IF(AND(B841="office",E841="budget_probe",ISNUMBER(F841)),F841,"")</f>
        <v/>
      </c>
      <c r="R841">
        <f>IF(AND(B841="brand",E841="budget_probe",ISNUMBER(F841)),F841,"")</f>
        <v/>
      </c>
    </row>
    <row r="842">
      <c r="A842" s="91" t="n"/>
      <c r="B842" s="92" t="n"/>
      <c r="C842" s="92" t="n"/>
      <c r="D842" s="92" t="n"/>
      <c r="E842" s="92" t="n"/>
      <c r="F842" s="92" t="n"/>
      <c r="G842" s="92" t="n"/>
      <c r="H842" s="92" t="n"/>
      <c r="I842" s="92" t="n"/>
      <c r="K842">
        <f>IF(C842="","",IF(COUNTIFS(C$5:C842,C842,E$5:E842,E842)=1,1,0))</f>
        <v/>
      </c>
      <c r="L842">
        <f>IF(C842="",0,IF(AND(B842="brand",E842="budget_probe",N(F842)&gt;=Inputs!$C$114,H842="Y"),1,0))</f>
        <v/>
      </c>
      <c r="M842">
        <f>IF(L842=1,IF(COUNTIFS(C$5:C842,C842,L$5:L842,1)=1,1,0),0)</f>
        <v/>
      </c>
      <c r="N842">
        <f>IF(C842="",0,IF(AND(B842="office",E842="budget_probe",N(F842)&gt;=Inputs!$C$129),1,0))</f>
        <v/>
      </c>
      <c r="O842">
        <f>IF(N842=1,IF(COUNTIFS(C$5:C842,C842,N$5:N842,1)=1,1,0),0)</f>
        <v/>
      </c>
      <c r="P842">
        <f>IF(C842="",0,IF(AND(B842="brand",E842="renewal_answer",N(F842)&gt;=Inputs!$C$125),1,0))</f>
        <v/>
      </c>
      <c r="Q842">
        <f>IF(AND(B842="office",E842="budget_probe",ISNUMBER(F842)),F842,"")</f>
        <v/>
      </c>
      <c r="R842">
        <f>IF(AND(B842="brand",E842="budget_probe",ISNUMBER(F842)),F842,"")</f>
        <v/>
      </c>
    </row>
    <row r="843">
      <c r="A843" s="91" t="n"/>
      <c r="B843" s="92" t="n"/>
      <c r="C843" s="92" t="n"/>
      <c r="D843" s="92" t="n"/>
      <c r="E843" s="92" t="n"/>
      <c r="F843" s="92" t="n"/>
      <c r="G843" s="92" t="n"/>
      <c r="H843" s="92" t="n"/>
      <c r="I843" s="92" t="n"/>
      <c r="K843">
        <f>IF(C843="","",IF(COUNTIFS(C$5:C843,C843,E$5:E843,E843)=1,1,0))</f>
        <v/>
      </c>
      <c r="L843">
        <f>IF(C843="",0,IF(AND(B843="brand",E843="budget_probe",N(F843)&gt;=Inputs!$C$114,H843="Y"),1,0))</f>
        <v/>
      </c>
      <c r="M843">
        <f>IF(L843=1,IF(COUNTIFS(C$5:C843,C843,L$5:L843,1)=1,1,0),0)</f>
        <v/>
      </c>
      <c r="N843">
        <f>IF(C843="",0,IF(AND(B843="office",E843="budget_probe",N(F843)&gt;=Inputs!$C$129),1,0))</f>
        <v/>
      </c>
      <c r="O843">
        <f>IF(N843=1,IF(COUNTIFS(C$5:C843,C843,N$5:N843,1)=1,1,0),0)</f>
        <v/>
      </c>
      <c r="P843">
        <f>IF(C843="",0,IF(AND(B843="brand",E843="renewal_answer",N(F843)&gt;=Inputs!$C$125),1,0))</f>
        <v/>
      </c>
      <c r="Q843">
        <f>IF(AND(B843="office",E843="budget_probe",ISNUMBER(F843)),F843,"")</f>
        <v/>
      </c>
      <c r="R843">
        <f>IF(AND(B843="brand",E843="budget_probe",ISNUMBER(F843)),F843,"")</f>
        <v/>
      </c>
    </row>
    <row r="844">
      <c r="A844" s="91" t="n"/>
      <c r="B844" s="92" t="n"/>
      <c r="C844" s="92" t="n"/>
      <c r="D844" s="92" t="n"/>
      <c r="E844" s="92" t="n"/>
      <c r="F844" s="92" t="n"/>
      <c r="G844" s="92" t="n"/>
      <c r="H844" s="92" t="n"/>
      <c r="I844" s="92" t="n"/>
      <c r="K844">
        <f>IF(C844="","",IF(COUNTIFS(C$5:C844,C844,E$5:E844,E844)=1,1,0))</f>
        <v/>
      </c>
      <c r="L844">
        <f>IF(C844="",0,IF(AND(B844="brand",E844="budget_probe",N(F844)&gt;=Inputs!$C$114,H844="Y"),1,0))</f>
        <v/>
      </c>
      <c r="M844">
        <f>IF(L844=1,IF(COUNTIFS(C$5:C844,C844,L$5:L844,1)=1,1,0),0)</f>
        <v/>
      </c>
      <c r="N844">
        <f>IF(C844="",0,IF(AND(B844="office",E844="budget_probe",N(F844)&gt;=Inputs!$C$129),1,0))</f>
        <v/>
      </c>
      <c r="O844">
        <f>IF(N844=1,IF(COUNTIFS(C$5:C844,C844,N$5:N844,1)=1,1,0),0)</f>
        <v/>
      </c>
      <c r="P844">
        <f>IF(C844="",0,IF(AND(B844="brand",E844="renewal_answer",N(F844)&gt;=Inputs!$C$125),1,0))</f>
        <v/>
      </c>
      <c r="Q844">
        <f>IF(AND(B844="office",E844="budget_probe",ISNUMBER(F844)),F844,"")</f>
        <v/>
      </c>
      <c r="R844">
        <f>IF(AND(B844="brand",E844="budget_probe",ISNUMBER(F844)),F844,"")</f>
        <v/>
      </c>
    </row>
    <row r="845">
      <c r="A845" s="91" t="n"/>
      <c r="B845" s="92" t="n"/>
      <c r="C845" s="92" t="n"/>
      <c r="D845" s="92" t="n"/>
      <c r="E845" s="92" t="n"/>
      <c r="F845" s="92" t="n"/>
      <c r="G845" s="92" t="n"/>
      <c r="H845" s="92" t="n"/>
      <c r="I845" s="92" t="n"/>
      <c r="K845">
        <f>IF(C845="","",IF(COUNTIFS(C$5:C845,C845,E$5:E845,E845)=1,1,0))</f>
        <v/>
      </c>
      <c r="L845">
        <f>IF(C845="",0,IF(AND(B845="brand",E845="budget_probe",N(F845)&gt;=Inputs!$C$114,H845="Y"),1,0))</f>
        <v/>
      </c>
      <c r="M845">
        <f>IF(L845=1,IF(COUNTIFS(C$5:C845,C845,L$5:L845,1)=1,1,0),0)</f>
        <v/>
      </c>
      <c r="N845">
        <f>IF(C845="",0,IF(AND(B845="office",E845="budget_probe",N(F845)&gt;=Inputs!$C$129),1,0))</f>
        <v/>
      </c>
      <c r="O845">
        <f>IF(N845=1,IF(COUNTIFS(C$5:C845,C845,N$5:N845,1)=1,1,0),0)</f>
        <v/>
      </c>
      <c r="P845">
        <f>IF(C845="",0,IF(AND(B845="brand",E845="renewal_answer",N(F845)&gt;=Inputs!$C$125),1,0))</f>
        <v/>
      </c>
      <c r="Q845">
        <f>IF(AND(B845="office",E845="budget_probe",ISNUMBER(F845)),F845,"")</f>
        <v/>
      </c>
      <c r="R845">
        <f>IF(AND(B845="brand",E845="budget_probe",ISNUMBER(F845)),F845,"")</f>
        <v/>
      </c>
    </row>
    <row r="846">
      <c r="A846" s="91" t="n"/>
      <c r="B846" s="92" t="n"/>
      <c r="C846" s="92" t="n"/>
      <c r="D846" s="92" t="n"/>
      <c r="E846" s="92" t="n"/>
      <c r="F846" s="92" t="n"/>
      <c r="G846" s="92" t="n"/>
      <c r="H846" s="92" t="n"/>
      <c r="I846" s="92" t="n"/>
      <c r="K846">
        <f>IF(C846="","",IF(COUNTIFS(C$5:C846,C846,E$5:E846,E846)=1,1,0))</f>
        <v/>
      </c>
      <c r="L846">
        <f>IF(C846="",0,IF(AND(B846="brand",E846="budget_probe",N(F846)&gt;=Inputs!$C$114,H846="Y"),1,0))</f>
        <v/>
      </c>
      <c r="M846">
        <f>IF(L846=1,IF(COUNTIFS(C$5:C846,C846,L$5:L846,1)=1,1,0),0)</f>
        <v/>
      </c>
      <c r="N846">
        <f>IF(C846="",0,IF(AND(B846="office",E846="budget_probe",N(F846)&gt;=Inputs!$C$129),1,0))</f>
        <v/>
      </c>
      <c r="O846">
        <f>IF(N846=1,IF(COUNTIFS(C$5:C846,C846,N$5:N846,1)=1,1,0),0)</f>
        <v/>
      </c>
      <c r="P846">
        <f>IF(C846="",0,IF(AND(B846="brand",E846="renewal_answer",N(F846)&gt;=Inputs!$C$125),1,0))</f>
        <v/>
      </c>
      <c r="Q846">
        <f>IF(AND(B846="office",E846="budget_probe",ISNUMBER(F846)),F846,"")</f>
        <v/>
      </c>
      <c r="R846">
        <f>IF(AND(B846="brand",E846="budget_probe",ISNUMBER(F846)),F846,"")</f>
        <v/>
      </c>
    </row>
    <row r="847">
      <c r="A847" s="91" t="n"/>
      <c r="B847" s="92" t="n"/>
      <c r="C847" s="92" t="n"/>
      <c r="D847" s="92" t="n"/>
      <c r="E847" s="92" t="n"/>
      <c r="F847" s="92" t="n"/>
      <c r="G847" s="92" t="n"/>
      <c r="H847" s="92" t="n"/>
      <c r="I847" s="92" t="n"/>
      <c r="K847">
        <f>IF(C847="","",IF(COUNTIFS(C$5:C847,C847,E$5:E847,E847)=1,1,0))</f>
        <v/>
      </c>
      <c r="L847">
        <f>IF(C847="",0,IF(AND(B847="brand",E847="budget_probe",N(F847)&gt;=Inputs!$C$114,H847="Y"),1,0))</f>
        <v/>
      </c>
      <c r="M847">
        <f>IF(L847=1,IF(COUNTIFS(C$5:C847,C847,L$5:L847,1)=1,1,0),0)</f>
        <v/>
      </c>
      <c r="N847">
        <f>IF(C847="",0,IF(AND(B847="office",E847="budget_probe",N(F847)&gt;=Inputs!$C$129),1,0))</f>
        <v/>
      </c>
      <c r="O847">
        <f>IF(N847=1,IF(COUNTIFS(C$5:C847,C847,N$5:N847,1)=1,1,0),0)</f>
        <v/>
      </c>
      <c r="P847">
        <f>IF(C847="",0,IF(AND(B847="brand",E847="renewal_answer",N(F847)&gt;=Inputs!$C$125),1,0))</f>
        <v/>
      </c>
      <c r="Q847">
        <f>IF(AND(B847="office",E847="budget_probe",ISNUMBER(F847)),F847,"")</f>
        <v/>
      </c>
      <c r="R847">
        <f>IF(AND(B847="brand",E847="budget_probe",ISNUMBER(F847)),F847,"")</f>
        <v/>
      </c>
    </row>
    <row r="848">
      <c r="A848" s="91" t="n"/>
      <c r="B848" s="92" t="n"/>
      <c r="C848" s="92" t="n"/>
      <c r="D848" s="92" t="n"/>
      <c r="E848" s="92" t="n"/>
      <c r="F848" s="92" t="n"/>
      <c r="G848" s="92" t="n"/>
      <c r="H848" s="92" t="n"/>
      <c r="I848" s="92" t="n"/>
      <c r="K848">
        <f>IF(C848="","",IF(COUNTIFS(C$5:C848,C848,E$5:E848,E848)=1,1,0))</f>
        <v/>
      </c>
      <c r="L848">
        <f>IF(C848="",0,IF(AND(B848="brand",E848="budget_probe",N(F848)&gt;=Inputs!$C$114,H848="Y"),1,0))</f>
        <v/>
      </c>
      <c r="M848">
        <f>IF(L848=1,IF(COUNTIFS(C$5:C848,C848,L$5:L848,1)=1,1,0),0)</f>
        <v/>
      </c>
      <c r="N848">
        <f>IF(C848="",0,IF(AND(B848="office",E848="budget_probe",N(F848)&gt;=Inputs!$C$129),1,0))</f>
        <v/>
      </c>
      <c r="O848">
        <f>IF(N848=1,IF(COUNTIFS(C$5:C848,C848,N$5:N848,1)=1,1,0),0)</f>
        <v/>
      </c>
      <c r="P848">
        <f>IF(C848="",0,IF(AND(B848="brand",E848="renewal_answer",N(F848)&gt;=Inputs!$C$125),1,0))</f>
        <v/>
      </c>
      <c r="Q848">
        <f>IF(AND(B848="office",E848="budget_probe",ISNUMBER(F848)),F848,"")</f>
        <v/>
      </c>
      <c r="R848">
        <f>IF(AND(B848="brand",E848="budget_probe",ISNUMBER(F848)),F848,"")</f>
        <v/>
      </c>
    </row>
    <row r="849">
      <c r="A849" s="91" t="n"/>
      <c r="B849" s="92" t="n"/>
      <c r="C849" s="92" t="n"/>
      <c r="D849" s="92" t="n"/>
      <c r="E849" s="92" t="n"/>
      <c r="F849" s="92" t="n"/>
      <c r="G849" s="92" t="n"/>
      <c r="H849" s="92" t="n"/>
      <c r="I849" s="92" t="n"/>
      <c r="K849">
        <f>IF(C849="","",IF(COUNTIFS(C$5:C849,C849,E$5:E849,E849)=1,1,0))</f>
        <v/>
      </c>
      <c r="L849">
        <f>IF(C849="",0,IF(AND(B849="brand",E849="budget_probe",N(F849)&gt;=Inputs!$C$114,H849="Y"),1,0))</f>
        <v/>
      </c>
      <c r="M849">
        <f>IF(L849=1,IF(COUNTIFS(C$5:C849,C849,L$5:L849,1)=1,1,0),0)</f>
        <v/>
      </c>
      <c r="N849">
        <f>IF(C849="",0,IF(AND(B849="office",E849="budget_probe",N(F849)&gt;=Inputs!$C$129),1,0))</f>
        <v/>
      </c>
      <c r="O849">
        <f>IF(N849=1,IF(COUNTIFS(C$5:C849,C849,N$5:N849,1)=1,1,0),0)</f>
        <v/>
      </c>
      <c r="P849">
        <f>IF(C849="",0,IF(AND(B849="brand",E849="renewal_answer",N(F849)&gt;=Inputs!$C$125),1,0))</f>
        <v/>
      </c>
      <c r="Q849">
        <f>IF(AND(B849="office",E849="budget_probe",ISNUMBER(F849)),F849,"")</f>
        <v/>
      </c>
      <c r="R849">
        <f>IF(AND(B849="brand",E849="budget_probe",ISNUMBER(F849)),F849,"")</f>
        <v/>
      </c>
    </row>
    <row r="850">
      <c r="A850" s="91" t="n"/>
      <c r="B850" s="92" t="n"/>
      <c r="C850" s="92" t="n"/>
      <c r="D850" s="92" t="n"/>
      <c r="E850" s="92" t="n"/>
      <c r="F850" s="92" t="n"/>
      <c r="G850" s="92" t="n"/>
      <c r="H850" s="92" t="n"/>
      <c r="I850" s="92" t="n"/>
      <c r="K850">
        <f>IF(C850="","",IF(COUNTIFS(C$5:C850,C850,E$5:E850,E850)=1,1,0))</f>
        <v/>
      </c>
      <c r="L850">
        <f>IF(C850="",0,IF(AND(B850="brand",E850="budget_probe",N(F850)&gt;=Inputs!$C$114,H850="Y"),1,0))</f>
        <v/>
      </c>
      <c r="M850">
        <f>IF(L850=1,IF(COUNTIFS(C$5:C850,C850,L$5:L850,1)=1,1,0),0)</f>
        <v/>
      </c>
      <c r="N850">
        <f>IF(C850="",0,IF(AND(B850="office",E850="budget_probe",N(F850)&gt;=Inputs!$C$129),1,0))</f>
        <v/>
      </c>
      <c r="O850">
        <f>IF(N850=1,IF(COUNTIFS(C$5:C850,C850,N$5:N850,1)=1,1,0),0)</f>
        <v/>
      </c>
      <c r="P850">
        <f>IF(C850="",0,IF(AND(B850="brand",E850="renewal_answer",N(F850)&gt;=Inputs!$C$125),1,0))</f>
        <v/>
      </c>
      <c r="Q850">
        <f>IF(AND(B850="office",E850="budget_probe",ISNUMBER(F850)),F850,"")</f>
        <v/>
      </c>
      <c r="R850">
        <f>IF(AND(B850="brand",E850="budget_probe",ISNUMBER(F850)),F850,"")</f>
        <v/>
      </c>
    </row>
    <row r="851">
      <c r="A851" s="91" t="n"/>
      <c r="B851" s="92" t="n"/>
      <c r="C851" s="92" t="n"/>
      <c r="D851" s="92" t="n"/>
      <c r="E851" s="92" t="n"/>
      <c r="F851" s="92" t="n"/>
      <c r="G851" s="92" t="n"/>
      <c r="H851" s="92" t="n"/>
      <c r="I851" s="92" t="n"/>
      <c r="K851">
        <f>IF(C851="","",IF(COUNTIFS(C$5:C851,C851,E$5:E851,E851)=1,1,0))</f>
        <v/>
      </c>
      <c r="L851">
        <f>IF(C851="",0,IF(AND(B851="brand",E851="budget_probe",N(F851)&gt;=Inputs!$C$114,H851="Y"),1,0))</f>
        <v/>
      </c>
      <c r="M851">
        <f>IF(L851=1,IF(COUNTIFS(C$5:C851,C851,L$5:L851,1)=1,1,0),0)</f>
        <v/>
      </c>
      <c r="N851">
        <f>IF(C851="",0,IF(AND(B851="office",E851="budget_probe",N(F851)&gt;=Inputs!$C$129),1,0))</f>
        <v/>
      </c>
      <c r="O851">
        <f>IF(N851=1,IF(COUNTIFS(C$5:C851,C851,N$5:N851,1)=1,1,0),0)</f>
        <v/>
      </c>
      <c r="P851">
        <f>IF(C851="",0,IF(AND(B851="brand",E851="renewal_answer",N(F851)&gt;=Inputs!$C$125),1,0))</f>
        <v/>
      </c>
      <c r="Q851">
        <f>IF(AND(B851="office",E851="budget_probe",ISNUMBER(F851)),F851,"")</f>
        <v/>
      </c>
      <c r="R851">
        <f>IF(AND(B851="brand",E851="budget_probe",ISNUMBER(F851)),F851,"")</f>
        <v/>
      </c>
    </row>
    <row r="852">
      <c r="A852" s="91" t="n"/>
      <c r="B852" s="92" t="n"/>
      <c r="C852" s="92" t="n"/>
      <c r="D852" s="92" t="n"/>
      <c r="E852" s="92" t="n"/>
      <c r="F852" s="92" t="n"/>
      <c r="G852" s="92" t="n"/>
      <c r="H852" s="92" t="n"/>
      <c r="I852" s="92" t="n"/>
      <c r="K852">
        <f>IF(C852="","",IF(COUNTIFS(C$5:C852,C852,E$5:E852,E852)=1,1,0))</f>
        <v/>
      </c>
      <c r="L852">
        <f>IF(C852="",0,IF(AND(B852="brand",E852="budget_probe",N(F852)&gt;=Inputs!$C$114,H852="Y"),1,0))</f>
        <v/>
      </c>
      <c r="M852">
        <f>IF(L852=1,IF(COUNTIFS(C$5:C852,C852,L$5:L852,1)=1,1,0),0)</f>
        <v/>
      </c>
      <c r="N852">
        <f>IF(C852="",0,IF(AND(B852="office",E852="budget_probe",N(F852)&gt;=Inputs!$C$129),1,0))</f>
        <v/>
      </c>
      <c r="O852">
        <f>IF(N852=1,IF(COUNTIFS(C$5:C852,C852,N$5:N852,1)=1,1,0),0)</f>
        <v/>
      </c>
      <c r="P852">
        <f>IF(C852="",0,IF(AND(B852="brand",E852="renewal_answer",N(F852)&gt;=Inputs!$C$125),1,0))</f>
        <v/>
      </c>
      <c r="Q852">
        <f>IF(AND(B852="office",E852="budget_probe",ISNUMBER(F852)),F852,"")</f>
        <v/>
      </c>
      <c r="R852">
        <f>IF(AND(B852="brand",E852="budget_probe",ISNUMBER(F852)),F852,"")</f>
        <v/>
      </c>
    </row>
    <row r="853">
      <c r="A853" s="91" t="n"/>
      <c r="B853" s="92" t="n"/>
      <c r="C853" s="92" t="n"/>
      <c r="D853" s="92" t="n"/>
      <c r="E853" s="92" t="n"/>
      <c r="F853" s="92" t="n"/>
      <c r="G853" s="92" t="n"/>
      <c r="H853" s="92" t="n"/>
      <c r="I853" s="92" t="n"/>
      <c r="K853">
        <f>IF(C853="","",IF(COUNTIFS(C$5:C853,C853,E$5:E853,E853)=1,1,0))</f>
        <v/>
      </c>
      <c r="L853">
        <f>IF(C853="",0,IF(AND(B853="brand",E853="budget_probe",N(F853)&gt;=Inputs!$C$114,H853="Y"),1,0))</f>
        <v/>
      </c>
      <c r="M853">
        <f>IF(L853=1,IF(COUNTIFS(C$5:C853,C853,L$5:L853,1)=1,1,0),0)</f>
        <v/>
      </c>
      <c r="N853">
        <f>IF(C853="",0,IF(AND(B853="office",E853="budget_probe",N(F853)&gt;=Inputs!$C$129),1,0))</f>
        <v/>
      </c>
      <c r="O853">
        <f>IF(N853=1,IF(COUNTIFS(C$5:C853,C853,N$5:N853,1)=1,1,0),0)</f>
        <v/>
      </c>
      <c r="P853">
        <f>IF(C853="",0,IF(AND(B853="brand",E853="renewal_answer",N(F853)&gt;=Inputs!$C$125),1,0))</f>
        <v/>
      </c>
      <c r="Q853">
        <f>IF(AND(B853="office",E853="budget_probe",ISNUMBER(F853)),F853,"")</f>
        <v/>
      </c>
      <c r="R853">
        <f>IF(AND(B853="brand",E853="budget_probe",ISNUMBER(F853)),F853,"")</f>
        <v/>
      </c>
    </row>
    <row r="854">
      <c r="A854" s="91" t="n"/>
      <c r="B854" s="92" t="n"/>
      <c r="C854" s="92" t="n"/>
      <c r="D854" s="92" t="n"/>
      <c r="E854" s="92" t="n"/>
      <c r="F854" s="92" t="n"/>
      <c r="G854" s="92" t="n"/>
      <c r="H854" s="92" t="n"/>
      <c r="I854" s="92" t="n"/>
      <c r="K854">
        <f>IF(C854="","",IF(COUNTIFS(C$5:C854,C854,E$5:E854,E854)=1,1,0))</f>
        <v/>
      </c>
      <c r="L854">
        <f>IF(C854="",0,IF(AND(B854="brand",E854="budget_probe",N(F854)&gt;=Inputs!$C$114,H854="Y"),1,0))</f>
        <v/>
      </c>
      <c r="M854">
        <f>IF(L854=1,IF(COUNTIFS(C$5:C854,C854,L$5:L854,1)=1,1,0),0)</f>
        <v/>
      </c>
      <c r="N854">
        <f>IF(C854="",0,IF(AND(B854="office",E854="budget_probe",N(F854)&gt;=Inputs!$C$129),1,0))</f>
        <v/>
      </c>
      <c r="O854">
        <f>IF(N854=1,IF(COUNTIFS(C$5:C854,C854,N$5:N854,1)=1,1,0),0)</f>
        <v/>
      </c>
      <c r="P854">
        <f>IF(C854="",0,IF(AND(B854="brand",E854="renewal_answer",N(F854)&gt;=Inputs!$C$125),1,0))</f>
        <v/>
      </c>
      <c r="Q854">
        <f>IF(AND(B854="office",E854="budget_probe",ISNUMBER(F854)),F854,"")</f>
        <v/>
      </c>
      <c r="R854">
        <f>IF(AND(B854="brand",E854="budget_probe",ISNUMBER(F854)),F854,"")</f>
        <v/>
      </c>
    </row>
    <row r="855">
      <c r="A855" s="91" t="n"/>
      <c r="B855" s="92" t="n"/>
      <c r="C855" s="92" t="n"/>
      <c r="D855" s="92" t="n"/>
      <c r="E855" s="92" t="n"/>
      <c r="F855" s="92" t="n"/>
      <c r="G855" s="92" t="n"/>
      <c r="H855" s="92" t="n"/>
      <c r="I855" s="92" t="n"/>
      <c r="K855">
        <f>IF(C855="","",IF(COUNTIFS(C$5:C855,C855,E$5:E855,E855)=1,1,0))</f>
        <v/>
      </c>
      <c r="L855">
        <f>IF(C855="",0,IF(AND(B855="brand",E855="budget_probe",N(F855)&gt;=Inputs!$C$114,H855="Y"),1,0))</f>
        <v/>
      </c>
      <c r="M855">
        <f>IF(L855=1,IF(COUNTIFS(C$5:C855,C855,L$5:L855,1)=1,1,0),0)</f>
        <v/>
      </c>
      <c r="N855">
        <f>IF(C855="",0,IF(AND(B855="office",E855="budget_probe",N(F855)&gt;=Inputs!$C$129),1,0))</f>
        <v/>
      </c>
      <c r="O855">
        <f>IF(N855=1,IF(COUNTIFS(C$5:C855,C855,N$5:N855,1)=1,1,0),0)</f>
        <v/>
      </c>
      <c r="P855">
        <f>IF(C855="",0,IF(AND(B855="brand",E855="renewal_answer",N(F855)&gt;=Inputs!$C$125),1,0))</f>
        <v/>
      </c>
      <c r="Q855">
        <f>IF(AND(B855="office",E855="budget_probe",ISNUMBER(F855)),F855,"")</f>
        <v/>
      </c>
      <c r="R855">
        <f>IF(AND(B855="brand",E855="budget_probe",ISNUMBER(F855)),F855,"")</f>
        <v/>
      </c>
    </row>
    <row r="856">
      <c r="A856" s="91" t="n"/>
      <c r="B856" s="92" t="n"/>
      <c r="C856" s="92" t="n"/>
      <c r="D856" s="92" t="n"/>
      <c r="E856" s="92" t="n"/>
      <c r="F856" s="92" t="n"/>
      <c r="G856" s="92" t="n"/>
      <c r="H856" s="92" t="n"/>
      <c r="I856" s="92" t="n"/>
      <c r="K856">
        <f>IF(C856="","",IF(COUNTIFS(C$5:C856,C856,E$5:E856,E856)=1,1,0))</f>
        <v/>
      </c>
      <c r="L856">
        <f>IF(C856="",0,IF(AND(B856="brand",E856="budget_probe",N(F856)&gt;=Inputs!$C$114,H856="Y"),1,0))</f>
        <v/>
      </c>
      <c r="M856">
        <f>IF(L856=1,IF(COUNTIFS(C$5:C856,C856,L$5:L856,1)=1,1,0),0)</f>
        <v/>
      </c>
      <c r="N856">
        <f>IF(C856="",0,IF(AND(B856="office",E856="budget_probe",N(F856)&gt;=Inputs!$C$129),1,0))</f>
        <v/>
      </c>
      <c r="O856">
        <f>IF(N856=1,IF(COUNTIFS(C$5:C856,C856,N$5:N856,1)=1,1,0),0)</f>
        <v/>
      </c>
      <c r="P856">
        <f>IF(C856="",0,IF(AND(B856="brand",E856="renewal_answer",N(F856)&gt;=Inputs!$C$125),1,0))</f>
        <v/>
      </c>
      <c r="Q856">
        <f>IF(AND(B856="office",E856="budget_probe",ISNUMBER(F856)),F856,"")</f>
        <v/>
      </c>
      <c r="R856">
        <f>IF(AND(B856="brand",E856="budget_probe",ISNUMBER(F856)),F856,"")</f>
        <v/>
      </c>
    </row>
    <row r="857">
      <c r="A857" s="91" t="n"/>
      <c r="B857" s="92" t="n"/>
      <c r="C857" s="92" t="n"/>
      <c r="D857" s="92" t="n"/>
      <c r="E857" s="92" t="n"/>
      <c r="F857" s="92" t="n"/>
      <c r="G857" s="92" t="n"/>
      <c r="H857" s="92" t="n"/>
      <c r="I857" s="92" t="n"/>
      <c r="K857">
        <f>IF(C857="","",IF(COUNTIFS(C$5:C857,C857,E$5:E857,E857)=1,1,0))</f>
        <v/>
      </c>
      <c r="L857">
        <f>IF(C857="",0,IF(AND(B857="brand",E857="budget_probe",N(F857)&gt;=Inputs!$C$114,H857="Y"),1,0))</f>
        <v/>
      </c>
      <c r="M857">
        <f>IF(L857=1,IF(COUNTIFS(C$5:C857,C857,L$5:L857,1)=1,1,0),0)</f>
        <v/>
      </c>
      <c r="N857">
        <f>IF(C857="",0,IF(AND(B857="office",E857="budget_probe",N(F857)&gt;=Inputs!$C$129),1,0))</f>
        <v/>
      </c>
      <c r="O857">
        <f>IF(N857=1,IF(COUNTIFS(C$5:C857,C857,N$5:N857,1)=1,1,0),0)</f>
        <v/>
      </c>
      <c r="P857">
        <f>IF(C857="",0,IF(AND(B857="brand",E857="renewal_answer",N(F857)&gt;=Inputs!$C$125),1,0))</f>
        <v/>
      </c>
      <c r="Q857">
        <f>IF(AND(B857="office",E857="budget_probe",ISNUMBER(F857)),F857,"")</f>
        <v/>
      </c>
      <c r="R857">
        <f>IF(AND(B857="brand",E857="budget_probe",ISNUMBER(F857)),F857,"")</f>
        <v/>
      </c>
    </row>
    <row r="858">
      <c r="A858" s="91" t="n"/>
      <c r="B858" s="92" t="n"/>
      <c r="C858" s="92" t="n"/>
      <c r="D858" s="92" t="n"/>
      <c r="E858" s="92" t="n"/>
      <c r="F858" s="92" t="n"/>
      <c r="G858" s="92" t="n"/>
      <c r="H858" s="92" t="n"/>
      <c r="I858" s="92" t="n"/>
      <c r="K858">
        <f>IF(C858="","",IF(COUNTIFS(C$5:C858,C858,E$5:E858,E858)=1,1,0))</f>
        <v/>
      </c>
      <c r="L858">
        <f>IF(C858="",0,IF(AND(B858="brand",E858="budget_probe",N(F858)&gt;=Inputs!$C$114,H858="Y"),1,0))</f>
        <v/>
      </c>
      <c r="M858">
        <f>IF(L858=1,IF(COUNTIFS(C$5:C858,C858,L$5:L858,1)=1,1,0),0)</f>
        <v/>
      </c>
      <c r="N858">
        <f>IF(C858="",0,IF(AND(B858="office",E858="budget_probe",N(F858)&gt;=Inputs!$C$129),1,0))</f>
        <v/>
      </c>
      <c r="O858">
        <f>IF(N858=1,IF(COUNTIFS(C$5:C858,C858,N$5:N858,1)=1,1,0),0)</f>
        <v/>
      </c>
      <c r="P858">
        <f>IF(C858="",0,IF(AND(B858="brand",E858="renewal_answer",N(F858)&gt;=Inputs!$C$125),1,0))</f>
        <v/>
      </c>
      <c r="Q858">
        <f>IF(AND(B858="office",E858="budget_probe",ISNUMBER(F858)),F858,"")</f>
        <v/>
      </c>
      <c r="R858">
        <f>IF(AND(B858="brand",E858="budget_probe",ISNUMBER(F858)),F858,"")</f>
        <v/>
      </c>
    </row>
    <row r="859">
      <c r="A859" s="91" t="n"/>
      <c r="B859" s="92" t="n"/>
      <c r="C859" s="92" t="n"/>
      <c r="D859" s="92" t="n"/>
      <c r="E859" s="92" t="n"/>
      <c r="F859" s="92" t="n"/>
      <c r="G859" s="92" t="n"/>
      <c r="H859" s="92" t="n"/>
      <c r="I859" s="92" t="n"/>
      <c r="K859">
        <f>IF(C859="","",IF(COUNTIFS(C$5:C859,C859,E$5:E859,E859)=1,1,0))</f>
        <v/>
      </c>
      <c r="L859">
        <f>IF(C859="",0,IF(AND(B859="brand",E859="budget_probe",N(F859)&gt;=Inputs!$C$114,H859="Y"),1,0))</f>
        <v/>
      </c>
      <c r="M859">
        <f>IF(L859=1,IF(COUNTIFS(C$5:C859,C859,L$5:L859,1)=1,1,0),0)</f>
        <v/>
      </c>
      <c r="N859">
        <f>IF(C859="",0,IF(AND(B859="office",E859="budget_probe",N(F859)&gt;=Inputs!$C$129),1,0))</f>
        <v/>
      </c>
      <c r="O859">
        <f>IF(N859=1,IF(COUNTIFS(C$5:C859,C859,N$5:N859,1)=1,1,0),0)</f>
        <v/>
      </c>
      <c r="P859">
        <f>IF(C859="",0,IF(AND(B859="brand",E859="renewal_answer",N(F859)&gt;=Inputs!$C$125),1,0))</f>
        <v/>
      </c>
      <c r="Q859">
        <f>IF(AND(B859="office",E859="budget_probe",ISNUMBER(F859)),F859,"")</f>
        <v/>
      </c>
      <c r="R859">
        <f>IF(AND(B859="brand",E859="budget_probe",ISNUMBER(F859)),F859,"")</f>
        <v/>
      </c>
    </row>
    <row r="860">
      <c r="A860" s="91" t="n"/>
      <c r="B860" s="92" t="n"/>
      <c r="C860" s="92" t="n"/>
      <c r="D860" s="92" t="n"/>
      <c r="E860" s="92" t="n"/>
      <c r="F860" s="92" t="n"/>
      <c r="G860" s="92" t="n"/>
      <c r="H860" s="92" t="n"/>
      <c r="I860" s="92" t="n"/>
      <c r="K860">
        <f>IF(C860="","",IF(COUNTIFS(C$5:C860,C860,E$5:E860,E860)=1,1,0))</f>
        <v/>
      </c>
      <c r="L860">
        <f>IF(C860="",0,IF(AND(B860="brand",E860="budget_probe",N(F860)&gt;=Inputs!$C$114,H860="Y"),1,0))</f>
        <v/>
      </c>
      <c r="M860">
        <f>IF(L860=1,IF(COUNTIFS(C$5:C860,C860,L$5:L860,1)=1,1,0),0)</f>
        <v/>
      </c>
      <c r="N860">
        <f>IF(C860="",0,IF(AND(B860="office",E860="budget_probe",N(F860)&gt;=Inputs!$C$129),1,0))</f>
        <v/>
      </c>
      <c r="O860">
        <f>IF(N860=1,IF(COUNTIFS(C$5:C860,C860,N$5:N860,1)=1,1,0),0)</f>
        <v/>
      </c>
      <c r="P860">
        <f>IF(C860="",0,IF(AND(B860="brand",E860="renewal_answer",N(F860)&gt;=Inputs!$C$125),1,0))</f>
        <v/>
      </c>
      <c r="Q860">
        <f>IF(AND(B860="office",E860="budget_probe",ISNUMBER(F860)),F860,"")</f>
        <v/>
      </c>
      <c r="R860">
        <f>IF(AND(B860="brand",E860="budget_probe",ISNUMBER(F860)),F860,"")</f>
        <v/>
      </c>
    </row>
    <row r="861">
      <c r="A861" s="91" t="n"/>
      <c r="B861" s="92" t="n"/>
      <c r="C861" s="92" t="n"/>
      <c r="D861" s="92" t="n"/>
      <c r="E861" s="92" t="n"/>
      <c r="F861" s="92" t="n"/>
      <c r="G861" s="92" t="n"/>
      <c r="H861" s="92" t="n"/>
      <c r="I861" s="92" t="n"/>
      <c r="K861">
        <f>IF(C861="","",IF(COUNTIFS(C$5:C861,C861,E$5:E861,E861)=1,1,0))</f>
        <v/>
      </c>
      <c r="L861">
        <f>IF(C861="",0,IF(AND(B861="brand",E861="budget_probe",N(F861)&gt;=Inputs!$C$114,H861="Y"),1,0))</f>
        <v/>
      </c>
      <c r="M861">
        <f>IF(L861=1,IF(COUNTIFS(C$5:C861,C861,L$5:L861,1)=1,1,0),0)</f>
        <v/>
      </c>
      <c r="N861">
        <f>IF(C861="",0,IF(AND(B861="office",E861="budget_probe",N(F861)&gt;=Inputs!$C$129),1,0))</f>
        <v/>
      </c>
      <c r="O861">
        <f>IF(N861=1,IF(COUNTIFS(C$5:C861,C861,N$5:N861,1)=1,1,0),0)</f>
        <v/>
      </c>
      <c r="P861">
        <f>IF(C861="",0,IF(AND(B861="brand",E861="renewal_answer",N(F861)&gt;=Inputs!$C$125),1,0))</f>
        <v/>
      </c>
      <c r="Q861">
        <f>IF(AND(B861="office",E861="budget_probe",ISNUMBER(F861)),F861,"")</f>
        <v/>
      </c>
      <c r="R861">
        <f>IF(AND(B861="brand",E861="budget_probe",ISNUMBER(F861)),F861,"")</f>
        <v/>
      </c>
    </row>
    <row r="862">
      <c r="A862" s="91" t="n"/>
      <c r="B862" s="92" t="n"/>
      <c r="C862" s="92" t="n"/>
      <c r="D862" s="92" t="n"/>
      <c r="E862" s="92" t="n"/>
      <c r="F862" s="92" t="n"/>
      <c r="G862" s="92" t="n"/>
      <c r="H862" s="92" t="n"/>
      <c r="I862" s="92" t="n"/>
      <c r="K862">
        <f>IF(C862="","",IF(COUNTIFS(C$5:C862,C862,E$5:E862,E862)=1,1,0))</f>
        <v/>
      </c>
      <c r="L862">
        <f>IF(C862="",0,IF(AND(B862="brand",E862="budget_probe",N(F862)&gt;=Inputs!$C$114,H862="Y"),1,0))</f>
        <v/>
      </c>
      <c r="M862">
        <f>IF(L862=1,IF(COUNTIFS(C$5:C862,C862,L$5:L862,1)=1,1,0),0)</f>
        <v/>
      </c>
      <c r="N862">
        <f>IF(C862="",0,IF(AND(B862="office",E862="budget_probe",N(F862)&gt;=Inputs!$C$129),1,0))</f>
        <v/>
      </c>
      <c r="O862">
        <f>IF(N862=1,IF(COUNTIFS(C$5:C862,C862,N$5:N862,1)=1,1,0),0)</f>
        <v/>
      </c>
      <c r="P862">
        <f>IF(C862="",0,IF(AND(B862="brand",E862="renewal_answer",N(F862)&gt;=Inputs!$C$125),1,0))</f>
        <v/>
      </c>
      <c r="Q862">
        <f>IF(AND(B862="office",E862="budget_probe",ISNUMBER(F862)),F862,"")</f>
        <v/>
      </c>
      <c r="R862">
        <f>IF(AND(B862="brand",E862="budget_probe",ISNUMBER(F862)),F862,"")</f>
        <v/>
      </c>
    </row>
    <row r="863">
      <c r="A863" s="91" t="n"/>
      <c r="B863" s="92" t="n"/>
      <c r="C863" s="92" t="n"/>
      <c r="D863" s="92" t="n"/>
      <c r="E863" s="92" t="n"/>
      <c r="F863" s="92" t="n"/>
      <c r="G863" s="92" t="n"/>
      <c r="H863" s="92" t="n"/>
      <c r="I863" s="92" t="n"/>
      <c r="K863">
        <f>IF(C863="","",IF(COUNTIFS(C$5:C863,C863,E$5:E863,E863)=1,1,0))</f>
        <v/>
      </c>
      <c r="L863">
        <f>IF(C863="",0,IF(AND(B863="brand",E863="budget_probe",N(F863)&gt;=Inputs!$C$114,H863="Y"),1,0))</f>
        <v/>
      </c>
      <c r="M863">
        <f>IF(L863=1,IF(COUNTIFS(C$5:C863,C863,L$5:L863,1)=1,1,0),0)</f>
        <v/>
      </c>
      <c r="N863">
        <f>IF(C863="",0,IF(AND(B863="office",E863="budget_probe",N(F863)&gt;=Inputs!$C$129),1,0))</f>
        <v/>
      </c>
      <c r="O863">
        <f>IF(N863=1,IF(COUNTIFS(C$5:C863,C863,N$5:N863,1)=1,1,0),0)</f>
        <v/>
      </c>
      <c r="P863">
        <f>IF(C863="",0,IF(AND(B863="brand",E863="renewal_answer",N(F863)&gt;=Inputs!$C$125),1,0))</f>
        <v/>
      </c>
      <c r="Q863">
        <f>IF(AND(B863="office",E863="budget_probe",ISNUMBER(F863)),F863,"")</f>
        <v/>
      </c>
      <c r="R863">
        <f>IF(AND(B863="brand",E863="budget_probe",ISNUMBER(F863)),F863,"")</f>
        <v/>
      </c>
    </row>
    <row r="864">
      <c r="A864" s="91" t="n"/>
      <c r="B864" s="92" t="n"/>
      <c r="C864" s="92" t="n"/>
      <c r="D864" s="92" t="n"/>
      <c r="E864" s="92" t="n"/>
      <c r="F864" s="92" t="n"/>
      <c r="G864" s="92" t="n"/>
      <c r="H864" s="92" t="n"/>
      <c r="I864" s="92" t="n"/>
      <c r="K864">
        <f>IF(C864="","",IF(COUNTIFS(C$5:C864,C864,E$5:E864,E864)=1,1,0))</f>
        <v/>
      </c>
      <c r="L864">
        <f>IF(C864="",0,IF(AND(B864="brand",E864="budget_probe",N(F864)&gt;=Inputs!$C$114,H864="Y"),1,0))</f>
        <v/>
      </c>
      <c r="M864">
        <f>IF(L864=1,IF(COUNTIFS(C$5:C864,C864,L$5:L864,1)=1,1,0),0)</f>
        <v/>
      </c>
      <c r="N864">
        <f>IF(C864="",0,IF(AND(B864="office",E864="budget_probe",N(F864)&gt;=Inputs!$C$129),1,0))</f>
        <v/>
      </c>
      <c r="O864">
        <f>IF(N864=1,IF(COUNTIFS(C$5:C864,C864,N$5:N864,1)=1,1,0),0)</f>
        <v/>
      </c>
      <c r="P864">
        <f>IF(C864="",0,IF(AND(B864="brand",E864="renewal_answer",N(F864)&gt;=Inputs!$C$125),1,0))</f>
        <v/>
      </c>
      <c r="Q864">
        <f>IF(AND(B864="office",E864="budget_probe",ISNUMBER(F864)),F864,"")</f>
        <v/>
      </c>
      <c r="R864">
        <f>IF(AND(B864="brand",E864="budget_probe",ISNUMBER(F864)),F864,"")</f>
        <v/>
      </c>
    </row>
    <row r="865">
      <c r="A865" s="91" t="n"/>
      <c r="B865" s="92" t="n"/>
      <c r="C865" s="92" t="n"/>
      <c r="D865" s="92" t="n"/>
      <c r="E865" s="92" t="n"/>
      <c r="F865" s="92" t="n"/>
      <c r="G865" s="92" t="n"/>
      <c r="H865" s="92" t="n"/>
      <c r="I865" s="92" t="n"/>
      <c r="K865">
        <f>IF(C865="","",IF(COUNTIFS(C$5:C865,C865,E$5:E865,E865)=1,1,0))</f>
        <v/>
      </c>
      <c r="L865">
        <f>IF(C865="",0,IF(AND(B865="brand",E865="budget_probe",N(F865)&gt;=Inputs!$C$114,H865="Y"),1,0))</f>
        <v/>
      </c>
      <c r="M865">
        <f>IF(L865=1,IF(COUNTIFS(C$5:C865,C865,L$5:L865,1)=1,1,0),0)</f>
        <v/>
      </c>
      <c r="N865">
        <f>IF(C865="",0,IF(AND(B865="office",E865="budget_probe",N(F865)&gt;=Inputs!$C$129),1,0))</f>
        <v/>
      </c>
      <c r="O865">
        <f>IF(N865=1,IF(COUNTIFS(C$5:C865,C865,N$5:N865,1)=1,1,0),0)</f>
        <v/>
      </c>
      <c r="P865">
        <f>IF(C865="",0,IF(AND(B865="brand",E865="renewal_answer",N(F865)&gt;=Inputs!$C$125),1,0))</f>
        <v/>
      </c>
      <c r="Q865">
        <f>IF(AND(B865="office",E865="budget_probe",ISNUMBER(F865)),F865,"")</f>
        <v/>
      </c>
      <c r="R865">
        <f>IF(AND(B865="brand",E865="budget_probe",ISNUMBER(F865)),F865,"")</f>
        <v/>
      </c>
    </row>
    <row r="866">
      <c r="A866" s="91" t="n"/>
      <c r="B866" s="92" t="n"/>
      <c r="C866" s="92" t="n"/>
      <c r="D866" s="92" t="n"/>
      <c r="E866" s="92" t="n"/>
      <c r="F866" s="92" t="n"/>
      <c r="G866" s="92" t="n"/>
      <c r="H866" s="92" t="n"/>
      <c r="I866" s="92" t="n"/>
      <c r="K866">
        <f>IF(C866="","",IF(COUNTIFS(C$5:C866,C866,E$5:E866,E866)=1,1,0))</f>
        <v/>
      </c>
      <c r="L866">
        <f>IF(C866="",0,IF(AND(B866="brand",E866="budget_probe",N(F866)&gt;=Inputs!$C$114,H866="Y"),1,0))</f>
        <v/>
      </c>
      <c r="M866">
        <f>IF(L866=1,IF(COUNTIFS(C$5:C866,C866,L$5:L866,1)=1,1,0),0)</f>
        <v/>
      </c>
      <c r="N866">
        <f>IF(C866="",0,IF(AND(B866="office",E866="budget_probe",N(F866)&gt;=Inputs!$C$129),1,0))</f>
        <v/>
      </c>
      <c r="O866">
        <f>IF(N866=1,IF(COUNTIFS(C$5:C866,C866,N$5:N866,1)=1,1,0),0)</f>
        <v/>
      </c>
      <c r="P866">
        <f>IF(C866="",0,IF(AND(B866="brand",E866="renewal_answer",N(F866)&gt;=Inputs!$C$125),1,0))</f>
        <v/>
      </c>
      <c r="Q866">
        <f>IF(AND(B866="office",E866="budget_probe",ISNUMBER(F866)),F866,"")</f>
        <v/>
      </c>
      <c r="R866">
        <f>IF(AND(B866="brand",E866="budget_probe",ISNUMBER(F866)),F866,"")</f>
        <v/>
      </c>
    </row>
    <row r="867">
      <c r="A867" s="91" t="n"/>
      <c r="B867" s="92" t="n"/>
      <c r="C867" s="92" t="n"/>
      <c r="D867" s="92" t="n"/>
      <c r="E867" s="92" t="n"/>
      <c r="F867" s="92" t="n"/>
      <c r="G867" s="92" t="n"/>
      <c r="H867" s="92" t="n"/>
      <c r="I867" s="92" t="n"/>
      <c r="K867">
        <f>IF(C867="","",IF(COUNTIFS(C$5:C867,C867,E$5:E867,E867)=1,1,0))</f>
        <v/>
      </c>
      <c r="L867">
        <f>IF(C867="",0,IF(AND(B867="brand",E867="budget_probe",N(F867)&gt;=Inputs!$C$114,H867="Y"),1,0))</f>
        <v/>
      </c>
      <c r="M867">
        <f>IF(L867=1,IF(COUNTIFS(C$5:C867,C867,L$5:L867,1)=1,1,0),0)</f>
        <v/>
      </c>
      <c r="N867">
        <f>IF(C867="",0,IF(AND(B867="office",E867="budget_probe",N(F867)&gt;=Inputs!$C$129),1,0))</f>
        <v/>
      </c>
      <c r="O867">
        <f>IF(N867=1,IF(COUNTIFS(C$5:C867,C867,N$5:N867,1)=1,1,0),0)</f>
        <v/>
      </c>
      <c r="P867">
        <f>IF(C867="",0,IF(AND(B867="brand",E867="renewal_answer",N(F867)&gt;=Inputs!$C$125),1,0))</f>
        <v/>
      </c>
      <c r="Q867">
        <f>IF(AND(B867="office",E867="budget_probe",ISNUMBER(F867)),F867,"")</f>
        <v/>
      </c>
      <c r="R867">
        <f>IF(AND(B867="brand",E867="budget_probe",ISNUMBER(F867)),F867,"")</f>
        <v/>
      </c>
    </row>
    <row r="868">
      <c r="A868" s="91" t="n"/>
      <c r="B868" s="92" t="n"/>
      <c r="C868" s="92" t="n"/>
      <c r="D868" s="92" t="n"/>
      <c r="E868" s="92" t="n"/>
      <c r="F868" s="92" t="n"/>
      <c r="G868" s="92" t="n"/>
      <c r="H868" s="92" t="n"/>
      <c r="I868" s="92" t="n"/>
      <c r="K868">
        <f>IF(C868="","",IF(COUNTIFS(C$5:C868,C868,E$5:E868,E868)=1,1,0))</f>
        <v/>
      </c>
      <c r="L868">
        <f>IF(C868="",0,IF(AND(B868="brand",E868="budget_probe",N(F868)&gt;=Inputs!$C$114,H868="Y"),1,0))</f>
        <v/>
      </c>
      <c r="M868">
        <f>IF(L868=1,IF(COUNTIFS(C$5:C868,C868,L$5:L868,1)=1,1,0),0)</f>
        <v/>
      </c>
      <c r="N868">
        <f>IF(C868="",0,IF(AND(B868="office",E868="budget_probe",N(F868)&gt;=Inputs!$C$129),1,0))</f>
        <v/>
      </c>
      <c r="O868">
        <f>IF(N868=1,IF(COUNTIFS(C$5:C868,C868,N$5:N868,1)=1,1,0),0)</f>
        <v/>
      </c>
      <c r="P868">
        <f>IF(C868="",0,IF(AND(B868="brand",E868="renewal_answer",N(F868)&gt;=Inputs!$C$125),1,0))</f>
        <v/>
      </c>
      <c r="Q868">
        <f>IF(AND(B868="office",E868="budget_probe",ISNUMBER(F868)),F868,"")</f>
        <v/>
      </c>
      <c r="R868">
        <f>IF(AND(B868="brand",E868="budget_probe",ISNUMBER(F868)),F868,"")</f>
        <v/>
      </c>
    </row>
    <row r="869">
      <c r="A869" s="91" t="n"/>
      <c r="B869" s="92" t="n"/>
      <c r="C869" s="92" t="n"/>
      <c r="D869" s="92" t="n"/>
      <c r="E869" s="92" t="n"/>
      <c r="F869" s="92" t="n"/>
      <c r="G869" s="92" t="n"/>
      <c r="H869" s="92" t="n"/>
      <c r="I869" s="92" t="n"/>
      <c r="K869">
        <f>IF(C869="","",IF(COUNTIFS(C$5:C869,C869,E$5:E869,E869)=1,1,0))</f>
        <v/>
      </c>
      <c r="L869">
        <f>IF(C869="",0,IF(AND(B869="brand",E869="budget_probe",N(F869)&gt;=Inputs!$C$114,H869="Y"),1,0))</f>
        <v/>
      </c>
      <c r="M869">
        <f>IF(L869=1,IF(COUNTIFS(C$5:C869,C869,L$5:L869,1)=1,1,0),0)</f>
        <v/>
      </c>
      <c r="N869">
        <f>IF(C869="",0,IF(AND(B869="office",E869="budget_probe",N(F869)&gt;=Inputs!$C$129),1,0))</f>
        <v/>
      </c>
      <c r="O869">
        <f>IF(N869=1,IF(COUNTIFS(C$5:C869,C869,N$5:N869,1)=1,1,0),0)</f>
        <v/>
      </c>
      <c r="P869">
        <f>IF(C869="",0,IF(AND(B869="brand",E869="renewal_answer",N(F869)&gt;=Inputs!$C$125),1,0))</f>
        <v/>
      </c>
      <c r="Q869">
        <f>IF(AND(B869="office",E869="budget_probe",ISNUMBER(F869)),F869,"")</f>
        <v/>
      </c>
      <c r="R869">
        <f>IF(AND(B869="brand",E869="budget_probe",ISNUMBER(F869)),F869,"")</f>
        <v/>
      </c>
    </row>
    <row r="870">
      <c r="A870" s="91" t="n"/>
      <c r="B870" s="92" t="n"/>
      <c r="C870" s="92" t="n"/>
      <c r="D870" s="92" t="n"/>
      <c r="E870" s="92" t="n"/>
      <c r="F870" s="92" t="n"/>
      <c r="G870" s="92" t="n"/>
      <c r="H870" s="92" t="n"/>
      <c r="I870" s="92" t="n"/>
      <c r="K870">
        <f>IF(C870="","",IF(COUNTIFS(C$5:C870,C870,E$5:E870,E870)=1,1,0))</f>
        <v/>
      </c>
      <c r="L870">
        <f>IF(C870="",0,IF(AND(B870="brand",E870="budget_probe",N(F870)&gt;=Inputs!$C$114,H870="Y"),1,0))</f>
        <v/>
      </c>
      <c r="M870">
        <f>IF(L870=1,IF(COUNTIFS(C$5:C870,C870,L$5:L870,1)=1,1,0),0)</f>
        <v/>
      </c>
      <c r="N870">
        <f>IF(C870="",0,IF(AND(B870="office",E870="budget_probe",N(F870)&gt;=Inputs!$C$129),1,0))</f>
        <v/>
      </c>
      <c r="O870">
        <f>IF(N870=1,IF(COUNTIFS(C$5:C870,C870,N$5:N870,1)=1,1,0),0)</f>
        <v/>
      </c>
      <c r="P870">
        <f>IF(C870="",0,IF(AND(B870="brand",E870="renewal_answer",N(F870)&gt;=Inputs!$C$125),1,0))</f>
        <v/>
      </c>
      <c r="Q870">
        <f>IF(AND(B870="office",E870="budget_probe",ISNUMBER(F870)),F870,"")</f>
        <v/>
      </c>
      <c r="R870">
        <f>IF(AND(B870="brand",E870="budget_probe",ISNUMBER(F870)),F870,"")</f>
        <v/>
      </c>
    </row>
    <row r="871">
      <c r="A871" s="91" t="n"/>
      <c r="B871" s="92" t="n"/>
      <c r="C871" s="92" t="n"/>
      <c r="D871" s="92" t="n"/>
      <c r="E871" s="92" t="n"/>
      <c r="F871" s="92" t="n"/>
      <c r="G871" s="92" t="n"/>
      <c r="H871" s="92" t="n"/>
      <c r="I871" s="92" t="n"/>
      <c r="K871">
        <f>IF(C871="","",IF(COUNTIFS(C$5:C871,C871,E$5:E871,E871)=1,1,0))</f>
        <v/>
      </c>
      <c r="L871">
        <f>IF(C871="",0,IF(AND(B871="brand",E871="budget_probe",N(F871)&gt;=Inputs!$C$114,H871="Y"),1,0))</f>
        <v/>
      </c>
      <c r="M871">
        <f>IF(L871=1,IF(COUNTIFS(C$5:C871,C871,L$5:L871,1)=1,1,0),0)</f>
        <v/>
      </c>
      <c r="N871">
        <f>IF(C871="",0,IF(AND(B871="office",E871="budget_probe",N(F871)&gt;=Inputs!$C$129),1,0))</f>
        <v/>
      </c>
      <c r="O871">
        <f>IF(N871=1,IF(COUNTIFS(C$5:C871,C871,N$5:N871,1)=1,1,0),0)</f>
        <v/>
      </c>
      <c r="P871">
        <f>IF(C871="",0,IF(AND(B871="brand",E871="renewal_answer",N(F871)&gt;=Inputs!$C$125),1,0))</f>
        <v/>
      </c>
      <c r="Q871">
        <f>IF(AND(B871="office",E871="budget_probe",ISNUMBER(F871)),F871,"")</f>
        <v/>
      </c>
      <c r="R871">
        <f>IF(AND(B871="brand",E871="budget_probe",ISNUMBER(F871)),F871,"")</f>
        <v/>
      </c>
    </row>
    <row r="872">
      <c r="A872" s="91" t="n"/>
      <c r="B872" s="92" t="n"/>
      <c r="C872" s="92" t="n"/>
      <c r="D872" s="92" t="n"/>
      <c r="E872" s="92" t="n"/>
      <c r="F872" s="92" t="n"/>
      <c r="G872" s="92" t="n"/>
      <c r="H872" s="92" t="n"/>
      <c r="I872" s="92" t="n"/>
      <c r="K872">
        <f>IF(C872="","",IF(COUNTIFS(C$5:C872,C872,E$5:E872,E872)=1,1,0))</f>
        <v/>
      </c>
      <c r="L872">
        <f>IF(C872="",0,IF(AND(B872="brand",E872="budget_probe",N(F872)&gt;=Inputs!$C$114,H872="Y"),1,0))</f>
        <v/>
      </c>
      <c r="M872">
        <f>IF(L872=1,IF(COUNTIFS(C$5:C872,C872,L$5:L872,1)=1,1,0),0)</f>
        <v/>
      </c>
      <c r="N872">
        <f>IF(C872="",0,IF(AND(B872="office",E872="budget_probe",N(F872)&gt;=Inputs!$C$129),1,0))</f>
        <v/>
      </c>
      <c r="O872">
        <f>IF(N872=1,IF(COUNTIFS(C$5:C872,C872,N$5:N872,1)=1,1,0),0)</f>
        <v/>
      </c>
      <c r="P872">
        <f>IF(C872="",0,IF(AND(B872="brand",E872="renewal_answer",N(F872)&gt;=Inputs!$C$125),1,0))</f>
        <v/>
      </c>
      <c r="Q872">
        <f>IF(AND(B872="office",E872="budget_probe",ISNUMBER(F872)),F872,"")</f>
        <v/>
      </c>
      <c r="R872">
        <f>IF(AND(B872="brand",E872="budget_probe",ISNUMBER(F872)),F872,"")</f>
        <v/>
      </c>
    </row>
    <row r="873">
      <c r="A873" s="91" t="n"/>
      <c r="B873" s="92" t="n"/>
      <c r="C873" s="92" t="n"/>
      <c r="D873" s="92" t="n"/>
      <c r="E873" s="92" t="n"/>
      <c r="F873" s="92" t="n"/>
      <c r="G873" s="92" t="n"/>
      <c r="H873" s="92" t="n"/>
      <c r="I873" s="92" t="n"/>
      <c r="K873">
        <f>IF(C873="","",IF(COUNTIFS(C$5:C873,C873,E$5:E873,E873)=1,1,0))</f>
        <v/>
      </c>
      <c r="L873">
        <f>IF(C873="",0,IF(AND(B873="brand",E873="budget_probe",N(F873)&gt;=Inputs!$C$114,H873="Y"),1,0))</f>
        <v/>
      </c>
      <c r="M873">
        <f>IF(L873=1,IF(COUNTIFS(C$5:C873,C873,L$5:L873,1)=1,1,0),0)</f>
        <v/>
      </c>
      <c r="N873">
        <f>IF(C873="",0,IF(AND(B873="office",E873="budget_probe",N(F873)&gt;=Inputs!$C$129),1,0))</f>
        <v/>
      </c>
      <c r="O873">
        <f>IF(N873=1,IF(COUNTIFS(C$5:C873,C873,N$5:N873,1)=1,1,0),0)</f>
        <v/>
      </c>
      <c r="P873">
        <f>IF(C873="",0,IF(AND(B873="brand",E873="renewal_answer",N(F873)&gt;=Inputs!$C$125),1,0))</f>
        <v/>
      </c>
      <c r="Q873">
        <f>IF(AND(B873="office",E873="budget_probe",ISNUMBER(F873)),F873,"")</f>
        <v/>
      </c>
      <c r="R873">
        <f>IF(AND(B873="brand",E873="budget_probe",ISNUMBER(F873)),F873,"")</f>
        <v/>
      </c>
    </row>
    <row r="874">
      <c r="A874" s="91" t="n"/>
      <c r="B874" s="92" t="n"/>
      <c r="C874" s="92" t="n"/>
      <c r="D874" s="92" t="n"/>
      <c r="E874" s="92" t="n"/>
      <c r="F874" s="92" t="n"/>
      <c r="G874" s="92" t="n"/>
      <c r="H874" s="92" t="n"/>
      <c r="I874" s="92" t="n"/>
      <c r="K874">
        <f>IF(C874="","",IF(COUNTIFS(C$5:C874,C874,E$5:E874,E874)=1,1,0))</f>
        <v/>
      </c>
      <c r="L874">
        <f>IF(C874="",0,IF(AND(B874="brand",E874="budget_probe",N(F874)&gt;=Inputs!$C$114,H874="Y"),1,0))</f>
        <v/>
      </c>
      <c r="M874">
        <f>IF(L874=1,IF(COUNTIFS(C$5:C874,C874,L$5:L874,1)=1,1,0),0)</f>
        <v/>
      </c>
      <c r="N874">
        <f>IF(C874="",0,IF(AND(B874="office",E874="budget_probe",N(F874)&gt;=Inputs!$C$129),1,0))</f>
        <v/>
      </c>
      <c r="O874">
        <f>IF(N874=1,IF(COUNTIFS(C$5:C874,C874,N$5:N874,1)=1,1,0),0)</f>
        <v/>
      </c>
      <c r="P874">
        <f>IF(C874="",0,IF(AND(B874="brand",E874="renewal_answer",N(F874)&gt;=Inputs!$C$125),1,0))</f>
        <v/>
      </c>
      <c r="Q874">
        <f>IF(AND(B874="office",E874="budget_probe",ISNUMBER(F874)),F874,"")</f>
        <v/>
      </c>
      <c r="R874">
        <f>IF(AND(B874="brand",E874="budget_probe",ISNUMBER(F874)),F874,"")</f>
        <v/>
      </c>
    </row>
    <row r="875">
      <c r="A875" s="91" t="n"/>
      <c r="B875" s="92" t="n"/>
      <c r="C875" s="92" t="n"/>
      <c r="D875" s="92" t="n"/>
      <c r="E875" s="92" t="n"/>
      <c r="F875" s="92" t="n"/>
      <c r="G875" s="92" t="n"/>
      <c r="H875" s="92" t="n"/>
      <c r="I875" s="92" t="n"/>
      <c r="K875">
        <f>IF(C875="","",IF(COUNTIFS(C$5:C875,C875,E$5:E875,E875)=1,1,0))</f>
        <v/>
      </c>
      <c r="L875">
        <f>IF(C875="",0,IF(AND(B875="brand",E875="budget_probe",N(F875)&gt;=Inputs!$C$114,H875="Y"),1,0))</f>
        <v/>
      </c>
      <c r="M875">
        <f>IF(L875=1,IF(COUNTIFS(C$5:C875,C875,L$5:L875,1)=1,1,0),0)</f>
        <v/>
      </c>
      <c r="N875">
        <f>IF(C875="",0,IF(AND(B875="office",E875="budget_probe",N(F875)&gt;=Inputs!$C$129),1,0))</f>
        <v/>
      </c>
      <c r="O875">
        <f>IF(N875=1,IF(COUNTIFS(C$5:C875,C875,N$5:N875,1)=1,1,0),0)</f>
        <v/>
      </c>
      <c r="P875">
        <f>IF(C875="",0,IF(AND(B875="brand",E875="renewal_answer",N(F875)&gt;=Inputs!$C$125),1,0))</f>
        <v/>
      </c>
      <c r="Q875">
        <f>IF(AND(B875="office",E875="budget_probe",ISNUMBER(F875)),F875,"")</f>
        <v/>
      </c>
      <c r="R875">
        <f>IF(AND(B875="brand",E875="budget_probe",ISNUMBER(F875)),F875,"")</f>
        <v/>
      </c>
    </row>
    <row r="876">
      <c r="A876" s="91" t="n"/>
      <c r="B876" s="92" t="n"/>
      <c r="C876" s="92" t="n"/>
      <c r="D876" s="92" t="n"/>
      <c r="E876" s="92" t="n"/>
      <c r="F876" s="92" t="n"/>
      <c r="G876" s="92" t="n"/>
      <c r="H876" s="92" t="n"/>
      <c r="I876" s="92" t="n"/>
      <c r="K876">
        <f>IF(C876="","",IF(COUNTIFS(C$5:C876,C876,E$5:E876,E876)=1,1,0))</f>
        <v/>
      </c>
      <c r="L876">
        <f>IF(C876="",0,IF(AND(B876="brand",E876="budget_probe",N(F876)&gt;=Inputs!$C$114,H876="Y"),1,0))</f>
        <v/>
      </c>
      <c r="M876">
        <f>IF(L876=1,IF(COUNTIFS(C$5:C876,C876,L$5:L876,1)=1,1,0),0)</f>
        <v/>
      </c>
      <c r="N876">
        <f>IF(C876="",0,IF(AND(B876="office",E876="budget_probe",N(F876)&gt;=Inputs!$C$129),1,0))</f>
        <v/>
      </c>
      <c r="O876">
        <f>IF(N876=1,IF(COUNTIFS(C$5:C876,C876,N$5:N876,1)=1,1,0),0)</f>
        <v/>
      </c>
      <c r="P876">
        <f>IF(C876="",0,IF(AND(B876="brand",E876="renewal_answer",N(F876)&gt;=Inputs!$C$125),1,0))</f>
        <v/>
      </c>
      <c r="Q876">
        <f>IF(AND(B876="office",E876="budget_probe",ISNUMBER(F876)),F876,"")</f>
        <v/>
      </c>
      <c r="R876">
        <f>IF(AND(B876="brand",E876="budget_probe",ISNUMBER(F876)),F876,"")</f>
        <v/>
      </c>
    </row>
    <row r="877">
      <c r="A877" s="91" t="n"/>
      <c r="B877" s="92" t="n"/>
      <c r="C877" s="92" t="n"/>
      <c r="D877" s="92" t="n"/>
      <c r="E877" s="92" t="n"/>
      <c r="F877" s="92" t="n"/>
      <c r="G877" s="92" t="n"/>
      <c r="H877" s="92" t="n"/>
      <c r="I877" s="92" t="n"/>
      <c r="K877">
        <f>IF(C877="","",IF(COUNTIFS(C$5:C877,C877,E$5:E877,E877)=1,1,0))</f>
        <v/>
      </c>
      <c r="L877">
        <f>IF(C877="",0,IF(AND(B877="brand",E877="budget_probe",N(F877)&gt;=Inputs!$C$114,H877="Y"),1,0))</f>
        <v/>
      </c>
      <c r="M877">
        <f>IF(L877=1,IF(COUNTIFS(C$5:C877,C877,L$5:L877,1)=1,1,0),0)</f>
        <v/>
      </c>
      <c r="N877">
        <f>IF(C877="",0,IF(AND(B877="office",E877="budget_probe",N(F877)&gt;=Inputs!$C$129),1,0))</f>
        <v/>
      </c>
      <c r="O877">
        <f>IF(N877=1,IF(COUNTIFS(C$5:C877,C877,N$5:N877,1)=1,1,0),0)</f>
        <v/>
      </c>
      <c r="P877">
        <f>IF(C877="",0,IF(AND(B877="brand",E877="renewal_answer",N(F877)&gt;=Inputs!$C$125),1,0))</f>
        <v/>
      </c>
      <c r="Q877">
        <f>IF(AND(B877="office",E877="budget_probe",ISNUMBER(F877)),F877,"")</f>
        <v/>
      </c>
      <c r="R877">
        <f>IF(AND(B877="brand",E877="budget_probe",ISNUMBER(F877)),F877,"")</f>
        <v/>
      </c>
    </row>
    <row r="878">
      <c r="A878" s="91" t="n"/>
      <c r="B878" s="92" t="n"/>
      <c r="C878" s="92" t="n"/>
      <c r="D878" s="92" t="n"/>
      <c r="E878" s="92" t="n"/>
      <c r="F878" s="92" t="n"/>
      <c r="G878" s="92" t="n"/>
      <c r="H878" s="92" t="n"/>
      <c r="I878" s="92" t="n"/>
      <c r="K878">
        <f>IF(C878="","",IF(COUNTIFS(C$5:C878,C878,E$5:E878,E878)=1,1,0))</f>
        <v/>
      </c>
      <c r="L878">
        <f>IF(C878="",0,IF(AND(B878="brand",E878="budget_probe",N(F878)&gt;=Inputs!$C$114,H878="Y"),1,0))</f>
        <v/>
      </c>
      <c r="M878">
        <f>IF(L878=1,IF(COUNTIFS(C$5:C878,C878,L$5:L878,1)=1,1,0),0)</f>
        <v/>
      </c>
      <c r="N878">
        <f>IF(C878="",0,IF(AND(B878="office",E878="budget_probe",N(F878)&gt;=Inputs!$C$129),1,0))</f>
        <v/>
      </c>
      <c r="O878">
        <f>IF(N878=1,IF(COUNTIFS(C$5:C878,C878,N$5:N878,1)=1,1,0),0)</f>
        <v/>
      </c>
      <c r="P878">
        <f>IF(C878="",0,IF(AND(B878="brand",E878="renewal_answer",N(F878)&gt;=Inputs!$C$125),1,0))</f>
        <v/>
      </c>
      <c r="Q878">
        <f>IF(AND(B878="office",E878="budget_probe",ISNUMBER(F878)),F878,"")</f>
        <v/>
      </c>
      <c r="R878">
        <f>IF(AND(B878="brand",E878="budget_probe",ISNUMBER(F878)),F878,"")</f>
        <v/>
      </c>
    </row>
    <row r="879">
      <c r="A879" s="91" t="n"/>
      <c r="B879" s="92" t="n"/>
      <c r="C879" s="92" t="n"/>
      <c r="D879" s="92" t="n"/>
      <c r="E879" s="92" t="n"/>
      <c r="F879" s="92" t="n"/>
      <c r="G879" s="92" t="n"/>
      <c r="H879" s="92" t="n"/>
      <c r="I879" s="92" t="n"/>
      <c r="K879">
        <f>IF(C879="","",IF(COUNTIFS(C$5:C879,C879,E$5:E879,E879)=1,1,0))</f>
        <v/>
      </c>
      <c r="L879">
        <f>IF(C879="",0,IF(AND(B879="brand",E879="budget_probe",N(F879)&gt;=Inputs!$C$114,H879="Y"),1,0))</f>
        <v/>
      </c>
      <c r="M879">
        <f>IF(L879=1,IF(COUNTIFS(C$5:C879,C879,L$5:L879,1)=1,1,0),0)</f>
        <v/>
      </c>
      <c r="N879">
        <f>IF(C879="",0,IF(AND(B879="office",E879="budget_probe",N(F879)&gt;=Inputs!$C$129),1,0))</f>
        <v/>
      </c>
      <c r="O879">
        <f>IF(N879=1,IF(COUNTIFS(C$5:C879,C879,N$5:N879,1)=1,1,0),0)</f>
        <v/>
      </c>
      <c r="P879">
        <f>IF(C879="",0,IF(AND(B879="brand",E879="renewal_answer",N(F879)&gt;=Inputs!$C$125),1,0))</f>
        <v/>
      </c>
      <c r="Q879">
        <f>IF(AND(B879="office",E879="budget_probe",ISNUMBER(F879)),F879,"")</f>
        <v/>
      </c>
      <c r="R879">
        <f>IF(AND(B879="brand",E879="budget_probe",ISNUMBER(F879)),F879,"")</f>
        <v/>
      </c>
    </row>
    <row r="880">
      <c r="A880" s="91" t="n"/>
      <c r="B880" s="92" t="n"/>
      <c r="C880" s="92" t="n"/>
      <c r="D880" s="92" t="n"/>
      <c r="E880" s="92" t="n"/>
      <c r="F880" s="92" t="n"/>
      <c r="G880" s="92" t="n"/>
      <c r="H880" s="92" t="n"/>
      <c r="I880" s="92" t="n"/>
      <c r="K880">
        <f>IF(C880="","",IF(COUNTIFS(C$5:C880,C880,E$5:E880,E880)=1,1,0))</f>
        <v/>
      </c>
      <c r="L880">
        <f>IF(C880="",0,IF(AND(B880="brand",E880="budget_probe",N(F880)&gt;=Inputs!$C$114,H880="Y"),1,0))</f>
        <v/>
      </c>
      <c r="M880">
        <f>IF(L880=1,IF(COUNTIFS(C$5:C880,C880,L$5:L880,1)=1,1,0),0)</f>
        <v/>
      </c>
      <c r="N880">
        <f>IF(C880="",0,IF(AND(B880="office",E880="budget_probe",N(F880)&gt;=Inputs!$C$129),1,0))</f>
        <v/>
      </c>
      <c r="O880">
        <f>IF(N880=1,IF(COUNTIFS(C$5:C880,C880,N$5:N880,1)=1,1,0),0)</f>
        <v/>
      </c>
      <c r="P880">
        <f>IF(C880="",0,IF(AND(B880="brand",E880="renewal_answer",N(F880)&gt;=Inputs!$C$125),1,0))</f>
        <v/>
      </c>
      <c r="Q880">
        <f>IF(AND(B880="office",E880="budget_probe",ISNUMBER(F880)),F880,"")</f>
        <v/>
      </c>
      <c r="R880">
        <f>IF(AND(B880="brand",E880="budget_probe",ISNUMBER(F880)),F880,"")</f>
        <v/>
      </c>
    </row>
    <row r="881">
      <c r="A881" s="91" t="n"/>
      <c r="B881" s="92" t="n"/>
      <c r="C881" s="92" t="n"/>
      <c r="D881" s="92" t="n"/>
      <c r="E881" s="92" t="n"/>
      <c r="F881" s="92" t="n"/>
      <c r="G881" s="92" t="n"/>
      <c r="H881" s="92" t="n"/>
      <c r="I881" s="92" t="n"/>
      <c r="K881">
        <f>IF(C881="","",IF(COUNTIFS(C$5:C881,C881,E$5:E881,E881)=1,1,0))</f>
        <v/>
      </c>
      <c r="L881">
        <f>IF(C881="",0,IF(AND(B881="brand",E881="budget_probe",N(F881)&gt;=Inputs!$C$114,H881="Y"),1,0))</f>
        <v/>
      </c>
      <c r="M881">
        <f>IF(L881=1,IF(COUNTIFS(C$5:C881,C881,L$5:L881,1)=1,1,0),0)</f>
        <v/>
      </c>
      <c r="N881">
        <f>IF(C881="",0,IF(AND(B881="office",E881="budget_probe",N(F881)&gt;=Inputs!$C$129),1,0))</f>
        <v/>
      </c>
      <c r="O881">
        <f>IF(N881=1,IF(COUNTIFS(C$5:C881,C881,N$5:N881,1)=1,1,0),0)</f>
        <v/>
      </c>
      <c r="P881">
        <f>IF(C881="",0,IF(AND(B881="brand",E881="renewal_answer",N(F881)&gt;=Inputs!$C$125),1,0))</f>
        <v/>
      </c>
      <c r="Q881">
        <f>IF(AND(B881="office",E881="budget_probe",ISNUMBER(F881)),F881,"")</f>
        <v/>
      </c>
      <c r="R881">
        <f>IF(AND(B881="brand",E881="budget_probe",ISNUMBER(F881)),F881,"")</f>
        <v/>
      </c>
    </row>
    <row r="882">
      <c r="A882" s="91" t="n"/>
      <c r="B882" s="92" t="n"/>
      <c r="C882" s="92" t="n"/>
      <c r="D882" s="92" t="n"/>
      <c r="E882" s="92" t="n"/>
      <c r="F882" s="92" t="n"/>
      <c r="G882" s="92" t="n"/>
      <c r="H882" s="92" t="n"/>
      <c r="I882" s="92" t="n"/>
      <c r="K882">
        <f>IF(C882="","",IF(COUNTIFS(C$5:C882,C882,E$5:E882,E882)=1,1,0))</f>
        <v/>
      </c>
      <c r="L882">
        <f>IF(C882="",0,IF(AND(B882="brand",E882="budget_probe",N(F882)&gt;=Inputs!$C$114,H882="Y"),1,0))</f>
        <v/>
      </c>
      <c r="M882">
        <f>IF(L882=1,IF(COUNTIFS(C$5:C882,C882,L$5:L882,1)=1,1,0),0)</f>
        <v/>
      </c>
      <c r="N882">
        <f>IF(C882="",0,IF(AND(B882="office",E882="budget_probe",N(F882)&gt;=Inputs!$C$129),1,0))</f>
        <v/>
      </c>
      <c r="O882">
        <f>IF(N882=1,IF(COUNTIFS(C$5:C882,C882,N$5:N882,1)=1,1,0),0)</f>
        <v/>
      </c>
      <c r="P882">
        <f>IF(C882="",0,IF(AND(B882="brand",E882="renewal_answer",N(F882)&gt;=Inputs!$C$125),1,0))</f>
        <v/>
      </c>
      <c r="Q882">
        <f>IF(AND(B882="office",E882="budget_probe",ISNUMBER(F882)),F882,"")</f>
        <v/>
      </c>
      <c r="R882">
        <f>IF(AND(B882="brand",E882="budget_probe",ISNUMBER(F882)),F882,"")</f>
        <v/>
      </c>
    </row>
    <row r="883">
      <c r="A883" s="91" t="n"/>
      <c r="B883" s="92" t="n"/>
      <c r="C883" s="92" t="n"/>
      <c r="D883" s="92" t="n"/>
      <c r="E883" s="92" t="n"/>
      <c r="F883" s="92" t="n"/>
      <c r="G883" s="92" t="n"/>
      <c r="H883" s="92" t="n"/>
      <c r="I883" s="92" t="n"/>
      <c r="K883">
        <f>IF(C883="","",IF(COUNTIFS(C$5:C883,C883,E$5:E883,E883)=1,1,0))</f>
        <v/>
      </c>
      <c r="L883">
        <f>IF(C883="",0,IF(AND(B883="brand",E883="budget_probe",N(F883)&gt;=Inputs!$C$114,H883="Y"),1,0))</f>
        <v/>
      </c>
      <c r="M883">
        <f>IF(L883=1,IF(COUNTIFS(C$5:C883,C883,L$5:L883,1)=1,1,0),0)</f>
        <v/>
      </c>
      <c r="N883">
        <f>IF(C883="",0,IF(AND(B883="office",E883="budget_probe",N(F883)&gt;=Inputs!$C$129),1,0))</f>
        <v/>
      </c>
      <c r="O883">
        <f>IF(N883=1,IF(COUNTIFS(C$5:C883,C883,N$5:N883,1)=1,1,0),0)</f>
        <v/>
      </c>
      <c r="P883">
        <f>IF(C883="",0,IF(AND(B883="brand",E883="renewal_answer",N(F883)&gt;=Inputs!$C$125),1,0))</f>
        <v/>
      </c>
      <c r="Q883">
        <f>IF(AND(B883="office",E883="budget_probe",ISNUMBER(F883)),F883,"")</f>
        <v/>
      </c>
      <c r="R883">
        <f>IF(AND(B883="brand",E883="budget_probe",ISNUMBER(F883)),F883,"")</f>
        <v/>
      </c>
    </row>
    <row r="884">
      <c r="A884" s="91" t="n"/>
      <c r="B884" s="92" t="n"/>
      <c r="C884" s="92" t="n"/>
      <c r="D884" s="92" t="n"/>
      <c r="E884" s="92" t="n"/>
      <c r="F884" s="92" t="n"/>
      <c r="G884" s="92" t="n"/>
      <c r="H884" s="92" t="n"/>
      <c r="I884" s="92" t="n"/>
      <c r="K884">
        <f>IF(C884="","",IF(COUNTIFS(C$5:C884,C884,E$5:E884,E884)=1,1,0))</f>
        <v/>
      </c>
      <c r="L884">
        <f>IF(C884="",0,IF(AND(B884="brand",E884="budget_probe",N(F884)&gt;=Inputs!$C$114,H884="Y"),1,0))</f>
        <v/>
      </c>
      <c r="M884">
        <f>IF(L884=1,IF(COUNTIFS(C$5:C884,C884,L$5:L884,1)=1,1,0),0)</f>
        <v/>
      </c>
      <c r="N884">
        <f>IF(C884="",0,IF(AND(B884="office",E884="budget_probe",N(F884)&gt;=Inputs!$C$129),1,0))</f>
        <v/>
      </c>
      <c r="O884">
        <f>IF(N884=1,IF(COUNTIFS(C$5:C884,C884,N$5:N884,1)=1,1,0),0)</f>
        <v/>
      </c>
      <c r="P884">
        <f>IF(C884="",0,IF(AND(B884="brand",E884="renewal_answer",N(F884)&gt;=Inputs!$C$125),1,0))</f>
        <v/>
      </c>
      <c r="Q884">
        <f>IF(AND(B884="office",E884="budget_probe",ISNUMBER(F884)),F884,"")</f>
        <v/>
      </c>
      <c r="R884">
        <f>IF(AND(B884="brand",E884="budget_probe",ISNUMBER(F884)),F884,"")</f>
        <v/>
      </c>
    </row>
    <row r="885">
      <c r="A885" s="91" t="n"/>
      <c r="B885" s="92" t="n"/>
      <c r="C885" s="92" t="n"/>
      <c r="D885" s="92" t="n"/>
      <c r="E885" s="92" t="n"/>
      <c r="F885" s="92" t="n"/>
      <c r="G885" s="92" t="n"/>
      <c r="H885" s="92" t="n"/>
      <c r="I885" s="92" t="n"/>
      <c r="K885">
        <f>IF(C885="","",IF(COUNTIFS(C$5:C885,C885,E$5:E885,E885)=1,1,0))</f>
        <v/>
      </c>
      <c r="L885">
        <f>IF(C885="",0,IF(AND(B885="brand",E885="budget_probe",N(F885)&gt;=Inputs!$C$114,H885="Y"),1,0))</f>
        <v/>
      </c>
      <c r="M885">
        <f>IF(L885=1,IF(COUNTIFS(C$5:C885,C885,L$5:L885,1)=1,1,0),0)</f>
        <v/>
      </c>
      <c r="N885">
        <f>IF(C885="",0,IF(AND(B885="office",E885="budget_probe",N(F885)&gt;=Inputs!$C$129),1,0))</f>
        <v/>
      </c>
      <c r="O885">
        <f>IF(N885=1,IF(COUNTIFS(C$5:C885,C885,N$5:N885,1)=1,1,0),0)</f>
        <v/>
      </c>
      <c r="P885">
        <f>IF(C885="",0,IF(AND(B885="brand",E885="renewal_answer",N(F885)&gt;=Inputs!$C$125),1,0))</f>
        <v/>
      </c>
      <c r="Q885">
        <f>IF(AND(B885="office",E885="budget_probe",ISNUMBER(F885)),F885,"")</f>
        <v/>
      </c>
      <c r="R885">
        <f>IF(AND(B885="brand",E885="budget_probe",ISNUMBER(F885)),F885,"")</f>
        <v/>
      </c>
    </row>
    <row r="886">
      <c r="A886" s="91" t="n"/>
      <c r="B886" s="92" t="n"/>
      <c r="C886" s="92" t="n"/>
      <c r="D886" s="92" t="n"/>
      <c r="E886" s="92" t="n"/>
      <c r="F886" s="92" t="n"/>
      <c r="G886" s="92" t="n"/>
      <c r="H886" s="92" t="n"/>
      <c r="I886" s="92" t="n"/>
      <c r="K886">
        <f>IF(C886="","",IF(COUNTIFS(C$5:C886,C886,E$5:E886,E886)=1,1,0))</f>
        <v/>
      </c>
      <c r="L886">
        <f>IF(C886="",0,IF(AND(B886="brand",E886="budget_probe",N(F886)&gt;=Inputs!$C$114,H886="Y"),1,0))</f>
        <v/>
      </c>
      <c r="M886">
        <f>IF(L886=1,IF(COUNTIFS(C$5:C886,C886,L$5:L886,1)=1,1,0),0)</f>
        <v/>
      </c>
      <c r="N886">
        <f>IF(C886="",0,IF(AND(B886="office",E886="budget_probe",N(F886)&gt;=Inputs!$C$129),1,0))</f>
        <v/>
      </c>
      <c r="O886">
        <f>IF(N886=1,IF(COUNTIFS(C$5:C886,C886,N$5:N886,1)=1,1,0),0)</f>
        <v/>
      </c>
      <c r="P886">
        <f>IF(C886="",0,IF(AND(B886="brand",E886="renewal_answer",N(F886)&gt;=Inputs!$C$125),1,0))</f>
        <v/>
      </c>
      <c r="Q886">
        <f>IF(AND(B886="office",E886="budget_probe",ISNUMBER(F886)),F886,"")</f>
        <v/>
      </c>
      <c r="R886">
        <f>IF(AND(B886="brand",E886="budget_probe",ISNUMBER(F886)),F886,"")</f>
        <v/>
      </c>
    </row>
    <row r="887">
      <c r="A887" s="91" t="n"/>
      <c r="B887" s="92" t="n"/>
      <c r="C887" s="92" t="n"/>
      <c r="D887" s="92" t="n"/>
      <c r="E887" s="92" t="n"/>
      <c r="F887" s="92" t="n"/>
      <c r="G887" s="92" t="n"/>
      <c r="H887" s="92" t="n"/>
      <c r="I887" s="92" t="n"/>
      <c r="K887">
        <f>IF(C887="","",IF(COUNTIFS(C$5:C887,C887,E$5:E887,E887)=1,1,0))</f>
        <v/>
      </c>
      <c r="L887">
        <f>IF(C887="",0,IF(AND(B887="brand",E887="budget_probe",N(F887)&gt;=Inputs!$C$114,H887="Y"),1,0))</f>
        <v/>
      </c>
      <c r="M887">
        <f>IF(L887=1,IF(COUNTIFS(C$5:C887,C887,L$5:L887,1)=1,1,0),0)</f>
        <v/>
      </c>
      <c r="N887">
        <f>IF(C887="",0,IF(AND(B887="office",E887="budget_probe",N(F887)&gt;=Inputs!$C$129),1,0))</f>
        <v/>
      </c>
      <c r="O887">
        <f>IF(N887=1,IF(COUNTIFS(C$5:C887,C887,N$5:N887,1)=1,1,0),0)</f>
        <v/>
      </c>
      <c r="P887">
        <f>IF(C887="",0,IF(AND(B887="brand",E887="renewal_answer",N(F887)&gt;=Inputs!$C$125),1,0))</f>
        <v/>
      </c>
      <c r="Q887">
        <f>IF(AND(B887="office",E887="budget_probe",ISNUMBER(F887)),F887,"")</f>
        <v/>
      </c>
      <c r="R887">
        <f>IF(AND(B887="brand",E887="budget_probe",ISNUMBER(F887)),F887,"")</f>
        <v/>
      </c>
    </row>
    <row r="888">
      <c r="A888" s="91" t="n"/>
      <c r="B888" s="92" t="n"/>
      <c r="C888" s="92" t="n"/>
      <c r="D888" s="92" t="n"/>
      <c r="E888" s="92" t="n"/>
      <c r="F888" s="92" t="n"/>
      <c r="G888" s="92" t="n"/>
      <c r="H888" s="92" t="n"/>
      <c r="I888" s="92" t="n"/>
      <c r="K888">
        <f>IF(C888="","",IF(COUNTIFS(C$5:C888,C888,E$5:E888,E888)=1,1,0))</f>
        <v/>
      </c>
      <c r="L888">
        <f>IF(C888="",0,IF(AND(B888="brand",E888="budget_probe",N(F888)&gt;=Inputs!$C$114,H888="Y"),1,0))</f>
        <v/>
      </c>
      <c r="M888">
        <f>IF(L888=1,IF(COUNTIFS(C$5:C888,C888,L$5:L888,1)=1,1,0),0)</f>
        <v/>
      </c>
      <c r="N888">
        <f>IF(C888="",0,IF(AND(B888="office",E888="budget_probe",N(F888)&gt;=Inputs!$C$129),1,0))</f>
        <v/>
      </c>
      <c r="O888">
        <f>IF(N888=1,IF(COUNTIFS(C$5:C888,C888,N$5:N888,1)=1,1,0),0)</f>
        <v/>
      </c>
      <c r="P888">
        <f>IF(C888="",0,IF(AND(B888="brand",E888="renewal_answer",N(F888)&gt;=Inputs!$C$125),1,0))</f>
        <v/>
      </c>
      <c r="Q888">
        <f>IF(AND(B888="office",E888="budget_probe",ISNUMBER(F888)),F888,"")</f>
        <v/>
      </c>
      <c r="R888">
        <f>IF(AND(B888="brand",E888="budget_probe",ISNUMBER(F888)),F888,"")</f>
        <v/>
      </c>
    </row>
    <row r="889">
      <c r="A889" s="91" t="n"/>
      <c r="B889" s="92" t="n"/>
      <c r="C889" s="92" t="n"/>
      <c r="D889" s="92" t="n"/>
      <c r="E889" s="92" t="n"/>
      <c r="F889" s="92" t="n"/>
      <c r="G889" s="92" t="n"/>
      <c r="H889" s="92" t="n"/>
      <c r="I889" s="92" t="n"/>
      <c r="K889">
        <f>IF(C889="","",IF(COUNTIFS(C$5:C889,C889,E$5:E889,E889)=1,1,0))</f>
        <v/>
      </c>
      <c r="L889">
        <f>IF(C889="",0,IF(AND(B889="brand",E889="budget_probe",N(F889)&gt;=Inputs!$C$114,H889="Y"),1,0))</f>
        <v/>
      </c>
      <c r="M889">
        <f>IF(L889=1,IF(COUNTIFS(C$5:C889,C889,L$5:L889,1)=1,1,0),0)</f>
        <v/>
      </c>
      <c r="N889">
        <f>IF(C889="",0,IF(AND(B889="office",E889="budget_probe",N(F889)&gt;=Inputs!$C$129),1,0))</f>
        <v/>
      </c>
      <c r="O889">
        <f>IF(N889=1,IF(COUNTIFS(C$5:C889,C889,N$5:N889,1)=1,1,0),0)</f>
        <v/>
      </c>
      <c r="P889">
        <f>IF(C889="",0,IF(AND(B889="brand",E889="renewal_answer",N(F889)&gt;=Inputs!$C$125),1,0))</f>
        <v/>
      </c>
      <c r="Q889">
        <f>IF(AND(B889="office",E889="budget_probe",ISNUMBER(F889)),F889,"")</f>
        <v/>
      </c>
      <c r="R889">
        <f>IF(AND(B889="brand",E889="budget_probe",ISNUMBER(F889)),F889,"")</f>
        <v/>
      </c>
    </row>
    <row r="890">
      <c r="A890" s="91" t="n"/>
      <c r="B890" s="92" t="n"/>
      <c r="C890" s="92" t="n"/>
      <c r="D890" s="92" t="n"/>
      <c r="E890" s="92" t="n"/>
      <c r="F890" s="92" t="n"/>
      <c r="G890" s="92" t="n"/>
      <c r="H890" s="92" t="n"/>
      <c r="I890" s="92" t="n"/>
      <c r="K890">
        <f>IF(C890="","",IF(COUNTIFS(C$5:C890,C890,E$5:E890,E890)=1,1,0))</f>
        <v/>
      </c>
      <c r="L890">
        <f>IF(C890="",0,IF(AND(B890="brand",E890="budget_probe",N(F890)&gt;=Inputs!$C$114,H890="Y"),1,0))</f>
        <v/>
      </c>
      <c r="M890">
        <f>IF(L890=1,IF(COUNTIFS(C$5:C890,C890,L$5:L890,1)=1,1,0),0)</f>
        <v/>
      </c>
      <c r="N890">
        <f>IF(C890="",0,IF(AND(B890="office",E890="budget_probe",N(F890)&gt;=Inputs!$C$129),1,0))</f>
        <v/>
      </c>
      <c r="O890">
        <f>IF(N890=1,IF(COUNTIFS(C$5:C890,C890,N$5:N890,1)=1,1,0),0)</f>
        <v/>
      </c>
      <c r="P890">
        <f>IF(C890="",0,IF(AND(B890="brand",E890="renewal_answer",N(F890)&gt;=Inputs!$C$125),1,0))</f>
        <v/>
      </c>
      <c r="Q890">
        <f>IF(AND(B890="office",E890="budget_probe",ISNUMBER(F890)),F890,"")</f>
        <v/>
      </c>
      <c r="R890">
        <f>IF(AND(B890="brand",E890="budget_probe",ISNUMBER(F890)),F890,"")</f>
        <v/>
      </c>
    </row>
    <row r="891">
      <c r="A891" s="91" t="n"/>
      <c r="B891" s="92" t="n"/>
      <c r="C891" s="92" t="n"/>
      <c r="D891" s="92" t="n"/>
      <c r="E891" s="92" t="n"/>
      <c r="F891" s="92" t="n"/>
      <c r="G891" s="92" t="n"/>
      <c r="H891" s="92" t="n"/>
      <c r="I891" s="92" t="n"/>
      <c r="K891">
        <f>IF(C891="","",IF(COUNTIFS(C$5:C891,C891,E$5:E891,E891)=1,1,0))</f>
        <v/>
      </c>
      <c r="L891">
        <f>IF(C891="",0,IF(AND(B891="brand",E891="budget_probe",N(F891)&gt;=Inputs!$C$114,H891="Y"),1,0))</f>
        <v/>
      </c>
      <c r="M891">
        <f>IF(L891=1,IF(COUNTIFS(C$5:C891,C891,L$5:L891,1)=1,1,0),0)</f>
        <v/>
      </c>
      <c r="N891">
        <f>IF(C891="",0,IF(AND(B891="office",E891="budget_probe",N(F891)&gt;=Inputs!$C$129),1,0))</f>
        <v/>
      </c>
      <c r="O891">
        <f>IF(N891=1,IF(COUNTIFS(C$5:C891,C891,N$5:N891,1)=1,1,0),0)</f>
        <v/>
      </c>
      <c r="P891">
        <f>IF(C891="",0,IF(AND(B891="brand",E891="renewal_answer",N(F891)&gt;=Inputs!$C$125),1,0))</f>
        <v/>
      </c>
      <c r="Q891">
        <f>IF(AND(B891="office",E891="budget_probe",ISNUMBER(F891)),F891,"")</f>
        <v/>
      </c>
      <c r="R891">
        <f>IF(AND(B891="brand",E891="budget_probe",ISNUMBER(F891)),F891,"")</f>
        <v/>
      </c>
    </row>
    <row r="892">
      <c r="A892" s="91" t="n"/>
      <c r="B892" s="92" t="n"/>
      <c r="C892" s="92" t="n"/>
      <c r="D892" s="92" t="n"/>
      <c r="E892" s="92" t="n"/>
      <c r="F892" s="92" t="n"/>
      <c r="G892" s="92" t="n"/>
      <c r="H892" s="92" t="n"/>
      <c r="I892" s="92" t="n"/>
      <c r="K892">
        <f>IF(C892="","",IF(COUNTIFS(C$5:C892,C892,E$5:E892,E892)=1,1,0))</f>
        <v/>
      </c>
      <c r="L892">
        <f>IF(C892="",0,IF(AND(B892="brand",E892="budget_probe",N(F892)&gt;=Inputs!$C$114,H892="Y"),1,0))</f>
        <v/>
      </c>
      <c r="M892">
        <f>IF(L892=1,IF(COUNTIFS(C$5:C892,C892,L$5:L892,1)=1,1,0),0)</f>
        <v/>
      </c>
      <c r="N892">
        <f>IF(C892="",0,IF(AND(B892="office",E892="budget_probe",N(F892)&gt;=Inputs!$C$129),1,0))</f>
        <v/>
      </c>
      <c r="O892">
        <f>IF(N892=1,IF(COUNTIFS(C$5:C892,C892,N$5:N892,1)=1,1,0),0)</f>
        <v/>
      </c>
      <c r="P892">
        <f>IF(C892="",0,IF(AND(B892="brand",E892="renewal_answer",N(F892)&gt;=Inputs!$C$125),1,0))</f>
        <v/>
      </c>
      <c r="Q892">
        <f>IF(AND(B892="office",E892="budget_probe",ISNUMBER(F892)),F892,"")</f>
        <v/>
      </c>
      <c r="R892">
        <f>IF(AND(B892="brand",E892="budget_probe",ISNUMBER(F892)),F892,"")</f>
        <v/>
      </c>
    </row>
    <row r="893">
      <c r="A893" s="91" t="n"/>
      <c r="B893" s="92" t="n"/>
      <c r="C893" s="92" t="n"/>
      <c r="D893" s="92" t="n"/>
      <c r="E893" s="92" t="n"/>
      <c r="F893" s="92" t="n"/>
      <c r="G893" s="92" t="n"/>
      <c r="H893" s="92" t="n"/>
      <c r="I893" s="92" t="n"/>
      <c r="K893">
        <f>IF(C893="","",IF(COUNTIFS(C$5:C893,C893,E$5:E893,E893)=1,1,0))</f>
        <v/>
      </c>
      <c r="L893">
        <f>IF(C893="",0,IF(AND(B893="brand",E893="budget_probe",N(F893)&gt;=Inputs!$C$114,H893="Y"),1,0))</f>
        <v/>
      </c>
      <c r="M893">
        <f>IF(L893=1,IF(COUNTIFS(C$5:C893,C893,L$5:L893,1)=1,1,0),0)</f>
        <v/>
      </c>
      <c r="N893">
        <f>IF(C893="",0,IF(AND(B893="office",E893="budget_probe",N(F893)&gt;=Inputs!$C$129),1,0))</f>
        <v/>
      </c>
      <c r="O893">
        <f>IF(N893=1,IF(COUNTIFS(C$5:C893,C893,N$5:N893,1)=1,1,0),0)</f>
        <v/>
      </c>
      <c r="P893">
        <f>IF(C893="",0,IF(AND(B893="brand",E893="renewal_answer",N(F893)&gt;=Inputs!$C$125),1,0))</f>
        <v/>
      </c>
      <c r="Q893">
        <f>IF(AND(B893="office",E893="budget_probe",ISNUMBER(F893)),F893,"")</f>
        <v/>
      </c>
      <c r="R893">
        <f>IF(AND(B893="brand",E893="budget_probe",ISNUMBER(F893)),F893,"")</f>
        <v/>
      </c>
    </row>
    <row r="894">
      <c r="A894" s="91" t="n"/>
      <c r="B894" s="92" t="n"/>
      <c r="C894" s="92" t="n"/>
      <c r="D894" s="92" t="n"/>
      <c r="E894" s="92" t="n"/>
      <c r="F894" s="92" t="n"/>
      <c r="G894" s="92" t="n"/>
      <c r="H894" s="92" t="n"/>
      <c r="I894" s="92" t="n"/>
      <c r="K894">
        <f>IF(C894="","",IF(COUNTIFS(C$5:C894,C894,E$5:E894,E894)=1,1,0))</f>
        <v/>
      </c>
      <c r="L894">
        <f>IF(C894="",0,IF(AND(B894="brand",E894="budget_probe",N(F894)&gt;=Inputs!$C$114,H894="Y"),1,0))</f>
        <v/>
      </c>
      <c r="M894">
        <f>IF(L894=1,IF(COUNTIFS(C$5:C894,C894,L$5:L894,1)=1,1,0),0)</f>
        <v/>
      </c>
      <c r="N894">
        <f>IF(C894="",0,IF(AND(B894="office",E894="budget_probe",N(F894)&gt;=Inputs!$C$129),1,0))</f>
        <v/>
      </c>
      <c r="O894">
        <f>IF(N894=1,IF(COUNTIFS(C$5:C894,C894,N$5:N894,1)=1,1,0),0)</f>
        <v/>
      </c>
      <c r="P894">
        <f>IF(C894="",0,IF(AND(B894="brand",E894="renewal_answer",N(F894)&gt;=Inputs!$C$125),1,0))</f>
        <v/>
      </c>
      <c r="Q894">
        <f>IF(AND(B894="office",E894="budget_probe",ISNUMBER(F894)),F894,"")</f>
        <v/>
      </c>
      <c r="R894">
        <f>IF(AND(B894="brand",E894="budget_probe",ISNUMBER(F894)),F894,"")</f>
        <v/>
      </c>
    </row>
    <row r="895">
      <c r="A895" s="91" t="n"/>
      <c r="B895" s="92" t="n"/>
      <c r="C895" s="92" t="n"/>
      <c r="D895" s="92" t="n"/>
      <c r="E895" s="92" t="n"/>
      <c r="F895" s="92" t="n"/>
      <c r="G895" s="92" t="n"/>
      <c r="H895" s="92" t="n"/>
      <c r="I895" s="92" t="n"/>
      <c r="K895">
        <f>IF(C895="","",IF(COUNTIFS(C$5:C895,C895,E$5:E895,E895)=1,1,0))</f>
        <v/>
      </c>
      <c r="L895">
        <f>IF(C895="",0,IF(AND(B895="brand",E895="budget_probe",N(F895)&gt;=Inputs!$C$114,H895="Y"),1,0))</f>
        <v/>
      </c>
      <c r="M895">
        <f>IF(L895=1,IF(COUNTIFS(C$5:C895,C895,L$5:L895,1)=1,1,0),0)</f>
        <v/>
      </c>
      <c r="N895">
        <f>IF(C895="",0,IF(AND(B895="office",E895="budget_probe",N(F895)&gt;=Inputs!$C$129),1,0))</f>
        <v/>
      </c>
      <c r="O895">
        <f>IF(N895=1,IF(COUNTIFS(C$5:C895,C895,N$5:N895,1)=1,1,0),0)</f>
        <v/>
      </c>
      <c r="P895">
        <f>IF(C895="",0,IF(AND(B895="brand",E895="renewal_answer",N(F895)&gt;=Inputs!$C$125),1,0))</f>
        <v/>
      </c>
      <c r="Q895">
        <f>IF(AND(B895="office",E895="budget_probe",ISNUMBER(F895)),F895,"")</f>
        <v/>
      </c>
      <c r="R895">
        <f>IF(AND(B895="brand",E895="budget_probe",ISNUMBER(F895)),F895,"")</f>
        <v/>
      </c>
    </row>
    <row r="896">
      <c r="A896" s="91" t="n"/>
      <c r="B896" s="92" t="n"/>
      <c r="C896" s="92" t="n"/>
      <c r="D896" s="92" t="n"/>
      <c r="E896" s="92" t="n"/>
      <c r="F896" s="92" t="n"/>
      <c r="G896" s="92" t="n"/>
      <c r="H896" s="92" t="n"/>
      <c r="I896" s="92" t="n"/>
      <c r="K896">
        <f>IF(C896="","",IF(COUNTIFS(C$5:C896,C896,E$5:E896,E896)=1,1,0))</f>
        <v/>
      </c>
      <c r="L896">
        <f>IF(C896="",0,IF(AND(B896="brand",E896="budget_probe",N(F896)&gt;=Inputs!$C$114,H896="Y"),1,0))</f>
        <v/>
      </c>
      <c r="M896">
        <f>IF(L896=1,IF(COUNTIFS(C$5:C896,C896,L$5:L896,1)=1,1,0),0)</f>
        <v/>
      </c>
      <c r="N896">
        <f>IF(C896="",0,IF(AND(B896="office",E896="budget_probe",N(F896)&gt;=Inputs!$C$129),1,0))</f>
        <v/>
      </c>
      <c r="O896">
        <f>IF(N896=1,IF(COUNTIFS(C$5:C896,C896,N$5:N896,1)=1,1,0),0)</f>
        <v/>
      </c>
      <c r="P896">
        <f>IF(C896="",0,IF(AND(B896="brand",E896="renewal_answer",N(F896)&gt;=Inputs!$C$125),1,0))</f>
        <v/>
      </c>
      <c r="Q896">
        <f>IF(AND(B896="office",E896="budget_probe",ISNUMBER(F896)),F896,"")</f>
        <v/>
      </c>
      <c r="R896">
        <f>IF(AND(B896="brand",E896="budget_probe",ISNUMBER(F896)),F896,"")</f>
        <v/>
      </c>
    </row>
    <row r="897">
      <c r="A897" s="91" t="n"/>
      <c r="B897" s="92" t="n"/>
      <c r="C897" s="92" t="n"/>
      <c r="D897" s="92" t="n"/>
      <c r="E897" s="92" t="n"/>
      <c r="F897" s="92" t="n"/>
      <c r="G897" s="92" t="n"/>
      <c r="H897" s="92" t="n"/>
      <c r="I897" s="92" t="n"/>
      <c r="K897">
        <f>IF(C897="","",IF(COUNTIFS(C$5:C897,C897,E$5:E897,E897)=1,1,0))</f>
        <v/>
      </c>
      <c r="L897">
        <f>IF(C897="",0,IF(AND(B897="brand",E897="budget_probe",N(F897)&gt;=Inputs!$C$114,H897="Y"),1,0))</f>
        <v/>
      </c>
      <c r="M897">
        <f>IF(L897=1,IF(COUNTIFS(C$5:C897,C897,L$5:L897,1)=1,1,0),0)</f>
        <v/>
      </c>
      <c r="N897">
        <f>IF(C897="",0,IF(AND(B897="office",E897="budget_probe",N(F897)&gt;=Inputs!$C$129),1,0))</f>
        <v/>
      </c>
      <c r="O897">
        <f>IF(N897=1,IF(COUNTIFS(C$5:C897,C897,N$5:N897,1)=1,1,0),0)</f>
        <v/>
      </c>
      <c r="P897">
        <f>IF(C897="",0,IF(AND(B897="brand",E897="renewal_answer",N(F897)&gt;=Inputs!$C$125),1,0))</f>
        <v/>
      </c>
      <c r="Q897">
        <f>IF(AND(B897="office",E897="budget_probe",ISNUMBER(F897)),F897,"")</f>
        <v/>
      </c>
      <c r="R897">
        <f>IF(AND(B897="brand",E897="budget_probe",ISNUMBER(F897)),F897,"")</f>
        <v/>
      </c>
    </row>
    <row r="898">
      <c r="A898" s="91" t="n"/>
      <c r="B898" s="92" t="n"/>
      <c r="C898" s="92" t="n"/>
      <c r="D898" s="92" t="n"/>
      <c r="E898" s="92" t="n"/>
      <c r="F898" s="92" t="n"/>
      <c r="G898" s="92" t="n"/>
      <c r="H898" s="92" t="n"/>
      <c r="I898" s="92" t="n"/>
      <c r="K898">
        <f>IF(C898="","",IF(COUNTIFS(C$5:C898,C898,E$5:E898,E898)=1,1,0))</f>
        <v/>
      </c>
      <c r="L898">
        <f>IF(C898="",0,IF(AND(B898="brand",E898="budget_probe",N(F898)&gt;=Inputs!$C$114,H898="Y"),1,0))</f>
        <v/>
      </c>
      <c r="M898">
        <f>IF(L898=1,IF(COUNTIFS(C$5:C898,C898,L$5:L898,1)=1,1,0),0)</f>
        <v/>
      </c>
      <c r="N898">
        <f>IF(C898="",0,IF(AND(B898="office",E898="budget_probe",N(F898)&gt;=Inputs!$C$129),1,0))</f>
        <v/>
      </c>
      <c r="O898">
        <f>IF(N898=1,IF(COUNTIFS(C$5:C898,C898,N$5:N898,1)=1,1,0),0)</f>
        <v/>
      </c>
      <c r="P898">
        <f>IF(C898="",0,IF(AND(B898="brand",E898="renewal_answer",N(F898)&gt;=Inputs!$C$125),1,0))</f>
        <v/>
      </c>
      <c r="Q898">
        <f>IF(AND(B898="office",E898="budget_probe",ISNUMBER(F898)),F898,"")</f>
        <v/>
      </c>
      <c r="R898">
        <f>IF(AND(B898="brand",E898="budget_probe",ISNUMBER(F898)),F898,"")</f>
        <v/>
      </c>
    </row>
    <row r="899">
      <c r="A899" s="91" t="n"/>
      <c r="B899" s="92" t="n"/>
      <c r="C899" s="92" t="n"/>
      <c r="D899" s="92" t="n"/>
      <c r="E899" s="92" t="n"/>
      <c r="F899" s="92" t="n"/>
      <c r="G899" s="92" t="n"/>
      <c r="H899" s="92" t="n"/>
      <c r="I899" s="92" t="n"/>
      <c r="K899">
        <f>IF(C899="","",IF(COUNTIFS(C$5:C899,C899,E$5:E899,E899)=1,1,0))</f>
        <v/>
      </c>
      <c r="L899">
        <f>IF(C899="",0,IF(AND(B899="brand",E899="budget_probe",N(F899)&gt;=Inputs!$C$114,H899="Y"),1,0))</f>
        <v/>
      </c>
      <c r="M899">
        <f>IF(L899=1,IF(COUNTIFS(C$5:C899,C899,L$5:L899,1)=1,1,0),0)</f>
        <v/>
      </c>
      <c r="N899">
        <f>IF(C899="",0,IF(AND(B899="office",E899="budget_probe",N(F899)&gt;=Inputs!$C$129),1,0))</f>
        <v/>
      </c>
      <c r="O899">
        <f>IF(N899=1,IF(COUNTIFS(C$5:C899,C899,N$5:N899,1)=1,1,0),0)</f>
        <v/>
      </c>
      <c r="P899">
        <f>IF(C899="",0,IF(AND(B899="brand",E899="renewal_answer",N(F899)&gt;=Inputs!$C$125),1,0))</f>
        <v/>
      </c>
      <c r="Q899">
        <f>IF(AND(B899="office",E899="budget_probe",ISNUMBER(F899)),F899,"")</f>
        <v/>
      </c>
      <c r="R899">
        <f>IF(AND(B899="brand",E899="budget_probe",ISNUMBER(F899)),F899,"")</f>
        <v/>
      </c>
    </row>
    <row r="900">
      <c r="A900" s="91" t="n"/>
      <c r="B900" s="92" t="n"/>
      <c r="C900" s="92" t="n"/>
      <c r="D900" s="92" t="n"/>
      <c r="E900" s="92" t="n"/>
      <c r="F900" s="92" t="n"/>
      <c r="G900" s="92" t="n"/>
      <c r="H900" s="92" t="n"/>
      <c r="I900" s="92" t="n"/>
      <c r="K900">
        <f>IF(C900="","",IF(COUNTIFS(C$5:C900,C900,E$5:E900,E900)=1,1,0))</f>
        <v/>
      </c>
      <c r="L900">
        <f>IF(C900="",0,IF(AND(B900="brand",E900="budget_probe",N(F900)&gt;=Inputs!$C$114,H900="Y"),1,0))</f>
        <v/>
      </c>
      <c r="M900">
        <f>IF(L900=1,IF(COUNTIFS(C$5:C900,C900,L$5:L900,1)=1,1,0),0)</f>
        <v/>
      </c>
      <c r="N900">
        <f>IF(C900="",0,IF(AND(B900="office",E900="budget_probe",N(F900)&gt;=Inputs!$C$129),1,0))</f>
        <v/>
      </c>
      <c r="O900">
        <f>IF(N900=1,IF(COUNTIFS(C$5:C900,C900,N$5:N900,1)=1,1,0),0)</f>
        <v/>
      </c>
      <c r="P900">
        <f>IF(C900="",0,IF(AND(B900="brand",E900="renewal_answer",N(F900)&gt;=Inputs!$C$125),1,0))</f>
        <v/>
      </c>
      <c r="Q900">
        <f>IF(AND(B900="office",E900="budget_probe",ISNUMBER(F900)),F900,"")</f>
        <v/>
      </c>
      <c r="R900">
        <f>IF(AND(B900="brand",E900="budget_probe",ISNUMBER(F900)),F900,"")</f>
        <v/>
      </c>
    </row>
    <row r="901">
      <c r="A901" s="91" t="n"/>
      <c r="B901" s="92" t="n"/>
      <c r="C901" s="92" t="n"/>
      <c r="D901" s="92" t="n"/>
      <c r="E901" s="92" t="n"/>
      <c r="F901" s="92" t="n"/>
      <c r="G901" s="92" t="n"/>
      <c r="H901" s="92" t="n"/>
      <c r="I901" s="92" t="n"/>
      <c r="K901">
        <f>IF(C901="","",IF(COUNTIFS(C$5:C901,C901,E$5:E901,E901)=1,1,0))</f>
        <v/>
      </c>
      <c r="L901">
        <f>IF(C901="",0,IF(AND(B901="brand",E901="budget_probe",N(F901)&gt;=Inputs!$C$114,H901="Y"),1,0))</f>
        <v/>
      </c>
      <c r="M901">
        <f>IF(L901=1,IF(COUNTIFS(C$5:C901,C901,L$5:L901,1)=1,1,0),0)</f>
        <v/>
      </c>
      <c r="N901">
        <f>IF(C901="",0,IF(AND(B901="office",E901="budget_probe",N(F901)&gt;=Inputs!$C$129),1,0))</f>
        <v/>
      </c>
      <c r="O901">
        <f>IF(N901=1,IF(COUNTIFS(C$5:C901,C901,N$5:N901,1)=1,1,0),0)</f>
        <v/>
      </c>
      <c r="P901">
        <f>IF(C901="",0,IF(AND(B901="brand",E901="renewal_answer",N(F901)&gt;=Inputs!$C$125),1,0))</f>
        <v/>
      </c>
      <c r="Q901">
        <f>IF(AND(B901="office",E901="budget_probe",ISNUMBER(F901)),F901,"")</f>
        <v/>
      </c>
      <c r="R901">
        <f>IF(AND(B901="brand",E901="budget_probe",ISNUMBER(F901)),F901,"")</f>
        <v/>
      </c>
    </row>
    <row r="902">
      <c r="A902" s="91" t="n"/>
      <c r="B902" s="92" t="n"/>
      <c r="C902" s="92" t="n"/>
      <c r="D902" s="92" t="n"/>
      <c r="E902" s="92" t="n"/>
      <c r="F902" s="92" t="n"/>
      <c r="G902" s="92" t="n"/>
      <c r="H902" s="92" t="n"/>
      <c r="I902" s="92" t="n"/>
      <c r="K902">
        <f>IF(C902="","",IF(COUNTIFS(C$5:C902,C902,E$5:E902,E902)=1,1,0))</f>
        <v/>
      </c>
      <c r="L902">
        <f>IF(C902="",0,IF(AND(B902="brand",E902="budget_probe",N(F902)&gt;=Inputs!$C$114,H902="Y"),1,0))</f>
        <v/>
      </c>
      <c r="M902">
        <f>IF(L902=1,IF(COUNTIFS(C$5:C902,C902,L$5:L902,1)=1,1,0),0)</f>
        <v/>
      </c>
      <c r="N902">
        <f>IF(C902="",0,IF(AND(B902="office",E902="budget_probe",N(F902)&gt;=Inputs!$C$129),1,0))</f>
        <v/>
      </c>
      <c r="O902">
        <f>IF(N902=1,IF(COUNTIFS(C$5:C902,C902,N$5:N902,1)=1,1,0),0)</f>
        <v/>
      </c>
      <c r="P902">
        <f>IF(C902="",0,IF(AND(B902="brand",E902="renewal_answer",N(F902)&gt;=Inputs!$C$125),1,0))</f>
        <v/>
      </c>
      <c r="Q902">
        <f>IF(AND(B902="office",E902="budget_probe",ISNUMBER(F902)),F902,"")</f>
        <v/>
      </c>
      <c r="R902">
        <f>IF(AND(B902="brand",E902="budget_probe",ISNUMBER(F902)),F902,"")</f>
        <v/>
      </c>
    </row>
    <row r="903">
      <c r="A903" s="91" t="n"/>
      <c r="B903" s="92" t="n"/>
      <c r="C903" s="92" t="n"/>
      <c r="D903" s="92" t="n"/>
      <c r="E903" s="92" t="n"/>
      <c r="F903" s="92" t="n"/>
      <c r="G903" s="92" t="n"/>
      <c r="H903" s="92" t="n"/>
      <c r="I903" s="92" t="n"/>
      <c r="K903">
        <f>IF(C903="","",IF(COUNTIFS(C$5:C903,C903,E$5:E903,E903)=1,1,0))</f>
        <v/>
      </c>
      <c r="L903">
        <f>IF(C903="",0,IF(AND(B903="brand",E903="budget_probe",N(F903)&gt;=Inputs!$C$114,H903="Y"),1,0))</f>
        <v/>
      </c>
      <c r="M903">
        <f>IF(L903=1,IF(COUNTIFS(C$5:C903,C903,L$5:L903,1)=1,1,0),0)</f>
        <v/>
      </c>
      <c r="N903">
        <f>IF(C903="",0,IF(AND(B903="office",E903="budget_probe",N(F903)&gt;=Inputs!$C$129),1,0))</f>
        <v/>
      </c>
      <c r="O903">
        <f>IF(N903=1,IF(COUNTIFS(C$5:C903,C903,N$5:N903,1)=1,1,0),0)</f>
        <v/>
      </c>
      <c r="P903">
        <f>IF(C903="",0,IF(AND(B903="brand",E903="renewal_answer",N(F903)&gt;=Inputs!$C$125),1,0))</f>
        <v/>
      </c>
      <c r="Q903">
        <f>IF(AND(B903="office",E903="budget_probe",ISNUMBER(F903)),F903,"")</f>
        <v/>
      </c>
      <c r="R903">
        <f>IF(AND(B903="brand",E903="budget_probe",ISNUMBER(F903)),F903,"")</f>
        <v/>
      </c>
    </row>
    <row r="904">
      <c r="A904" s="91" t="n"/>
      <c r="B904" s="92" t="n"/>
      <c r="C904" s="92" t="n"/>
      <c r="D904" s="92" t="n"/>
      <c r="E904" s="92" t="n"/>
      <c r="F904" s="92" t="n"/>
      <c r="G904" s="92" t="n"/>
      <c r="H904" s="92" t="n"/>
      <c r="I904" s="92" t="n"/>
      <c r="K904">
        <f>IF(C904="","",IF(COUNTIFS(C$5:C904,C904,E$5:E904,E904)=1,1,0))</f>
        <v/>
      </c>
      <c r="L904">
        <f>IF(C904="",0,IF(AND(B904="brand",E904="budget_probe",N(F904)&gt;=Inputs!$C$114,H904="Y"),1,0))</f>
        <v/>
      </c>
      <c r="M904">
        <f>IF(L904=1,IF(COUNTIFS(C$5:C904,C904,L$5:L904,1)=1,1,0),0)</f>
        <v/>
      </c>
      <c r="N904">
        <f>IF(C904="",0,IF(AND(B904="office",E904="budget_probe",N(F904)&gt;=Inputs!$C$129),1,0))</f>
        <v/>
      </c>
      <c r="O904">
        <f>IF(N904=1,IF(COUNTIFS(C$5:C904,C904,N$5:N904,1)=1,1,0),0)</f>
        <v/>
      </c>
      <c r="P904">
        <f>IF(C904="",0,IF(AND(B904="brand",E904="renewal_answer",N(F904)&gt;=Inputs!$C$125),1,0))</f>
        <v/>
      </c>
      <c r="Q904">
        <f>IF(AND(B904="office",E904="budget_probe",ISNUMBER(F904)),F904,"")</f>
        <v/>
      </c>
      <c r="R904">
        <f>IF(AND(B904="brand",E904="budget_probe",ISNUMBER(F904)),F904,"")</f>
        <v/>
      </c>
    </row>
    <row r="905">
      <c r="A905" s="91" t="n"/>
      <c r="B905" s="92" t="n"/>
      <c r="C905" s="92" t="n"/>
      <c r="D905" s="92" t="n"/>
      <c r="E905" s="92" t="n"/>
      <c r="F905" s="92" t="n"/>
      <c r="G905" s="92" t="n"/>
      <c r="H905" s="92" t="n"/>
      <c r="I905" s="92" t="n"/>
      <c r="K905">
        <f>IF(C905="","",IF(COUNTIFS(C$5:C905,C905,E$5:E905,E905)=1,1,0))</f>
        <v/>
      </c>
      <c r="L905">
        <f>IF(C905="",0,IF(AND(B905="brand",E905="budget_probe",N(F905)&gt;=Inputs!$C$114,H905="Y"),1,0))</f>
        <v/>
      </c>
      <c r="M905">
        <f>IF(L905=1,IF(COUNTIFS(C$5:C905,C905,L$5:L905,1)=1,1,0),0)</f>
        <v/>
      </c>
      <c r="N905">
        <f>IF(C905="",0,IF(AND(B905="office",E905="budget_probe",N(F905)&gt;=Inputs!$C$129),1,0))</f>
        <v/>
      </c>
      <c r="O905">
        <f>IF(N905=1,IF(COUNTIFS(C$5:C905,C905,N$5:N905,1)=1,1,0),0)</f>
        <v/>
      </c>
      <c r="P905">
        <f>IF(C905="",0,IF(AND(B905="brand",E905="renewal_answer",N(F905)&gt;=Inputs!$C$125),1,0))</f>
        <v/>
      </c>
      <c r="Q905">
        <f>IF(AND(B905="office",E905="budget_probe",ISNUMBER(F905)),F905,"")</f>
        <v/>
      </c>
      <c r="R905">
        <f>IF(AND(B905="brand",E905="budget_probe",ISNUMBER(F905)),F905,"")</f>
        <v/>
      </c>
    </row>
    <row r="906">
      <c r="A906" s="91" t="n"/>
      <c r="B906" s="92" t="n"/>
      <c r="C906" s="92" t="n"/>
      <c r="D906" s="92" t="n"/>
      <c r="E906" s="92" t="n"/>
      <c r="F906" s="92" t="n"/>
      <c r="G906" s="92" t="n"/>
      <c r="H906" s="92" t="n"/>
      <c r="I906" s="92" t="n"/>
      <c r="K906">
        <f>IF(C906="","",IF(COUNTIFS(C$5:C906,C906,E$5:E906,E906)=1,1,0))</f>
        <v/>
      </c>
      <c r="L906">
        <f>IF(C906="",0,IF(AND(B906="brand",E906="budget_probe",N(F906)&gt;=Inputs!$C$114,H906="Y"),1,0))</f>
        <v/>
      </c>
      <c r="M906">
        <f>IF(L906=1,IF(COUNTIFS(C$5:C906,C906,L$5:L906,1)=1,1,0),0)</f>
        <v/>
      </c>
      <c r="N906">
        <f>IF(C906="",0,IF(AND(B906="office",E906="budget_probe",N(F906)&gt;=Inputs!$C$129),1,0))</f>
        <v/>
      </c>
      <c r="O906">
        <f>IF(N906=1,IF(COUNTIFS(C$5:C906,C906,N$5:N906,1)=1,1,0),0)</f>
        <v/>
      </c>
      <c r="P906">
        <f>IF(C906="",0,IF(AND(B906="brand",E906="renewal_answer",N(F906)&gt;=Inputs!$C$125),1,0))</f>
        <v/>
      </c>
      <c r="Q906">
        <f>IF(AND(B906="office",E906="budget_probe",ISNUMBER(F906)),F906,"")</f>
        <v/>
      </c>
      <c r="R906">
        <f>IF(AND(B906="brand",E906="budget_probe",ISNUMBER(F906)),F906,"")</f>
        <v/>
      </c>
    </row>
    <row r="907">
      <c r="A907" s="91" t="n"/>
      <c r="B907" s="92" t="n"/>
      <c r="C907" s="92" t="n"/>
      <c r="D907" s="92" t="n"/>
      <c r="E907" s="92" t="n"/>
      <c r="F907" s="92" t="n"/>
      <c r="G907" s="92" t="n"/>
      <c r="H907" s="92" t="n"/>
      <c r="I907" s="92" t="n"/>
      <c r="K907">
        <f>IF(C907="","",IF(COUNTIFS(C$5:C907,C907,E$5:E907,E907)=1,1,0))</f>
        <v/>
      </c>
      <c r="L907">
        <f>IF(C907="",0,IF(AND(B907="brand",E907="budget_probe",N(F907)&gt;=Inputs!$C$114,H907="Y"),1,0))</f>
        <v/>
      </c>
      <c r="M907">
        <f>IF(L907=1,IF(COUNTIFS(C$5:C907,C907,L$5:L907,1)=1,1,0),0)</f>
        <v/>
      </c>
      <c r="N907">
        <f>IF(C907="",0,IF(AND(B907="office",E907="budget_probe",N(F907)&gt;=Inputs!$C$129),1,0))</f>
        <v/>
      </c>
      <c r="O907">
        <f>IF(N907=1,IF(COUNTIFS(C$5:C907,C907,N$5:N907,1)=1,1,0),0)</f>
        <v/>
      </c>
      <c r="P907">
        <f>IF(C907="",0,IF(AND(B907="brand",E907="renewal_answer",N(F907)&gt;=Inputs!$C$125),1,0))</f>
        <v/>
      </c>
      <c r="Q907">
        <f>IF(AND(B907="office",E907="budget_probe",ISNUMBER(F907)),F907,"")</f>
        <v/>
      </c>
      <c r="R907">
        <f>IF(AND(B907="brand",E907="budget_probe",ISNUMBER(F907)),F907,"")</f>
        <v/>
      </c>
    </row>
    <row r="908">
      <c r="A908" s="91" t="n"/>
      <c r="B908" s="92" t="n"/>
      <c r="C908" s="92" t="n"/>
      <c r="D908" s="92" t="n"/>
      <c r="E908" s="92" t="n"/>
      <c r="F908" s="92" t="n"/>
      <c r="G908" s="92" t="n"/>
      <c r="H908" s="92" t="n"/>
      <c r="I908" s="92" t="n"/>
      <c r="K908">
        <f>IF(C908="","",IF(COUNTIFS(C$5:C908,C908,E$5:E908,E908)=1,1,0))</f>
        <v/>
      </c>
      <c r="L908">
        <f>IF(C908="",0,IF(AND(B908="brand",E908="budget_probe",N(F908)&gt;=Inputs!$C$114,H908="Y"),1,0))</f>
        <v/>
      </c>
      <c r="M908">
        <f>IF(L908=1,IF(COUNTIFS(C$5:C908,C908,L$5:L908,1)=1,1,0),0)</f>
        <v/>
      </c>
      <c r="N908">
        <f>IF(C908="",0,IF(AND(B908="office",E908="budget_probe",N(F908)&gt;=Inputs!$C$129),1,0))</f>
        <v/>
      </c>
      <c r="O908">
        <f>IF(N908=1,IF(COUNTIFS(C$5:C908,C908,N$5:N908,1)=1,1,0),0)</f>
        <v/>
      </c>
      <c r="P908">
        <f>IF(C908="",0,IF(AND(B908="brand",E908="renewal_answer",N(F908)&gt;=Inputs!$C$125),1,0))</f>
        <v/>
      </c>
      <c r="Q908">
        <f>IF(AND(B908="office",E908="budget_probe",ISNUMBER(F908)),F908,"")</f>
        <v/>
      </c>
      <c r="R908">
        <f>IF(AND(B908="brand",E908="budget_probe",ISNUMBER(F908)),F908,"")</f>
        <v/>
      </c>
    </row>
    <row r="909">
      <c r="A909" s="91" t="n"/>
      <c r="B909" s="92" t="n"/>
      <c r="C909" s="92" t="n"/>
      <c r="D909" s="92" t="n"/>
      <c r="E909" s="92" t="n"/>
      <c r="F909" s="92" t="n"/>
      <c r="G909" s="92" t="n"/>
      <c r="H909" s="92" t="n"/>
      <c r="I909" s="92" t="n"/>
      <c r="K909">
        <f>IF(C909="","",IF(COUNTIFS(C$5:C909,C909,E$5:E909,E909)=1,1,0))</f>
        <v/>
      </c>
      <c r="L909">
        <f>IF(C909="",0,IF(AND(B909="brand",E909="budget_probe",N(F909)&gt;=Inputs!$C$114,H909="Y"),1,0))</f>
        <v/>
      </c>
      <c r="M909">
        <f>IF(L909=1,IF(COUNTIFS(C$5:C909,C909,L$5:L909,1)=1,1,0),0)</f>
        <v/>
      </c>
      <c r="N909">
        <f>IF(C909="",0,IF(AND(B909="office",E909="budget_probe",N(F909)&gt;=Inputs!$C$129),1,0))</f>
        <v/>
      </c>
      <c r="O909">
        <f>IF(N909=1,IF(COUNTIFS(C$5:C909,C909,N$5:N909,1)=1,1,0),0)</f>
        <v/>
      </c>
      <c r="P909">
        <f>IF(C909="",0,IF(AND(B909="brand",E909="renewal_answer",N(F909)&gt;=Inputs!$C$125),1,0))</f>
        <v/>
      </c>
      <c r="Q909">
        <f>IF(AND(B909="office",E909="budget_probe",ISNUMBER(F909)),F909,"")</f>
        <v/>
      </c>
      <c r="R909">
        <f>IF(AND(B909="brand",E909="budget_probe",ISNUMBER(F909)),F909,"")</f>
        <v/>
      </c>
    </row>
    <row r="910">
      <c r="A910" s="91" t="n"/>
      <c r="B910" s="92" t="n"/>
      <c r="C910" s="92" t="n"/>
      <c r="D910" s="92" t="n"/>
      <c r="E910" s="92" t="n"/>
      <c r="F910" s="92" t="n"/>
      <c r="G910" s="92" t="n"/>
      <c r="H910" s="92" t="n"/>
      <c r="I910" s="92" t="n"/>
      <c r="K910">
        <f>IF(C910="","",IF(COUNTIFS(C$5:C910,C910,E$5:E910,E910)=1,1,0))</f>
        <v/>
      </c>
      <c r="L910">
        <f>IF(C910="",0,IF(AND(B910="brand",E910="budget_probe",N(F910)&gt;=Inputs!$C$114,H910="Y"),1,0))</f>
        <v/>
      </c>
      <c r="M910">
        <f>IF(L910=1,IF(COUNTIFS(C$5:C910,C910,L$5:L910,1)=1,1,0),0)</f>
        <v/>
      </c>
      <c r="N910">
        <f>IF(C910="",0,IF(AND(B910="office",E910="budget_probe",N(F910)&gt;=Inputs!$C$129),1,0))</f>
        <v/>
      </c>
      <c r="O910">
        <f>IF(N910=1,IF(COUNTIFS(C$5:C910,C910,N$5:N910,1)=1,1,0),0)</f>
        <v/>
      </c>
      <c r="P910">
        <f>IF(C910="",0,IF(AND(B910="brand",E910="renewal_answer",N(F910)&gt;=Inputs!$C$125),1,0))</f>
        <v/>
      </c>
      <c r="Q910">
        <f>IF(AND(B910="office",E910="budget_probe",ISNUMBER(F910)),F910,"")</f>
        <v/>
      </c>
      <c r="R910">
        <f>IF(AND(B910="brand",E910="budget_probe",ISNUMBER(F910)),F910,"")</f>
        <v/>
      </c>
    </row>
    <row r="911">
      <c r="A911" s="91" t="n"/>
      <c r="B911" s="92" t="n"/>
      <c r="C911" s="92" t="n"/>
      <c r="D911" s="92" t="n"/>
      <c r="E911" s="92" t="n"/>
      <c r="F911" s="92" t="n"/>
      <c r="G911" s="92" t="n"/>
      <c r="H911" s="92" t="n"/>
      <c r="I911" s="92" t="n"/>
      <c r="K911">
        <f>IF(C911="","",IF(COUNTIFS(C$5:C911,C911,E$5:E911,E911)=1,1,0))</f>
        <v/>
      </c>
      <c r="L911">
        <f>IF(C911="",0,IF(AND(B911="brand",E911="budget_probe",N(F911)&gt;=Inputs!$C$114,H911="Y"),1,0))</f>
        <v/>
      </c>
      <c r="M911">
        <f>IF(L911=1,IF(COUNTIFS(C$5:C911,C911,L$5:L911,1)=1,1,0),0)</f>
        <v/>
      </c>
      <c r="N911">
        <f>IF(C911="",0,IF(AND(B911="office",E911="budget_probe",N(F911)&gt;=Inputs!$C$129),1,0))</f>
        <v/>
      </c>
      <c r="O911">
        <f>IF(N911=1,IF(COUNTIFS(C$5:C911,C911,N$5:N911,1)=1,1,0),0)</f>
        <v/>
      </c>
      <c r="P911">
        <f>IF(C911="",0,IF(AND(B911="brand",E911="renewal_answer",N(F911)&gt;=Inputs!$C$125),1,0))</f>
        <v/>
      </c>
      <c r="Q911">
        <f>IF(AND(B911="office",E911="budget_probe",ISNUMBER(F911)),F911,"")</f>
        <v/>
      </c>
      <c r="R911">
        <f>IF(AND(B911="brand",E911="budget_probe",ISNUMBER(F911)),F911,"")</f>
        <v/>
      </c>
    </row>
    <row r="912">
      <c r="A912" s="91" t="n"/>
      <c r="B912" s="92" t="n"/>
      <c r="C912" s="92" t="n"/>
      <c r="D912" s="92" t="n"/>
      <c r="E912" s="92" t="n"/>
      <c r="F912" s="92" t="n"/>
      <c r="G912" s="92" t="n"/>
      <c r="H912" s="92" t="n"/>
      <c r="I912" s="92" t="n"/>
      <c r="K912">
        <f>IF(C912="","",IF(COUNTIFS(C$5:C912,C912,E$5:E912,E912)=1,1,0))</f>
        <v/>
      </c>
      <c r="L912">
        <f>IF(C912="",0,IF(AND(B912="brand",E912="budget_probe",N(F912)&gt;=Inputs!$C$114,H912="Y"),1,0))</f>
        <v/>
      </c>
      <c r="M912">
        <f>IF(L912=1,IF(COUNTIFS(C$5:C912,C912,L$5:L912,1)=1,1,0),0)</f>
        <v/>
      </c>
      <c r="N912">
        <f>IF(C912="",0,IF(AND(B912="office",E912="budget_probe",N(F912)&gt;=Inputs!$C$129),1,0))</f>
        <v/>
      </c>
      <c r="O912">
        <f>IF(N912=1,IF(COUNTIFS(C$5:C912,C912,N$5:N912,1)=1,1,0),0)</f>
        <v/>
      </c>
      <c r="P912">
        <f>IF(C912="",0,IF(AND(B912="brand",E912="renewal_answer",N(F912)&gt;=Inputs!$C$125),1,0))</f>
        <v/>
      </c>
      <c r="Q912">
        <f>IF(AND(B912="office",E912="budget_probe",ISNUMBER(F912)),F912,"")</f>
        <v/>
      </c>
      <c r="R912">
        <f>IF(AND(B912="brand",E912="budget_probe",ISNUMBER(F912)),F912,"")</f>
        <v/>
      </c>
    </row>
    <row r="913">
      <c r="A913" s="91" t="n"/>
      <c r="B913" s="92" t="n"/>
      <c r="C913" s="92" t="n"/>
      <c r="D913" s="92" t="n"/>
      <c r="E913" s="92" t="n"/>
      <c r="F913" s="92" t="n"/>
      <c r="G913" s="92" t="n"/>
      <c r="H913" s="92" t="n"/>
      <c r="I913" s="92" t="n"/>
      <c r="K913">
        <f>IF(C913="","",IF(COUNTIFS(C$5:C913,C913,E$5:E913,E913)=1,1,0))</f>
        <v/>
      </c>
      <c r="L913">
        <f>IF(C913="",0,IF(AND(B913="brand",E913="budget_probe",N(F913)&gt;=Inputs!$C$114,H913="Y"),1,0))</f>
        <v/>
      </c>
      <c r="M913">
        <f>IF(L913=1,IF(COUNTIFS(C$5:C913,C913,L$5:L913,1)=1,1,0),0)</f>
        <v/>
      </c>
      <c r="N913">
        <f>IF(C913="",0,IF(AND(B913="office",E913="budget_probe",N(F913)&gt;=Inputs!$C$129),1,0))</f>
        <v/>
      </c>
      <c r="O913">
        <f>IF(N913=1,IF(COUNTIFS(C$5:C913,C913,N$5:N913,1)=1,1,0),0)</f>
        <v/>
      </c>
      <c r="P913">
        <f>IF(C913="",0,IF(AND(B913="brand",E913="renewal_answer",N(F913)&gt;=Inputs!$C$125),1,0))</f>
        <v/>
      </c>
      <c r="Q913">
        <f>IF(AND(B913="office",E913="budget_probe",ISNUMBER(F913)),F913,"")</f>
        <v/>
      </c>
      <c r="R913">
        <f>IF(AND(B913="brand",E913="budget_probe",ISNUMBER(F913)),F913,"")</f>
        <v/>
      </c>
    </row>
    <row r="914">
      <c r="A914" s="91" t="n"/>
      <c r="B914" s="92" t="n"/>
      <c r="C914" s="92" t="n"/>
      <c r="D914" s="92" t="n"/>
      <c r="E914" s="92" t="n"/>
      <c r="F914" s="92" t="n"/>
      <c r="G914" s="92" t="n"/>
      <c r="H914" s="92" t="n"/>
      <c r="I914" s="92" t="n"/>
      <c r="K914">
        <f>IF(C914="","",IF(COUNTIFS(C$5:C914,C914,E$5:E914,E914)=1,1,0))</f>
        <v/>
      </c>
      <c r="L914">
        <f>IF(C914="",0,IF(AND(B914="brand",E914="budget_probe",N(F914)&gt;=Inputs!$C$114,H914="Y"),1,0))</f>
        <v/>
      </c>
      <c r="M914">
        <f>IF(L914=1,IF(COUNTIFS(C$5:C914,C914,L$5:L914,1)=1,1,0),0)</f>
        <v/>
      </c>
      <c r="N914">
        <f>IF(C914="",0,IF(AND(B914="office",E914="budget_probe",N(F914)&gt;=Inputs!$C$129),1,0))</f>
        <v/>
      </c>
      <c r="O914">
        <f>IF(N914=1,IF(COUNTIFS(C$5:C914,C914,N$5:N914,1)=1,1,0),0)</f>
        <v/>
      </c>
      <c r="P914">
        <f>IF(C914="",0,IF(AND(B914="brand",E914="renewal_answer",N(F914)&gt;=Inputs!$C$125),1,0))</f>
        <v/>
      </c>
      <c r="Q914">
        <f>IF(AND(B914="office",E914="budget_probe",ISNUMBER(F914)),F914,"")</f>
        <v/>
      </c>
      <c r="R914">
        <f>IF(AND(B914="brand",E914="budget_probe",ISNUMBER(F914)),F914,"")</f>
        <v/>
      </c>
    </row>
    <row r="915">
      <c r="A915" s="91" t="n"/>
      <c r="B915" s="92" t="n"/>
      <c r="C915" s="92" t="n"/>
      <c r="D915" s="92" t="n"/>
      <c r="E915" s="92" t="n"/>
      <c r="F915" s="92" t="n"/>
      <c r="G915" s="92" t="n"/>
      <c r="H915" s="92" t="n"/>
      <c r="I915" s="92" t="n"/>
      <c r="K915">
        <f>IF(C915="","",IF(COUNTIFS(C$5:C915,C915,E$5:E915,E915)=1,1,0))</f>
        <v/>
      </c>
      <c r="L915">
        <f>IF(C915="",0,IF(AND(B915="brand",E915="budget_probe",N(F915)&gt;=Inputs!$C$114,H915="Y"),1,0))</f>
        <v/>
      </c>
      <c r="M915">
        <f>IF(L915=1,IF(COUNTIFS(C$5:C915,C915,L$5:L915,1)=1,1,0),0)</f>
        <v/>
      </c>
      <c r="N915">
        <f>IF(C915="",0,IF(AND(B915="office",E915="budget_probe",N(F915)&gt;=Inputs!$C$129),1,0))</f>
        <v/>
      </c>
      <c r="O915">
        <f>IF(N915=1,IF(COUNTIFS(C$5:C915,C915,N$5:N915,1)=1,1,0),0)</f>
        <v/>
      </c>
      <c r="P915">
        <f>IF(C915="",0,IF(AND(B915="brand",E915="renewal_answer",N(F915)&gt;=Inputs!$C$125),1,0))</f>
        <v/>
      </c>
      <c r="Q915">
        <f>IF(AND(B915="office",E915="budget_probe",ISNUMBER(F915)),F915,"")</f>
        <v/>
      </c>
      <c r="R915">
        <f>IF(AND(B915="brand",E915="budget_probe",ISNUMBER(F915)),F915,"")</f>
        <v/>
      </c>
    </row>
    <row r="916">
      <c r="A916" s="91" t="n"/>
      <c r="B916" s="92" t="n"/>
      <c r="C916" s="92" t="n"/>
      <c r="D916" s="92" t="n"/>
      <c r="E916" s="92" t="n"/>
      <c r="F916" s="92" t="n"/>
      <c r="G916" s="92" t="n"/>
      <c r="H916" s="92" t="n"/>
      <c r="I916" s="92" t="n"/>
      <c r="K916">
        <f>IF(C916="","",IF(COUNTIFS(C$5:C916,C916,E$5:E916,E916)=1,1,0))</f>
        <v/>
      </c>
      <c r="L916">
        <f>IF(C916="",0,IF(AND(B916="brand",E916="budget_probe",N(F916)&gt;=Inputs!$C$114,H916="Y"),1,0))</f>
        <v/>
      </c>
      <c r="M916">
        <f>IF(L916=1,IF(COUNTIFS(C$5:C916,C916,L$5:L916,1)=1,1,0),0)</f>
        <v/>
      </c>
      <c r="N916">
        <f>IF(C916="",0,IF(AND(B916="office",E916="budget_probe",N(F916)&gt;=Inputs!$C$129),1,0))</f>
        <v/>
      </c>
      <c r="O916">
        <f>IF(N916=1,IF(COUNTIFS(C$5:C916,C916,N$5:N916,1)=1,1,0),0)</f>
        <v/>
      </c>
      <c r="P916">
        <f>IF(C916="",0,IF(AND(B916="brand",E916="renewal_answer",N(F916)&gt;=Inputs!$C$125),1,0))</f>
        <v/>
      </c>
      <c r="Q916">
        <f>IF(AND(B916="office",E916="budget_probe",ISNUMBER(F916)),F916,"")</f>
        <v/>
      </c>
      <c r="R916">
        <f>IF(AND(B916="brand",E916="budget_probe",ISNUMBER(F916)),F916,"")</f>
        <v/>
      </c>
    </row>
    <row r="917">
      <c r="A917" s="91" t="n"/>
      <c r="B917" s="92" t="n"/>
      <c r="C917" s="92" t="n"/>
      <c r="D917" s="92" t="n"/>
      <c r="E917" s="92" t="n"/>
      <c r="F917" s="92" t="n"/>
      <c r="G917" s="92" t="n"/>
      <c r="H917" s="92" t="n"/>
      <c r="I917" s="92" t="n"/>
      <c r="K917">
        <f>IF(C917="","",IF(COUNTIFS(C$5:C917,C917,E$5:E917,E917)=1,1,0))</f>
        <v/>
      </c>
      <c r="L917">
        <f>IF(C917="",0,IF(AND(B917="brand",E917="budget_probe",N(F917)&gt;=Inputs!$C$114,H917="Y"),1,0))</f>
        <v/>
      </c>
      <c r="M917">
        <f>IF(L917=1,IF(COUNTIFS(C$5:C917,C917,L$5:L917,1)=1,1,0),0)</f>
        <v/>
      </c>
      <c r="N917">
        <f>IF(C917="",0,IF(AND(B917="office",E917="budget_probe",N(F917)&gt;=Inputs!$C$129),1,0))</f>
        <v/>
      </c>
      <c r="O917">
        <f>IF(N917=1,IF(COUNTIFS(C$5:C917,C917,N$5:N917,1)=1,1,0),0)</f>
        <v/>
      </c>
      <c r="P917">
        <f>IF(C917="",0,IF(AND(B917="brand",E917="renewal_answer",N(F917)&gt;=Inputs!$C$125),1,0))</f>
        <v/>
      </c>
      <c r="Q917">
        <f>IF(AND(B917="office",E917="budget_probe",ISNUMBER(F917)),F917,"")</f>
        <v/>
      </c>
      <c r="R917">
        <f>IF(AND(B917="brand",E917="budget_probe",ISNUMBER(F917)),F917,"")</f>
        <v/>
      </c>
    </row>
    <row r="918">
      <c r="A918" s="91" t="n"/>
      <c r="B918" s="92" t="n"/>
      <c r="C918" s="92" t="n"/>
      <c r="D918" s="92" t="n"/>
      <c r="E918" s="92" t="n"/>
      <c r="F918" s="92" t="n"/>
      <c r="G918" s="92" t="n"/>
      <c r="H918" s="92" t="n"/>
      <c r="I918" s="92" t="n"/>
      <c r="K918">
        <f>IF(C918="","",IF(COUNTIFS(C$5:C918,C918,E$5:E918,E918)=1,1,0))</f>
        <v/>
      </c>
      <c r="L918">
        <f>IF(C918="",0,IF(AND(B918="brand",E918="budget_probe",N(F918)&gt;=Inputs!$C$114,H918="Y"),1,0))</f>
        <v/>
      </c>
      <c r="M918">
        <f>IF(L918=1,IF(COUNTIFS(C$5:C918,C918,L$5:L918,1)=1,1,0),0)</f>
        <v/>
      </c>
      <c r="N918">
        <f>IF(C918="",0,IF(AND(B918="office",E918="budget_probe",N(F918)&gt;=Inputs!$C$129),1,0))</f>
        <v/>
      </c>
      <c r="O918">
        <f>IF(N918=1,IF(COUNTIFS(C$5:C918,C918,N$5:N918,1)=1,1,0),0)</f>
        <v/>
      </c>
      <c r="P918">
        <f>IF(C918="",0,IF(AND(B918="brand",E918="renewal_answer",N(F918)&gt;=Inputs!$C$125),1,0))</f>
        <v/>
      </c>
      <c r="Q918">
        <f>IF(AND(B918="office",E918="budget_probe",ISNUMBER(F918)),F918,"")</f>
        <v/>
      </c>
      <c r="R918">
        <f>IF(AND(B918="brand",E918="budget_probe",ISNUMBER(F918)),F918,"")</f>
        <v/>
      </c>
    </row>
    <row r="919">
      <c r="A919" s="91" t="n"/>
      <c r="B919" s="92" t="n"/>
      <c r="C919" s="92" t="n"/>
      <c r="D919" s="92" t="n"/>
      <c r="E919" s="92" t="n"/>
      <c r="F919" s="92" t="n"/>
      <c r="G919" s="92" t="n"/>
      <c r="H919" s="92" t="n"/>
      <c r="I919" s="92" t="n"/>
      <c r="K919">
        <f>IF(C919="","",IF(COUNTIFS(C$5:C919,C919,E$5:E919,E919)=1,1,0))</f>
        <v/>
      </c>
      <c r="L919">
        <f>IF(C919="",0,IF(AND(B919="brand",E919="budget_probe",N(F919)&gt;=Inputs!$C$114,H919="Y"),1,0))</f>
        <v/>
      </c>
      <c r="M919">
        <f>IF(L919=1,IF(COUNTIFS(C$5:C919,C919,L$5:L919,1)=1,1,0),0)</f>
        <v/>
      </c>
      <c r="N919">
        <f>IF(C919="",0,IF(AND(B919="office",E919="budget_probe",N(F919)&gt;=Inputs!$C$129),1,0))</f>
        <v/>
      </c>
      <c r="O919">
        <f>IF(N919=1,IF(COUNTIFS(C$5:C919,C919,N$5:N919,1)=1,1,0),0)</f>
        <v/>
      </c>
      <c r="P919">
        <f>IF(C919="",0,IF(AND(B919="brand",E919="renewal_answer",N(F919)&gt;=Inputs!$C$125),1,0))</f>
        <v/>
      </c>
      <c r="Q919">
        <f>IF(AND(B919="office",E919="budget_probe",ISNUMBER(F919)),F919,"")</f>
        <v/>
      </c>
      <c r="R919">
        <f>IF(AND(B919="brand",E919="budget_probe",ISNUMBER(F919)),F919,"")</f>
        <v/>
      </c>
    </row>
    <row r="920">
      <c r="A920" s="91" t="n"/>
      <c r="B920" s="92" t="n"/>
      <c r="C920" s="92" t="n"/>
      <c r="D920" s="92" t="n"/>
      <c r="E920" s="92" t="n"/>
      <c r="F920" s="92" t="n"/>
      <c r="G920" s="92" t="n"/>
      <c r="H920" s="92" t="n"/>
      <c r="I920" s="92" t="n"/>
      <c r="K920">
        <f>IF(C920="","",IF(COUNTIFS(C$5:C920,C920,E$5:E920,E920)=1,1,0))</f>
        <v/>
      </c>
      <c r="L920">
        <f>IF(C920="",0,IF(AND(B920="brand",E920="budget_probe",N(F920)&gt;=Inputs!$C$114,H920="Y"),1,0))</f>
        <v/>
      </c>
      <c r="M920">
        <f>IF(L920=1,IF(COUNTIFS(C$5:C920,C920,L$5:L920,1)=1,1,0),0)</f>
        <v/>
      </c>
      <c r="N920">
        <f>IF(C920="",0,IF(AND(B920="office",E920="budget_probe",N(F920)&gt;=Inputs!$C$129),1,0))</f>
        <v/>
      </c>
      <c r="O920">
        <f>IF(N920=1,IF(COUNTIFS(C$5:C920,C920,N$5:N920,1)=1,1,0),0)</f>
        <v/>
      </c>
      <c r="P920">
        <f>IF(C920="",0,IF(AND(B920="brand",E920="renewal_answer",N(F920)&gt;=Inputs!$C$125),1,0))</f>
        <v/>
      </c>
      <c r="Q920">
        <f>IF(AND(B920="office",E920="budget_probe",ISNUMBER(F920)),F920,"")</f>
        <v/>
      </c>
      <c r="R920">
        <f>IF(AND(B920="brand",E920="budget_probe",ISNUMBER(F920)),F920,"")</f>
        <v/>
      </c>
    </row>
    <row r="921">
      <c r="A921" s="91" t="n"/>
      <c r="B921" s="92" t="n"/>
      <c r="C921" s="92" t="n"/>
      <c r="D921" s="92" t="n"/>
      <c r="E921" s="92" t="n"/>
      <c r="F921" s="92" t="n"/>
      <c r="G921" s="92" t="n"/>
      <c r="H921" s="92" t="n"/>
      <c r="I921" s="92" t="n"/>
      <c r="K921">
        <f>IF(C921="","",IF(COUNTIFS(C$5:C921,C921,E$5:E921,E921)=1,1,0))</f>
        <v/>
      </c>
      <c r="L921">
        <f>IF(C921="",0,IF(AND(B921="brand",E921="budget_probe",N(F921)&gt;=Inputs!$C$114,H921="Y"),1,0))</f>
        <v/>
      </c>
      <c r="M921">
        <f>IF(L921=1,IF(COUNTIFS(C$5:C921,C921,L$5:L921,1)=1,1,0),0)</f>
        <v/>
      </c>
      <c r="N921">
        <f>IF(C921="",0,IF(AND(B921="office",E921="budget_probe",N(F921)&gt;=Inputs!$C$129),1,0))</f>
        <v/>
      </c>
      <c r="O921">
        <f>IF(N921=1,IF(COUNTIFS(C$5:C921,C921,N$5:N921,1)=1,1,0),0)</f>
        <v/>
      </c>
      <c r="P921">
        <f>IF(C921="",0,IF(AND(B921="brand",E921="renewal_answer",N(F921)&gt;=Inputs!$C$125),1,0))</f>
        <v/>
      </c>
      <c r="Q921">
        <f>IF(AND(B921="office",E921="budget_probe",ISNUMBER(F921)),F921,"")</f>
        <v/>
      </c>
      <c r="R921">
        <f>IF(AND(B921="brand",E921="budget_probe",ISNUMBER(F921)),F921,"")</f>
        <v/>
      </c>
    </row>
    <row r="922">
      <c r="A922" s="91" t="n"/>
      <c r="B922" s="92" t="n"/>
      <c r="C922" s="92" t="n"/>
      <c r="D922" s="92" t="n"/>
      <c r="E922" s="92" t="n"/>
      <c r="F922" s="92" t="n"/>
      <c r="G922" s="92" t="n"/>
      <c r="H922" s="92" t="n"/>
      <c r="I922" s="92" t="n"/>
      <c r="K922">
        <f>IF(C922="","",IF(COUNTIFS(C$5:C922,C922,E$5:E922,E922)=1,1,0))</f>
        <v/>
      </c>
      <c r="L922">
        <f>IF(C922="",0,IF(AND(B922="brand",E922="budget_probe",N(F922)&gt;=Inputs!$C$114,H922="Y"),1,0))</f>
        <v/>
      </c>
      <c r="M922">
        <f>IF(L922=1,IF(COUNTIFS(C$5:C922,C922,L$5:L922,1)=1,1,0),0)</f>
        <v/>
      </c>
      <c r="N922">
        <f>IF(C922="",0,IF(AND(B922="office",E922="budget_probe",N(F922)&gt;=Inputs!$C$129),1,0))</f>
        <v/>
      </c>
      <c r="O922">
        <f>IF(N922=1,IF(COUNTIFS(C$5:C922,C922,N$5:N922,1)=1,1,0),0)</f>
        <v/>
      </c>
      <c r="P922">
        <f>IF(C922="",0,IF(AND(B922="brand",E922="renewal_answer",N(F922)&gt;=Inputs!$C$125),1,0))</f>
        <v/>
      </c>
      <c r="Q922">
        <f>IF(AND(B922="office",E922="budget_probe",ISNUMBER(F922)),F922,"")</f>
        <v/>
      </c>
      <c r="R922">
        <f>IF(AND(B922="brand",E922="budget_probe",ISNUMBER(F922)),F922,"")</f>
        <v/>
      </c>
    </row>
    <row r="923">
      <c r="A923" s="91" t="n"/>
      <c r="B923" s="92" t="n"/>
      <c r="C923" s="92" t="n"/>
      <c r="D923" s="92" t="n"/>
      <c r="E923" s="92" t="n"/>
      <c r="F923" s="92" t="n"/>
      <c r="G923" s="92" t="n"/>
      <c r="H923" s="92" t="n"/>
      <c r="I923" s="92" t="n"/>
      <c r="K923">
        <f>IF(C923="","",IF(COUNTIFS(C$5:C923,C923,E$5:E923,E923)=1,1,0))</f>
        <v/>
      </c>
      <c r="L923">
        <f>IF(C923="",0,IF(AND(B923="brand",E923="budget_probe",N(F923)&gt;=Inputs!$C$114,H923="Y"),1,0))</f>
        <v/>
      </c>
      <c r="M923">
        <f>IF(L923=1,IF(COUNTIFS(C$5:C923,C923,L$5:L923,1)=1,1,0),0)</f>
        <v/>
      </c>
      <c r="N923">
        <f>IF(C923="",0,IF(AND(B923="office",E923="budget_probe",N(F923)&gt;=Inputs!$C$129),1,0))</f>
        <v/>
      </c>
      <c r="O923">
        <f>IF(N923=1,IF(COUNTIFS(C$5:C923,C923,N$5:N923,1)=1,1,0),0)</f>
        <v/>
      </c>
      <c r="P923">
        <f>IF(C923="",0,IF(AND(B923="brand",E923="renewal_answer",N(F923)&gt;=Inputs!$C$125),1,0))</f>
        <v/>
      </c>
      <c r="Q923">
        <f>IF(AND(B923="office",E923="budget_probe",ISNUMBER(F923)),F923,"")</f>
        <v/>
      </c>
      <c r="R923">
        <f>IF(AND(B923="brand",E923="budget_probe",ISNUMBER(F923)),F923,"")</f>
        <v/>
      </c>
    </row>
    <row r="924">
      <c r="A924" s="91" t="n"/>
      <c r="B924" s="92" t="n"/>
      <c r="C924" s="92" t="n"/>
      <c r="D924" s="92" t="n"/>
      <c r="E924" s="92" t="n"/>
      <c r="F924" s="92" t="n"/>
      <c r="G924" s="92" t="n"/>
      <c r="H924" s="92" t="n"/>
      <c r="I924" s="92" t="n"/>
      <c r="K924">
        <f>IF(C924="","",IF(COUNTIFS(C$5:C924,C924,E$5:E924,E924)=1,1,0))</f>
        <v/>
      </c>
      <c r="L924">
        <f>IF(C924="",0,IF(AND(B924="brand",E924="budget_probe",N(F924)&gt;=Inputs!$C$114,H924="Y"),1,0))</f>
        <v/>
      </c>
      <c r="M924">
        <f>IF(L924=1,IF(COUNTIFS(C$5:C924,C924,L$5:L924,1)=1,1,0),0)</f>
        <v/>
      </c>
      <c r="N924">
        <f>IF(C924="",0,IF(AND(B924="office",E924="budget_probe",N(F924)&gt;=Inputs!$C$129),1,0))</f>
        <v/>
      </c>
      <c r="O924">
        <f>IF(N924=1,IF(COUNTIFS(C$5:C924,C924,N$5:N924,1)=1,1,0),0)</f>
        <v/>
      </c>
      <c r="P924">
        <f>IF(C924="",0,IF(AND(B924="brand",E924="renewal_answer",N(F924)&gt;=Inputs!$C$125),1,0))</f>
        <v/>
      </c>
      <c r="Q924">
        <f>IF(AND(B924="office",E924="budget_probe",ISNUMBER(F924)),F924,"")</f>
        <v/>
      </c>
      <c r="R924">
        <f>IF(AND(B924="brand",E924="budget_probe",ISNUMBER(F924)),F924,"")</f>
        <v/>
      </c>
    </row>
    <row r="925">
      <c r="A925" s="91" t="n"/>
      <c r="B925" s="92" t="n"/>
      <c r="C925" s="92" t="n"/>
      <c r="D925" s="92" t="n"/>
      <c r="E925" s="92" t="n"/>
      <c r="F925" s="92" t="n"/>
      <c r="G925" s="92" t="n"/>
      <c r="H925" s="92" t="n"/>
      <c r="I925" s="92" t="n"/>
      <c r="K925">
        <f>IF(C925="","",IF(COUNTIFS(C$5:C925,C925,E$5:E925,E925)=1,1,0))</f>
        <v/>
      </c>
      <c r="L925">
        <f>IF(C925="",0,IF(AND(B925="brand",E925="budget_probe",N(F925)&gt;=Inputs!$C$114,H925="Y"),1,0))</f>
        <v/>
      </c>
      <c r="M925">
        <f>IF(L925=1,IF(COUNTIFS(C$5:C925,C925,L$5:L925,1)=1,1,0),0)</f>
        <v/>
      </c>
      <c r="N925">
        <f>IF(C925="",0,IF(AND(B925="office",E925="budget_probe",N(F925)&gt;=Inputs!$C$129),1,0))</f>
        <v/>
      </c>
      <c r="O925">
        <f>IF(N925=1,IF(COUNTIFS(C$5:C925,C925,N$5:N925,1)=1,1,0),0)</f>
        <v/>
      </c>
      <c r="P925">
        <f>IF(C925="",0,IF(AND(B925="brand",E925="renewal_answer",N(F925)&gt;=Inputs!$C$125),1,0))</f>
        <v/>
      </c>
      <c r="Q925">
        <f>IF(AND(B925="office",E925="budget_probe",ISNUMBER(F925)),F925,"")</f>
        <v/>
      </c>
      <c r="R925">
        <f>IF(AND(B925="brand",E925="budget_probe",ISNUMBER(F925)),F925,"")</f>
        <v/>
      </c>
    </row>
    <row r="926">
      <c r="A926" s="91" t="n"/>
      <c r="B926" s="92" t="n"/>
      <c r="C926" s="92" t="n"/>
      <c r="D926" s="92" t="n"/>
      <c r="E926" s="92" t="n"/>
      <c r="F926" s="92" t="n"/>
      <c r="G926" s="92" t="n"/>
      <c r="H926" s="92" t="n"/>
      <c r="I926" s="92" t="n"/>
      <c r="K926">
        <f>IF(C926="","",IF(COUNTIFS(C$5:C926,C926,E$5:E926,E926)=1,1,0))</f>
        <v/>
      </c>
      <c r="L926">
        <f>IF(C926="",0,IF(AND(B926="brand",E926="budget_probe",N(F926)&gt;=Inputs!$C$114,H926="Y"),1,0))</f>
        <v/>
      </c>
      <c r="M926">
        <f>IF(L926=1,IF(COUNTIFS(C$5:C926,C926,L$5:L926,1)=1,1,0),0)</f>
        <v/>
      </c>
      <c r="N926">
        <f>IF(C926="",0,IF(AND(B926="office",E926="budget_probe",N(F926)&gt;=Inputs!$C$129),1,0))</f>
        <v/>
      </c>
      <c r="O926">
        <f>IF(N926=1,IF(COUNTIFS(C$5:C926,C926,N$5:N926,1)=1,1,0),0)</f>
        <v/>
      </c>
      <c r="P926">
        <f>IF(C926="",0,IF(AND(B926="brand",E926="renewal_answer",N(F926)&gt;=Inputs!$C$125),1,0))</f>
        <v/>
      </c>
      <c r="Q926">
        <f>IF(AND(B926="office",E926="budget_probe",ISNUMBER(F926)),F926,"")</f>
        <v/>
      </c>
      <c r="R926">
        <f>IF(AND(B926="brand",E926="budget_probe",ISNUMBER(F926)),F926,"")</f>
        <v/>
      </c>
    </row>
    <row r="927">
      <c r="A927" s="91" t="n"/>
      <c r="B927" s="92" t="n"/>
      <c r="C927" s="92" t="n"/>
      <c r="D927" s="92" t="n"/>
      <c r="E927" s="92" t="n"/>
      <c r="F927" s="92" t="n"/>
      <c r="G927" s="92" t="n"/>
      <c r="H927" s="92" t="n"/>
      <c r="I927" s="92" t="n"/>
      <c r="K927">
        <f>IF(C927="","",IF(COUNTIFS(C$5:C927,C927,E$5:E927,E927)=1,1,0))</f>
        <v/>
      </c>
      <c r="L927">
        <f>IF(C927="",0,IF(AND(B927="brand",E927="budget_probe",N(F927)&gt;=Inputs!$C$114,H927="Y"),1,0))</f>
        <v/>
      </c>
      <c r="M927">
        <f>IF(L927=1,IF(COUNTIFS(C$5:C927,C927,L$5:L927,1)=1,1,0),0)</f>
        <v/>
      </c>
      <c r="N927">
        <f>IF(C927="",0,IF(AND(B927="office",E927="budget_probe",N(F927)&gt;=Inputs!$C$129),1,0))</f>
        <v/>
      </c>
      <c r="O927">
        <f>IF(N927=1,IF(COUNTIFS(C$5:C927,C927,N$5:N927,1)=1,1,0),0)</f>
        <v/>
      </c>
      <c r="P927">
        <f>IF(C927="",0,IF(AND(B927="brand",E927="renewal_answer",N(F927)&gt;=Inputs!$C$125),1,0))</f>
        <v/>
      </c>
      <c r="Q927">
        <f>IF(AND(B927="office",E927="budget_probe",ISNUMBER(F927)),F927,"")</f>
        <v/>
      </c>
      <c r="R927">
        <f>IF(AND(B927="brand",E927="budget_probe",ISNUMBER(F927)),F927,"")</f>
        <v/>
      </c>
    </row>
    <row r="928">
      <c r="A928" s="91" t="n"/>
      <c r="B928" s="92" t="n"/>
      <c r="C928" s="92" t="n"/>
      <c r="D928" s="92" t="n"/>
      <c r="E928" s="92" t="n"/>
      <c r="F928" s="92" t="n"/>
      <c r="G928" s="92" t="n"/>
      <c r="H928" s="92" t="n"/>
      <c r="I928" s="92" t="n"/>
      <c r="K928">
        <f>IF(C928="","",IF(COUNTIFS(C$5:C928,C928,E$5:E928,E928)=1,1,0))</f>
        <v/>
      </c>
      <c r="L928">
        <f>IF(C928="",0,IF(AND(B928="brand",E928="budget_probe",N(F928)&gt;=Inputs!$C$114,H928="Y"),1,0))</f>
        <v/>
      </c>
      <c r="M928">
        <f>IF(L928=1,IF(COUNTIFS(C$5:C928,C928,L$5:L928,1)=1,1,0),0)</f>
        <v/>
      </c>
      <c r="N928">
        <f>IF(C928="",0,IF(AND(B928="office",E928="budget_probe",N(F928)&gt;=Inputs!$C$129),1,0))</f>
        <v/>
      </c>
      <c r="O928">
        <f>IF(N928=1,IF(COUNTIFS(C$5:C928,C928,N$5:N928,1)=1,1,0),0)</f>
        <v/>
      </c>
      <c r="P928">
        <f>IF(C928="",0,IF(AND(B928="brand",E928="renewal_answer",N(F928)&gt;=Inputs!$C$125),1,0))</f>
        <v/>
      </c>
      <c r="Q928">
        <f>IF(AND(B928="office",E928="budget_probe",ISNUMBER(F928)),F928,"")</f>
        <v/>
      </c>
      <c r="R928">
        <f>IF(AND(B928="brand",E928="budget_probe",ISNUMBER(F928)),F928,"")</f>
        <v/>
      </c>
    </row>
    <row r="929">
      <c r="A929" s="91" t="n"/>
      <c r="B929" s="92" t="n"/>
      <c r="C929" s="92" t="n"/>
      <c r="D929" s="92" t="n"/>
      <c r="E929" s="92" t="n"/>
      <c r="F929" s="92" t="n"/>
      <c r="G929" s="92" t="n"/>
      <c r="H929" s="92" t="n"/>
      <c r="I929" s="92" t="n"/>
      <c r="K929">
        <f>IF(C929="","",IF(COUNTIFS(C$5:C929,C929,E$5:E929,E929)=1,1,0))</f>
        <v/>
      </c>
      <c r="L929">
        <f>IF(C929="",0,IF(AND(B929="brand",E929="budget_probe",N(F929)&gt;=Inputs!$C$114,H929="Y"),1,0))</f>
        <v/>
      </c>
      <c r="M929">
        <f>IF(L929=1,IF(COUNTIFS(C$5:C929,C929,L$5:L929,1)=1,1,0),0)</f>
        <v/>
      </c>
      <c r="N929">
        <f>IF(C929="",0,IF(AND(B929="office",E929="budget_probe",N(F929)&gt;=Inputs!$C$129),1,0))</f>
        <v/>
      </c>
      <c r="O929">
        <f>IF(N929=1,IF(COUNTIFS(C$5:C929,C929,N$5:N929,1)=1,1,0),0)</f>
        <v/>
      </c>
      <c r="P929">
        <f>IF(C929="",0,IF(AND(B929="brand",E929="renewal_answer",N(F929)&gt;=Inputs!$C$125),1,0))</f>
        <v/>
      </c>
      <c r="Q929">
        <f>IF(AND(B929="office",E929="budget_probe",ISNUMBER(F929)),F929,"")</f>
        <v/>
      </c>
      <c r="R929">
        <f>IF(AND(B929="brand",E929="budget_probe",ISNUMBER(F929)),F929,"")</f>
        <v/>
      </c>
    </row>
    <row r="930">
      <c r="A930" s="91" t="n"/>
      <c r="B930" s="92" t="n"/>
      <c r="C930" s="92" t="n"/>
      <c r="D930" s="92" t="n"/>
      <c r="E930" s="92" t="n"/>
      <c r="F930" s="92" t="n"/>
      <c r="G930" s="92" t="n"/>
      <c r="H930" s="92" t="n"/>
      <c r="I930" s="92" t="n"/>
      <c r="K930">
        <f>IF(C930="","",IF(COUNTIFS(C$5:C930,C930,E$5:E930,E930)=1,1,0))</f>
        <v/>
      </c>
      <c r="L930">
        <f>IF(C930="",0,IF(AND(B930="brand",E930="budget_probe",N(F930)&gt;=Inputs!$C$114,H930="Y"),1,0))</f>
        <v/>
      </c>
      <c r="M930">
        <f>IF(L930=1,IF(COUNTIFS(C$5:C930,C930,L$5:L930,1)=1,1,0),0)</f>
        <v/>
      </c>
      <c r="N930">
        <f>IF(C930="",0,IF(AND(B930="office",E930="budget_probe",N(F930)&gt;=Inputs!$C$129),1,0))</f>
        <v/>
      </c>
      <c r="O930">
        <f>IF(N930=1,IF(COUNTIFS(C$5:C930,C930,N$5:N930,1)=1,1,0),0)</f>
        <v/>
      </c>
      <c r="P930">
        <f>IF(C930="",0,IF(AND(B930="brand",E930="renewal_answer",N(F930)&gt;=Inputs!$C$125),1,0))</f>
        <v/>
      </c>
      <c r="Q930">
        <f>IF(AND(B930="office",E930="budget_probe",ISNUMBER(F930)),F930,"")</f>
        <v/>
      </c>
      <c r="R930">
        <f>IF(AND(B930="brand",E930="budget_probe",ISNUMBER(F930)),F930,"")</f>
        <v/>
      </c>
    </row>
    <row r="931">
      <c r="A931" s="91" t="n"/>
      <c r="B931" s="92" t="n"/>
      <c r="C931" s="92" t="n"/>
      <c r="D931" s="92" t="n"/>
      <c r="E931" s="92" t="n"/>
      <c r="F931" s="92" t="n"/>
      <c r="G931" s="92" t="n"/>
      <c r="H931" s="92" t="n"/>
      <c r="I931" s="92" t="n"/>
      <c r="K931">
        <f>IF(C931="","",IF(COUNTIFS(C$5:C931,C931,E$5:E931,E931)=1,1,0))</f>
        <v/>
      </c>
      <c r="L931">
        <f>IF(C931="",0,IF(AND(B931="brand",E931="budget_probe",N(F931)&gt;=Inputs!$C$114,H931="Y"),1,0))</f>
        <v/>
      </c>
      <c r="M931">
        <f>IF(L931=1,IF(COUNTIFS(C$5:C931,C931,L$5:L931,1)=1,1,0),0)</f>
        <v/>
      </c>
      <c r="N931">
        <f>IF(C931="",0,IF(AND(B931="office",E931="budget_probe",N(F931)&gt;=Inputs!$C$129),1,0))</f>
        <v/>
      </c>
      <c r="O931">
        <f>IF(N931=1,IF(COUNTIFS(C$5:C931,C931,N$5:N931,1)=1,1,0),0)</f>
        <v/>
      </c>
      <c r="P931">
        <f>IF(C931="",0,IF(AND(B931="brand",E931="renewal_answer",N(F931)&gt;=Inputs!$C$125),1,0))</f>
        <v/>
      </c>
      <c r="Q931">
        <f>IF(AND(B931="office",E931="budget_probe",ISNUMBER(F931)),F931,"")</f>
        <v/>
      </c>
      <c r="R931">
        <f>IF(AND(B931="brand",E931="budget_probe",ISNUMBER(F931)),F931,"")</f>
        <v/>
      </c>
    </row>
    <row r="932">
      <c r="A932" s="91" t="n"/>
      <c r="B932" s="92" t="n"/>
      <c r="C932" s="92" t="n"/>
      <c r="D932" s="92" t="n"/>
      <c r="E932" s="92" t="n"/>
      <c r="F932" s="92" t="n"/>
      <c r="G932" s="92" t="n"/>
      <c r="H932" s="92" t="n"/>
      <c r="I932" s="92" t="n"/>
      <c r="K932">
        <f>IF(C932="","",IF(COUNTIFS(C$5:C932,C932,E$5:E932,E932)=1,1,0))</f>
        <v/>
      </c>
      <c r="L932">
        <f>IF(C932="",0,IF(AND(B932="brand",E932="budget_probe",N(F932)&gt;=Inputs!$C$114,H932="Y"),1,0))</f>
        <v/>
      </c>
      <c r="M932">
        <f>IF(L932=1,IF(COUNTIFS(C$5:C932,C932,L$5:L932,1)=1,1,0),0)</f>
        <v/>
      </c>
      <c r="N932">
        <f>IF(C932="",0,IF(AND(B932="office",E932="budget_probe",N(F932)&gt;=Inputs!$C$129),1,0))</f>
        <v/>
      </c>
      <c r="O932">
        <f>IF(N932=1,IF(COUNTIFS(C$5:C932,C932,N$5:N932,1)=1,1,0),0)</f>
        <v/>
      </c>
      <c r="P932">
        <f>IF(C932="",0,IF(AND(B932="brand",E932="renewal_answer",N(F932)&gt;=Inputs!$C$125),1,0))</f>
        <v/>
      </c>
      <c r="Q932">
        <f>IF(AND(B932="office",E932="budget_probe",ISNUMBER(F932)),F932,"")</f>
        <v/>
      </c>
      <c r="R932">
        <f>IF(AND(B932="brand",E932="budget_probe",ISNUMBER(F932)),F932,"")</f>
        <v/>
      </c>
    </row>
    <row r="933">
      <c r="A933" s="91" t="n"/>
      <c r="B933" s="92" t="n"/>
      <c r="C933" s="92" t="n"/>
      <c r="D933" s="92" t="n"/>
      <c r="E933" s="92" t="n"/>
      <c r="F933" s="92" t="n"/>
      <c r="G933" s="92" t="n"/>
      <c r="H933" s="92" t="n"/>
      <c r="I933" s="92" t="n"/>
      <c r="K933">
        <f>IF(C933="","",IF(COUNTIFS(C$5:C933,C933,E$5:E933,E933)=1,1,0))</f>
        <v/>
      </c>
      <c r="L933">
        <f>IF(C933="",0,IF(AND(B933="brand",E933="budget_probe",N(F933)&gt;=Inputs!$C$114,H933="Y"),1,0))</f>
        <v/>
      </c>
      <c r="M933">
        <f>IF(L933=1,IF(COUNTIFS(C$5:C933,C933,L$5:L933,1)=1,1,0),0)</f>
        <v/>
      </c>
      <c r="N933">
        <f>IF(C933="",0,IF(AND(B933="office",E933="budget_probe",N(F933)&gt;=Inputs!$C$129),1,0))</f>
        <v/>
      </c>
      <c r="O933">
        <f>IF(N933=1,IF(COUNTIFS(C$5:C933,C933,N$5:N933,1)=1,1,0),0)</f>
        <v/>
      </c>
      <c r="P933">
        <f>IF(C933="",0,IF(AND(B933="brand",E933="renewal_answer",N(F933)&gt;=Inputs!$C$125),1,0))</f>
        <v/>
      </c>
      <c r="Q933">
        <f>IF(AND(B933="office",E933="budget_probe",ISNUMBER(F933)),F933,"")</f>
        <v/>
      </c>
      <c r="R933">
        <f>IF(AND(B933="brand",E933="budget_probe",ISNUMBER(F933)),F933,"")</f>
        <v/>
      </c>
    </row>
    <row r="934">
      <c r="A934" s="91" t="n"/>
      <c r="B934" s="92" t="n"/>
      <c r="C934" s="92" t="n"/>
      <c r="D934" s="92" t="n"/>
      <c r="E934" s="92" t="n"/>
      <c r="F934" s="92" t="n"/>
      <c r="G934" s="92" t="n"/>
      <c r="H934" s="92" t="n"/>
      <c r="I934" s="92" t="n"/>
      <c r="K934">
        <f>IF(C934="","",IF(COUNTIFS(C$5:C934,C934,E$5:E934,E934)=1,1,0))</f>
        <v/>
      </c>
      <c r="L934">
        <f>IF(C934="",0,IF(AND(B934="brand",E934="budget_probe",N(F934)&gt;=Inputs!$C$114,H934="Y"),1,0))</f>
        <v/>
      </c>
      <c r="M934">
        <f>IF(L934=1,IF(COUNTIFS(C$5:C934,C934,L$5:L934,1)=1,1,0),0)</f>
        <v/>
      </c>
      <c r="N934">
        <f>IF(C934="",0,IF(AND(B934="office",E934="budget_probe",N(F934)&gt;=Inputs!$C$129),1,0))</f>
        <v/>
      </c>
      <c r="O934">
        <f>IF(N934=1,IF(COUNTIFS(C$5:C934,C934,N$5:N934,1)=1,1,0),0)</f>
        <v/>
      </c>
      <c r="P934">
        <f>IF(C934="",0,IF(AND(B934="brand",E934="renewal_answer",N(F934)&gt;=Inputs!$C$125),1,0))</f>
        <v/>
      </c>
      <c r="Q934">
        <f>IF(AND(B934="office",E934="budget_probe",ISNUMBER(F934)),F934,"")</f>
        <v/>
      </c>
      <c r="R934">
        <f>IF(AND(B934="brand",E934="budget_probe",ISNUMBER(F934)),F934,"")</f>
        <v/>
      </c>
    </row>
    <row r="935">
      <c r="A935" s="91" t="n"/>
      <c r="B935" s="92" t="n"/>
      <c r="C935" s="92" t="n"/>
      <c r="D935" s="92" t="n"/>
      <c r="E935" s="92" t="n"/>
      <c r="F935" s="92" t="n"/>
      <c r="G935" s="92" t="n"/>
      <c r="H935" s="92" t="n"/>
      <c r="I935" s="92" t="n"/>
      <c r="K935">
        <f>IF(C935="","",IF(COUNTIFS(C$5:C935,C935,E$5:E935,E935)=1,1,0))</f>
        <v/>
      </c>
      <c r="L935">
        <f>IF(C935="",0,IF(AND(B935="brand",E935="budget_probe",N(F935)&gt;=Inputs!$C$114,H935="Y"),1,0))</f>
        <v/>
      </c>
      <c r="M935">
        <f>IF(L935=1,IF(COUNTIFS(C$5:C935,C935,L$5:L935,1)=1,1,0),0)</f>
        <v/>
      </c>
      <c r="N935">
        <f>IF(C935="",0,IF(AND(B935="office",E935="budget_probe",N(F935)&gt;=Inputs!$C$129),1,0))</f>
        <v/>
      </c>
      <c r="O935">
        <f>IF(N935=1,IF(COUNTIFS(C$5:C935,C935,N$5:N935,1)=1,1,0),0)</f>
        <v/>
      </c>
      <c r="P935">
        <f>IF(C935="",0,IF(AND(B935="brand",E935="renewal_answer",N(F935)&gt;=Inputs!$C$125),1,0))</f>
        <v/>
      </c>
      <c r="Q935">
        <f>IF(AND(B935="office",E935="budget_probe",ISNUMBER(F935)),F935,"")</f>
        <v/>
      </c>
      <c r="R935">
        <f>IF(AND(B935="brand",E935="budget_probe",ISNUMBER(F935)),F935,"")</f>
        <v/>
      </c>
    </row>
    <row r="936">
      <c r="A936" s="91" t="n"/>
      <c r="B936" s="92" t="n"/>
      <c r="C936" s="92" t="n"/>
      <c r="D936" s="92" t="n"/>
      <c r="E936" s="92" t="n"/>
      <c r="F936" s="92" t="n"/>
      <c r="G936" s="92" t="n"/>
      <c r="H936" s="92" t="n"/>
      <c r="I936" s="92" t="n"/>
      <c r="K936">
        <f>IF(C936="","",IF(COUNTIFS(C$5:C936,C936,E$5:E936,E936)=1,1,0))</f>
        <v/>
      </c>
      <c r="L936">
        <f>IF(C936="",0,IF(AND(B936="brand",E936="budget_probe",N(F936)&gt;=Inputs!$C$114,H936="Y"),1,0))</f>
        <v/>
      </c>
      <c r="M936">
        <f>IF(L936=1,IF(COUNTIFS(C$5:C936,C936,L$5:L936,1)=1,1,0),0)</f>
        <v/>
      </c>
      <c r="N936">
        <f>IF(C936="",0,IF(AND(B936="office",E936="budget_probe",N(F936)&gt;=Inputs!$C$129),1,0))</f>
        <v/>
      </c>
      <c r="O936">
        <f>IF(N936=1,IF(COUNTIFS(C$5:C936,C936,N$5:N936,1)=1,1,0),0)</f>
        <v/>
      </c>
      <c r="P936">
        <f>IF(C936="",0,IF(AND(B936="brand",E936="renewal_answer",N(F936)&gt;=Inputs!$C$125),1,0))</f>
        <v/>
      </c>
      <c r="Q936">
        <f>IF(AND(B936="office",E936="budget_probe",ISNUMBER(F936)),F936,"")</f>
        <v/>
      </c>
      <c r="R936">
        <f>IF(AND(B936="brand",E936="budget_probe",ISNUMBER(F936)),F936,"")</f>
        <v/>
      </c>
    </row>
    <row r="937">
      <c r="A937" s="91" t="n"/>
      <c r="B937" s="92" t="n"/>
      <c r="C937" s="92" t="n"/>
      <c r="D937" s="92" t="n"/>
      <c r="E937" s="92" t="n"/>
      <c r="F937" s="92" t="n"/>
      <c r="G937" s="92" t="n"/>
      <c r="H937" s="92" t="n"/>
      <c r="I937" s="92" t="n"/>
      <c r="K937">
        <f>IF(C937="","",IF(COUNTIFS(C$5:C937,C937,E$5:E937,E937)=1,1,0))</f>
        <v/>
      </c>
      <c r="L937">
        <f>IF(C937="",0,IF(AND(B937="brand",E937="budget_probe",N(F937)&gt;=Inputs!$C$114,H937="Y"),1,0))</f>
        <v/>
      </c>
      <c r="M937">
        <f>IF(L937=1,IF(COUNTIFS(C$5:C937,C937,L$5:L937,1)=1,1,0),0)</f>
        <v/>
      </c>
      <c r="N937">
        <f>IF(C937="",0,IF(AND(B937="office",E937="budget_probe",N(F937)&gt;=Inputs!$C$129),1,0))</f>
        <v/>
      </c>
      <c r="O937">
        <f>IF(N937=1,IF(COUNTIFS(C$5:C937,C937,N$5:N937,1)=1,1,0),0)</f>
        <v/>
      </c>
      <c r="P937">
        <f>IF(C937="",0,IF(AND(B937="brand",E937="renewal_answer",N(F937)&gt;=Inputs!$C$125),1,0))</f>
        <v/>
      </c>
      <c r="Q937">
        <f>IF(AND(B937="office",E937="budget_probe",ISNUMBER(F937)),F937,"")</f>
        <v/>
      </c>
      <c r="R937">
        <f>IF(AND(B937="brand",E937="budget_probe",ISNUMBER(F937)),F937,"")</f>
        <v/>
      </c>
    </row>
    <row r="938">
      <c r="A938" s="91" t="n"/>
      <c r="B938" s="92" t="n"/>
      <c r="C938" s="92" t="n"/>
      <c r="D938" s="92" t="n"/>
      <c r="E938" s="92" t="n"/>
      <c r="F938" s="92" t="n"/>
      <c r="G938" s="92" t="n"/>
      <c r="H938" s="92" t="n"/>
      <c r="I938" s="92" t="n"/>
      <c r="K938">
        <f>IF(C938="","",IF(COUNTIFS(C$5:C938,C938,E$5:E938,E938)=1,1,0))</f>
        <v/>
      </c>
      <c r="L938">
        <f>IF(C938="",0,IF(AND(B938="brand",E938="budget_probe",N(F938)&gt;=Inputs!$C$114,H938="Y"),1,0))</f>
        <v/>
      </c>
      <c r="M938">
        <f>IF(L938=1,IF(COUNTIFS(C$5:C938,C938,L$5:L938,1)=1,1,0),0)</f>
        <v/>
      </c>
      <c r="N938">
        <f>IF(C938="",0,IF(AND(B938="office",E938="budget_probe",N(F938)&gt;=Inputs!$C$129),1,0))</f>
        <v/>
      </c>
      <c r="O938">
        <f>IF(N938=1,IF(COUNTIFS(C$5:C938,C938,N$5:N938,1)=1,1,0),0)</f>
        <v/>
      </c>
      <c r="P938">
        <f>IF(C938="",0,IF(AND(B938="brand",E938="renewal_answer",N(F938)&gt;=Inputs!$C$125),1,0))</f>
        <v/>
      </c>
      <c r="Q938">
        <f>IF(AND(B938="office",E938="budget_probe",ISNUMBER(F938)),F938,"")</f>
        <v/>
      </c>
      <c r="R938">
        <f>IF(AND(B938="brand",E938="budget_probe",ISNUMBER(F938)),F938,"")</f>
        <v/>
      </c>
    </row>
    <row r="939">
      <c r="A939" s="91" t="n"/>
      <c r="B939" s="92" t="n"/>
      <c r="C939" s="92" t="n"/>
      <c r="D939" s="92" t="n"/>
      <c r="E939" s="92" t="n"/>
      <c r="F939" s="92" t="n"/>
      <c r="G939" s="92" t="n"/>
      <c r="H939" s="92" t="n"/>
      <c r="I939" s="92" t="n"/>
      <c r="K939">
        <f>IF(C939="","",IF(COUNTIFS(C$5:C939,C939,E$5:E939,E939)=1,1,0))</f>
        <v/>
      </c>
      <c r="L939">
        <f>IF(C939="",0,IF(AND(B939="brand",E939="budget_probe",N(F939)&gt;=Inputs!$C$114,H939="Y"),1,0))</f>
        <v/>
      </c>
      <c r="M939">
        <f>IF(L939=1,IF(COUNTIFS(C$5:C939,C939,L$5:L939,1)=1,1,0),0)</f>
        <v/>
      </c>
      <c r="N939">
        <f>IF(C939="",0,IF(AND(B939="office",E939="budget_probe",N(F939)&gt;=Inputs!$C$129),1,0))</f>
        <v/>
      </c>
      <c r="O939">
        <f>IF(N939=1,IF(COUNTIFS(C$5:C939,C939,N$5:N939,1)=1,1,0),0)</f>
        <v/>
      </c>
      <c r="P939">
        <f>IF(C939="",0,IF(AND(B939="brand",E939="renewal_answer",N(F939)&gt;=Inputs!$C$125),1,0))</f>
        <v/>
      </c>
      <c r="Q939">
        <f>IF(AND(B939="office",E939="budget_probe",ISNUMBER(F939)),F939,"")</f>
        <v/>
      </c>
      <c r="R939">
        <f>IF(AND(B939="brand",E939="budget_probe",ISNUMBER(F939)),F939,"")</f>
        <v/>
      </c>
    </row>
    <row r="940">
      <c r="A940" s="91" t="n"/>
      <c r="B940" s="92" t="n"/>
      <c r="C940" s="92" t="n"/>
      <c r="D940" s="92" t="n"/>
      <c r="E940" s="92" t="n"/>
      <c r="F940" s="92" t="n"/>
      <c r="G940" s="92" t="n"/>
      <c r="H940" s="92" t="n"/>
      <c r="I940" s="92" t="n"/>
      <c r="K940">
        <f>IF(C940="","",IF(COUNTIFS(C$5:C940,C940,E$5:E940,E940)=1,1,0))</f>
        <v/>
      </c>
      <c r="L940">
        <f>IF(C940="",0,IF(AND(B940="brand",E940="budget_probe",N(F940)&gt;=Inputs!$C$114,H940="Y"),1,0))</f>
        <v/>
      </c>
      <c r="M940">
        <f>IF(L940=1,IF(COUNTIFS(C$5:C940,C940,L$5:L940,1)=1,1,0),0)</f>
        <v/>
      </c>
      <c r="N940">
        <f>IF(C940="",0,IF(AND(B940="office",E940="budget_probe",N(F940)&gt;=Inputs!$C$129),1,0))</f>
        <v/>
      </c>
      <c r="O940">
        <f>IF(N940=1,IF(COUNTIFS(C$5:C940,C940,N$5:N940,1)=1,1,0),0)</f>
        <v/>
      </c>
      <c r="P940">
        <f>IF(C940="",0,IF(AND(B940="brand",E940="renewal_answer",N(F940)&gt;=Inputs!$C$125),1,0))</f>
        <v/>
      </c>
      <c r="Q940">
        <f>IF(AND(B940="office",E940="budget_probe",ISNUMBER(F940)),F940,"")</f>
        <v/>
      </c>
      <c r="R940">
        <f>IF(AND(B940="brand",E940="budget_probe",ISNUMBER(F940)),F940,"")</f>
        <v/>
      </c>
    </row>
    <row r="941">
      <c r="A941" s="91" t="n"/>
      <c r="B941" s="92" t="n"/>
      <c r="C941" s="92" t="n"/>
      <c r="D941" s="92" t="n"/>
      <c r="E941" s="92" t="n"/>
      <c r="F941" s="92" t="n"/>
      <c r="G941" s="92" t="n"/>
      <c r="H941" s="92" t="n"/>
      <c r="I941" s="92" t="n"/>
      <c r="K941">
        <f>IF(C941="","",IF(COUNTIFS(C$5:C941,C941,E$5:E941,E941)=1,1,0))</f>
        <v/>
      </c>
      <c r="L941">
        <f>IF(C941="",0,IF(AND(B941="brand",E941="budget_probe",N(F941)&gt;=Inputs!$C$114,H941="Y"),1,0))</f>
        <v/>
      </c>
      <c r="M941">
        <f>IF(L941=1,IF(COUNTIFS(C$5:C941,C941,L$5:L941,1)=1,1,0),0)</f>
        <v/>
      </c>
      <c r="N941">
        <f>IF(C941="",0,IF(AND(B941="office",E941="budget_probe",N(F941)&gt;=Inputs!$C$129),1,0))</f>
        <v/>
      </c>
      <c r="O941">
        <f>IF(N941=1,IF(COUNTIFS(C$5:C941,C941,N$5:N941,1)=1,1,0),0)</f>
        <v/>
      </c>
      <c r="P941">
        <f>IF(C941="",0,IF(AND(B941="brand",E941="renewal_answer",N(F941)&gt;=Inputs!$C$125),1,0))</f>
        <v/>
      </c>
      <c r="Q941">
        <f>IF(AND(B941="office",E941="budget_probe",ISNUMBER(F941)),F941,"")</f>
        <v/>
      </c>
      <c r="R941">
        <f>IF(AND(B941="brand",E941="budget_probe",ISNUMBER(F941)),F941,"")</f>
        <v/>
      </c>
    </row>
    <row r="942">
      <c r="A942" s="91" t="n"/>
      <c r="B942" s="92" t="n"/>
      <c r="C942" s="92" t="n"/>
      <c r="D942" s="92" t="n"/>
      <c r="E942" s="92" t="n"/>
      <c r="F942" s="92" t="n"/>
      <c r="G942" s="92" t="n"/>
      <c r="H942" s="92" t="n"/>
      <c r="I942" s="92" t="n"/>
      <c r="K942">
        <f>IF(C942="","",IF(COUNTIFS(C$5:C942,C942,E$5:E942,E942)=1,1,0))</f>
        <v/>
      </c>
      <c r="L942">
        <f>IF(C942="",0,IF(AND(B942="brand",E942="budget_probe",N(F942)&gt;=Inputs!$C$114,H942="Y"),1,0))</f>
        <v/>
      </c>
      <c r="M942">
        <f>IF(L942=1,IF(COUNTIFS(C$5:C942,C942,L$5:L942,1)=1,1,0),0)</f>
        <v/>
      </c>
      <c r="N942">
        <f>IF(C942="",0,IF(AND(B942="office",E942="budget_probe",N(F942)&gt;=Inputs!$C$129),1,0))</f>
        <v/>
      </c>
      <c r="O942">
        <f>IF(N942=1,IF(COUNTIFS(C$5:C942,C942,N$5:N942,1)=1,1,0),0)</f>
        <v/>
      </c>
      <c r="P942">
        <f>IF(C942="",0,IF(AND(B942="brand",E942="renewal_answer",N(F942)&gt;=Inputs!$C$125),1,0))</f>
        <v/>
      </c>
      <c r="Q942">
        <f>IF(AND(B942="office",E942="budget_probe",ISNUMBER(F942)),F942,"")</f>
        <v/>
      </c>
      <c r="R942">
        <f>IF(AND(B942="brand",E942="budget_probe",ISNUMBER(F942)),F942,"")</f>
        <v/>
      </c>
    </row>
    <row r="943">
      <c r="A943" s="91" t="n"/>
      <c r="B943" s="92" t="n"/>
      <c r="C943" s="92" t="n"/>
      <c r="D943" s="92" t="n"/>
      <c r="E943" s="92" t="n"/>
      <c r="F943" s="92" t="n"/>
      <c r="G943" s="92" t="n"/>
      <c r="H943" s="92" t="n"/>
      <c r="I943" s="92" t="n"/>
      <c r="K943">
        <f>IF(C943="","",IF(COUNTIFS(C$5:C943,C943,E$5:E943,E943)=1,1,0))</f>
        <v/>
      </c>
      <c r="L943">
        <f>IF(C943="",0,IF(AND(B943="brand",E943="budget_probe",N(F943)&gt;=Inputs!$C$114,H943="Y"),1,0))</f>
        <v/>
      </c>
      <c r="M943">
        <f>IF(L943=1,IF(COUNTIFS(C$5:C943,C943,L$5:L943,1)=1,1,0),0)</f>
        <v/>
      </c>
      <c r="N943">
        <f>IF(C943="",0,IF(AND(B943="office",E943="budget_probe",N(F943)&gt;=Inputs!$C$129),1,0))</f>
        <v/>
      </c>
      <c r="O943">
        <f>IF(N943=1,IF(COUNTIFS(C$5:C943,C943,N$5:N943,1)=1,1,0),0)</f>
        <v/>
      </c>
      <c r="P943">
        <f>IF(C943="",0,IF(AND(B943="brand",E943="renewal_answer",N(F943)&gt;=Inputs!$C$125),1,0))</f>
        <v/>
      </c>
      <c r="Q943">
        <f>IF(AND(B943="office",E943="budget_probe",ISNUMBER(F943)),F943,"")</f>
        <v/>
      </c>
      <c r="R943">
        <f>IF(AND(B943="brand",E943="budget_probe",ISNUMBER(F943)),F943,"")</f>
        <v/>
      </c>
    </row>
    <row r="944">
      <c r="A944" s="91" t="n"/>
      <c r="B944" s="92" t="n"/>
      <c r="C944" s="92" t="n"/>
      <c r="D944" s="92" t="n"/>
      <c r="E944" s="92" t="n"/>
      <c r="F944" s="92" t="n"/>
      <c r="G944" s="92" t="n"/>
      <c r="H944" s="92" t="n"/>
      <c r="I944" s="92" t="n"/>
      <c r="K944">
        <f>IF(C944="","",IF(COUNTIFS(C$5:C944,C944,E$5:E944,E944)=1,1,0))</f>
        <v/>
      </c>
      <c r="L944">
        <f>IF(C944="",0,IF(AND(B944="brand",E944="budget_probe",N(F944)&gt;=Inputs!$C$114,H944="Y"),1,0))</f>
        <v/>
      </c>
      <c r="M944">
        <f>IF(L944=1,IF(COUNTIFS(C$5:C944,C944,L$5:L944,1)=1,1,0),0)</f>
        <v/>
      </c>
      <c r="N944">
        <f>IF(C944="",0,IF(AND(B944="office",E944="budget_probe",N(F944)&gt;=Inputs!$C$129),1,0))</f>
        <v/>
      </c>
      <c r="O944">
        <f>IF(N944=1,IF(COUNTIFS(C$5:C944,C944,N$5:N944,1)=1,1,0),0)</f>
        <v/>
      </c>
      <c r="P944">
        <f>IF(C944="",0,IF(AND(B944="brand",E944="renewal_answer",N(F944)&gt;=Inputs!$C$125),1,0))</f>
        <v/>
      </c>
      <c r="Q944">
        <f>IF(AND(B944="office",E944="budget_probe",ISNUMBER(F944)),F944,"")</f>
        <v/>
      </c>
      <c r="R944">
        <f>IF(AND(B944="brand",E944="budget_probe",ISNUMBER(F944)),F944,"")</f>
        <v/>
      </c>
    </row>
    <row r="945">
      <c r="A945" s="91" t="n"/>
      <c r="B945" s="92" t="n"/>
      <c r="C945" s="92" t="n"/>
      <c r="D945" s="92" t="n"/>
      <c r="E945" s="92" t="n"/>
      <c r="F945" s="92" t="n"/>
      <c r="G945" s="92" t="n"/>
      <c r="H945" s="92" t="n"/>
      <c r="I945" s="92" t="n"/>
      <c r="K945">
        <f>IF(C945="","",IF(COUNTIFS(C$5:C945,C945,E$5:E945,E945)=1,1,0))</f>
        <v/>
      </c>
      <c r="L945">
        <f>IF(C945="",0,IF(AND(B945="brand",E945="budget_probe",N(F945)&gt;=Inputs!$C$114,H945="Y"),1,0))</f>
        <v/>
      </c>
      <c r="M945">
        <f>IF(L945=1,IF(COUNTIFS(C$5:C945,C945,L$5:L945,1)=1,1,0),0)</f>
        <v/>
      </c>
      <c r="N945">
        <f>IF(C945="",0,IF(AND(B945="office",E945="budget_probe",N(F945)&gt;=Inputs!$C$129),1,0))</f>
        <v/>
      </c>
      <c r="O945">
        <f>IF(N945=1,IF(COUNTIFS(C$5:C945,C945,N$5:N945,1)=1,1,0),0)</f>
        <v/>
      </c>
      <c r="P945">
        <f>IF(C945="",0,IF(AND(B945="brand",E945="renewal_answer",N(F945)&gt;=Inputs!$C$125),1,0))</f>
        <v/>
      </c>
      <c r="Q945">
        <f>IF(AND(B945="office",E945="budget_probe",ISNUMBER(F945)),F945,"")</f>
        <v/>
      </c>
      <c r="R945">
        <f>IF(AND(B945="brand",E945="budget_probe",ISNUMBER(F945)),F945,"")</f>
        <v/>
      </c>
    </row>
    <row r="946">
      <c r="A946" s="91" t="n"/>
      <c r="B946" s="92" t="n"/>
      <c r="C946" s="92" t="n"/>
      <c r="D946" s="92" t="n"/>
      <c r="E946" s="92" t="n"/>
      <c r="F946" s="92" t="n"/>
      <c r="G946" s="92" t="n"/>
      <c r="H946" s="92" t="n"/>
      <c r="I946" s="92" t="n"/>
      <c r="K946">
        <f>IF(C946="","",IF(COUNTIFS(C$5:C946,C946,E$5:E946,E946)=1,1,0))</f>
        <v/>
      </c>
      <c r="L946">
        <f>IF(C946="",0,IF(AND(B946="brand",E946="budget_probe",N(F946)&gt;=Inputs!$C$114,H946="Y"),1,0))</f>
        <v/>
      </c>
      <c r="M946">
        <f>IF(L946=1,IF(COUNTIFS(C$5:C946,C946,L$5:L946,1)=1,1,0),0)</f>
        <v/>
      </c>
      <c r="N946">
        <f>IF(C946="",0,IF(AND(B946="office",E946="budget_probe",N(F946)&gt;=Inputs!$C$129),1,0))</f>
        <v/>
      </c>
      <c r="O946">
        <f>IF(N946=1,IF(COUNTIFS(C$5:C946,C946,N$5:N946,1)=1,1,0),0)</f>
        <v/>
      </c>
      <c r="P946">
        <f>IF(C946="",0,IF(AND(B946="brand",E946="renewal_answer",N(F946)&gt;=Inputs!$C$125),1,0))</f>
        <v/>
      </c>
      <c r="Q946">
        <f>IF(AND(B946="office",E946="budget_probe",ISNUMBER(F946)),F946,"")</f>
        <v/>
      </c>
      <c r="R946">
        <f>IF(AND(B946="brand",E946="budget_probe",ISNUMBER(F946)),F946,"")</f>
        <v/>
      </c>
    </row>
    <row r="947">
      <c r="A947" s="91" t="n"/>
      <c r="B947" s="92" t="n"/>
      <c r="C947" s="92" t="n"/>
      <c r="D947" s="92" t="n"/>
      <c r="E947" s="92" t="n"/>
      <c r="F947" s="92" t="n"/>
      <c r="G947" s="92" t="n"/>
      <c r="H947" s="92" t="n"/>
      <c r="I947" s="92" t="n"/>
      <c r="K947">
        <f>IF(C947="","",IF(COUNTIFS(C$5:C947,C947,E$5:E947,E947)=1,1,0))</f>
        <v/>
      </c>
      <c r="L947">
        <f>IF(C947="",0,IF(AND(B947="brand",E947="budget_probe",N(F947)&gt;=Inputs!$C$114,H947="Y"),1,0))</f>
        <v/>
      </c>
      <c r="M947">
        <f>IF(L947=1,IF(COUNTIFS(C$5:C947,C947,L$5:L947,1)=1,1,0),0)</f>
        <v/>
      </c>
      <c r="N947">
        <f>IF(C947="",0,IF(AND(B947="office",E947="budget_probe",N(F947)&gt;=Inputs!$C$129),1,0))</f>
        <v/>
      </c>
      <c r="O947">
        <f>IF(N947=1,IF(COUNTIFS(C$5:C947,C947,N$5:N947,1)=1,1,0),0)</f>
        <v/>
      </c>
      <c r="P947">
        <f>IF(C947="",0,IF(AND(B947="brand",E947="renewal_answer",N(F947)&gt;=Inputs!$C$125),1,0))</f>
        <v/>
      </c>
      <c r="Q947">
        <f>IF(AND(B947="office",E947="budget_probe",ISNUMBER(F947)),F947,"")</f>
        <v/>
      </c>
      <c r="R947">
        <f>IF(AND(B947="brand",E947="budget_probe",ISNUMBER(F947)),F947,"")</f>
        <v/>
      </c>
    </row>
    <row r="948">
      <c r="A948" s="91" t="n"/>
      <c r="B948" s="92" t="n"/>
      <c r="C948" s="92" t="n"/>
      <c r="D948" s="92" t="n"/>
      <c r="E948" s="92" t="n"/>
      <c r="F948" s="92" t="n"/>
      <c r="G948" s="92" t="n"/>
      <c r="H948" s="92" t="n"/>
      <c r="I948" s="92" t="n"/>
      <c r="K948">
        <f>IF(C948="","",IF(COUNTIFS(C$5:C948,C948,E$5:E948,E948)=1,1,0))</f>
        <v/>
      </c>
      <c r="L948">
        <f>IF(C948="",0,IF(AND(B948="brand",E948="budget_probe",N(F948)&gt;=Inputs!$C$114,H948="Y"),1,0))</f>
        <v/>
      </c>
      <c r="M948">
        <f>IF(L948=1,IF(COUNTIFS(C$5:C948,C948,L$5:L948,1)=1,1,0),0)</f>
        <v/>
      </c>
      <c r="N948">
        <f>IF(C948="",0,IF(AND(B948="office",E948="budget_probe",N(F948)&gt;=Inputs!$C$129),1,0))</f>
        <v/>
      </c>
      <c r="O948">
        <f>IF(N948=1,IF(COUNTIFS(C$5:C948,C948,N$5:N948,1)=1,1,0),0)</f>
        <v/>
      </c>
      <c r="P948">
        <f>IF(C948="",0,IF(AND(B948="brand",E948="renewal_answer",N(F948)&gt;=Inputs!$C$125),1,0))</f>
        <v/>
      </c>
      <c r="Q948">
        <f>IF(AND(B948="office",E948="budget_probe",ISNUMBER(F948)),F948,"")</f>
        <v/>
      </c>
      <c r="R948">
        <f>IF(AND(B948="brand",E948="budget_probe",ISNUMBER(F948)),F948,"")</f>
        <v/>
      </c>
    </row>
    <row r="949">
      <c r="A949" s="91" t="n"/>
      <c r="B949" s="92" t="n"/>
      <c r="C949" s="92" t="n"/>
      <c r="D949" s="92" t="n"/>
      <c r="E949" s="92" t="n"/>
      <c r="F949" s="92" t="n"/>
      <c r="G949" s="92" t="n"/>
      <c r="H949" s="92" t="n"/>
      <c r="I949" s="92" t="n"/>
      <c r="K949">
        <f>IF(C949="","",IF(COUNTIFS(C$5:C949,C949,E$5:E949,E949)=1,1,0))</f>
        <v/>
      </c>
      <c r="L949">
        <f>IF(C949="",0,IF(AND(B949="brand",E949="budget_probe",N(F949)&gt;=Inputs!$C$114,H949="Y"),1,0))</f>
        <v/>
      </c>
      <c r="M949">
        <f>IF(L949=1,IF(COUNTIFS(C$5:C949,C949,L$5:L949,1)=1,1,0),0)</f>
        <v/>
      </c>
      <c r="N949">
        <f>IF(C949="",0,IF(AND(B949="office",E949="budget_probe",N(F949)&gt;=Inputs!$C$129),1,0))</f>
        <v/>
      </c>
      <c r="O949">
        <f>IF(N949=1,IF(COUNTIFS(C$5:C949,C949,N$5:N949,1)=1,1,0),0)</f>
        <v/>
      </c>
      <c r="P949">
        <f>IF(C949="",0,IF(AND(B949="brand",E949="renewal_answer",N(F949)&gt;=Inputs!$C$125),1,0))</f>
        <v/>
      </c>
      <c r="Q949">
        <f>IF(AND(B949="office",E949="budget_probe",ISNUMBER(F949)),F949,"")</f>
        <v/>
      </c>
      <c r="R949">
        <f>IF(AND(B949="brand",E949="budget_probe",ISNUMBER(F949)),F949,"")</f>
        <v/>
      </c>
    </row>
    <row r="950">
      <c r="A950" s="91" t="n"/>
      <c r="B950" s="92" t="n"/>
      <c r="C950" s="92" t="n"/>
      <c r="D950" s="92" t="n"/>
      <c r="E950" s="92" t="n"/>
      <c r="F950" s="92" t="n"/>
      <c r="G950" s="92" t="n"/>
      <c r="H950" s="92" t="n"/>
      <c r="I950" s="92" t="n"/>
      <c r="K950">
        <f>IF(C950="","",IF(COUNTIFS(C$5:C950,C950,E$5:E950,E950)=1,1,0))</f>
        <v/>
      </c>
      <c r="L950">
        <f>IF(C950="",0,IF(AND(B950="brand",E950="budget_probe",N(F950)&gt;=Inputs!$C$114,H950="Y"),1,0))</f>
        <v/>
      </c>
      <c r="M950">
        <f>IF(L950=1,IF(COUNTIFS(C$5:C950,C950,L$5:L950,1)=1,1,0),0)</f>
        <v/>
      </c>
      <c r="N950">
        <f>IF(C950="",0,IF(AND(B950="office",E950="budget_probe",N(F950)&gt;=Inputs!$C$129),1,0))</f>
        <v/>
      </c>
      <c r="O950">
        <f>IF(N950=1,IF(COUNTIFS(C$5:C950,C950,N$5:N950,1)=1,1,0),0)</f>
        <v/>
      </c>
      <c r="P950">
        <f>IF(C950="",0,IF(AND(B950="brand",E950="renewal_answer",N(F950)&gt;=Inputs!$C$125),1,0))</f>
        <v/>
      </c>
      <c r="Q950">
        <f>IF(AND(B950="office",E950="budget_probe",ISNUMBER(F950)),F950,"")</f>
        <v/>
      </c>
      <c r="R950">
        <f>IF(AND(B950="brand",E950="budget_probe",ISNUMBER(F950)),F950,"")</f>
        <v/>
      </c>
    </row>
    <row r="951">
      <c r="A951" s="91" t="n"/>
      <c r="B951" s="92" t="n"/>
      <c r="C951" s="92" t="n"/>
      <c r="D951" s="92" t="n"/>
      <c r="E951" s="92" t="n"/>
      <c r="F951" s="92" t="n"/>
      <c r="G951" s="92" t="n"/>
      <c r="H951" s="92" t="n"/>
      <c r="I951" s="92" t="n"/>
      <c r="K951">
        <f>IF(C951="","",IF(COUNTIFS(C$5:C951,C951,E$5:E951,E951)=1,1,0))</f>
        <v/>
      </c>
      <c r="L951">
        <f>IF(C951="",0,IF(AND(B951="brand",E951="budget_probe",N(F951)&gt;=Inputs!$C$114,H951="Y"),1,0))</f>
        <v/>
      </c>
      <c r="M951">
        <f>IF(L951=1,IF(COUNTIFS(C$5:C951,C951,L$5:L951,1)=1,1,0),0)</f>
        <v/>
      </c>
      <c r="N951">
        <f>IF(C951="",0,IF(AND(B951="office",E951="budget_probe",N(F951)&gt;=Inputs!$C$129),1,0))</f>
        <v/>
      </c>
      <c r="O951">
        <f>IF(N951=1,IF(COUNTIFS(C$5:C951,C951,N$5:N951,1)=1,1,0),0)</f>
        <v/>
      </c>
      <c r="P951">
        <f>IF(C951="",0,IF(AND(B951="brand",E951="renewal_answer",N(F951)&gt;=Inputs!$C$125),1,0))</f>
        <v/>
      </c>
      <c r="Q951">
        <f>IF(AND(B951="office",E951="budget_probe",ISNUMBER(F951)),F951,"")</f>
        <v/>
      </c>
      <c r="R951">
        <f>IF(AND(B951="brand",E951="budget_probe",ISNUMBER(F951)),F951,"")</f>
        <v/>
      </c>
    </row>
    <row r="952">
      <c r="A952" s="91" t="n"/>
      <c r="B952" s="92" t="n"/>
      <c r="C952" s="92" t="n"/>
      <c r="D952" s="92" t="n"/>
      <c r="E952" s="92" t="n"/>
      <c r="F952" s="92" t="n"/>
      <c r="G952" s="92" t="n"/>
      <c r="H952" s="92" t="n"/>
      <c r="I952" s="92" t="n"/>
      <c r="K952">
        <f>IF(C952="","",IF(COUNTIFS(C$5:C952,C952,E$5:E952,E952)=1,1,0))</f>
        <v/>
      </c>
      <c r="L952">
        <f>IF(C952="",0,IF(AND(B952="brand",E952="budget_probe",N(F952)&gt;=Inputs!$C$114,H952="Y"),1,0))</f>
        <v/>
      </c>
      <c r="M952">
        <f>IF(L952=1,IF(COUNTIFS(C$5:C952,C952,L$5:L952,1)=1,1,0),0)</f>
        <v/>
      </c>
      <c r="N952">
        <f>IF(C952="",0,IF(AND(B952="office",E952="budget_probe",N(F952)&gt;=Inputs!$C$129),1,0))</f>
        <v/>
      </c>
      <c r="O952">
        <f>IF(N952=1,IF(COUNTIFS(C$5:C952,C952,N$5:N952,1)=1,1,0),0)</f>
        <v/>
      </c>
      <c r="P952">
        <f>IF(C952="",0,IF(AND(B952="brand",E952="renewal_answer",N(F952)&gt;=Inputs!$C$125),1,0))</f>
        <v/>
      </c>
      <c r="Q952">
        <f>IF(AND(B952="office",E952="budget_probe",ISNUMBER(F952)),F952,"")</f>
        <v/>
      </c>
      <c r="R952">
        <f>IF(AND(B952="brand",E952="budget_probe",ISNUMBER(F952)),F952,"")</f>
        <v/>
      </c>
    </row>
    <row r="953">
      <c r="A953" s="91" t="n"/>
      <c r="B953" s="92" t="n"/>
      <c r="C953" s="92" t="n"/>
      <c r="D953" s="92" t="n"/>
      <c r="E953" s="92" t="n"/>
      <c r="F953" s="92" t="n"/>
      <c r="G953" s="92" t="n"/>
      <c r="H953" s="92" t="n"/>
      <c r="I953" s="92" t="n"/>
      <c r="K953">
        <f>IF(C953="","",IF(COUNTIFS(C$5:C953,C953,E$5:E953,E953)=1,1,0))</f>
        <v/>
      </c>
      <c r="L953">
        <f>IF(C953="",0,IF(AND(B953="brand",E953="budget_probe",N(F953)&gt;=Inputs!$C$114,H953="Y"),1,0))</f>
        <v/>
      </c>
      <c r="M953">
        <f>IF(L953=1,IF(COUNTIFS(C$5:C953,C953,L$5:L953,1)=1,1,0),0)</f>
        <v/>
      </c>
      <c r="N953">
        <f>IF(C953="",0,IF(AND(B953="office",E953="budget_probe",N(F953)&gt;=Inputs!$C$129),1,0))</f>
        <v/>
      </c>
      <c r="O953">
        <f>IF(N953=1,IF(COUNTIFS(C$5:C953,C953,N$5:N953,1)=1,1,0),0)</f>
        <v/>
      </c>
      <c r="P953">
        <f>IF(C953="",0,IF(AND(B953="brand",E953="renewal_answer",N(F953)&gt;=Inputs!$C$125),1,0))</f>
        <v/>
      </c>
      <c r="Q953">
        <f>IF(AND(B953="office",E953="budget_probe",ISNUMBER(F953)),F953,"")</f>
        <v/>
      </c>
      <c r="R953">
        <f>IF(AND(B953="brand",E953="budget_probe",ISNUMBER(F953)),F953,"")</f>
        <v/>
      </c>
    </row>
    <row r="954">
      <c r="A954" s="91" t="n"/>
      <c r="B954" s="92" t="n"/>
      <c r="C954" s="92" t="n"/>
      <c r="D954" s="92" t="n"/>
      <c r="E954" s="92" t="n"/>
      <c r="F954" s="92" t="n"/>
      <c r="G954" s="92" t="n"/>
      <c r="H954" s="92" t="n"/>
      <c r="I954" s="92" t="n"/>
      <c r="K954">
        <f>IF(C954="","",IF(COUNTIFS(C$5:C954,C954,E$5:E954,E954)=1,1,0))</f>
        <v/>
      </c>
      <c r="L954">
        <f>IF(C954="",0,IF(AND(B954="brand",E954="budget_probe",N(F954)&gt;=Inputs!$C$114,H954="Y"),1,0))</f>
        <v/>
      </c>
      <c r="M954">
        <f>IF(L954=1,IF(COUNTIFS(C$5:C954,C954,L$5:L954,1)=1,1,0),0)</f>
        <v/>
      </c>
      <c r="N954">
        <f>IF(C954="",0,IF(AND(B954="office",E954="budget_probe",N(F954)&gt;=Inputs!$C$129),1,0))</f>
        <v/>
      </c>
      <c r="O954">
        <f>IF(N954=1,IF(COUNTIFS(C$5:C954,C954,N$5:N954,1)=1,1,0),0)</f>
        <v/>
      </c>
      <c r="P954">
        <f>IF(C954="",0,IF(AND(B954="brand",E954="renewal_answer",N(F954)&gt;=Inputs!$C$125),1,0))</f>
        <v/>
      </c>
      <c r="Q954">
        <f>IF(AND(B954="office",E954="budget_probe",ISNUMBER(F954)),F954,"")</f>
        <v/>
      </c>
      <c r="R954">
        <f>IF(AND(B954="brand",E954="budget_probe",ISNUMBER(F954)),F954,"")</f>
        <v/>
      </c>
    </row>
    <row r="955">
      <c r="A955" s="91" t="n"/>
      <c r="B955" s="92" t="n"/>
      <c r="C955" s="92" t="n"/>
      <c r="D955" s="92" t="n"/>
      <c r="E955" s="92" t="n"/>
      <c r="F955" s="92" t="n"/>
      <c r="G955" s="92" t="n"/>
      <c r="H955" s="92" t="n"/>
      <c r="I955" s="92" t="n"/>
      <c r="K955">
        <f>IF(C955="","",IF(COUNTIFS(C$5:C955,C955,E$5:E955,E955)=1,1,0))</f>
        <v/>
      </c>
      <c r="L955">
        <f>IF(C955="",0,IF(AND(B955="brand",E955="budget_probe",N(F955)&gt;=Inputs!$C$114,H955="Y"),1,0))</f>
        <v/>
      </c>
      <c r="M955">
        <f>IF(L955=1,IF(COUNTIFS(C$5:C955,C955,L$5:L955,1)=1,1,0),0)</f>
        <v/>
      </c>
      <c r="N955">
        <f>IF(C955="",0,IF(AND(B955="office",E955="budget_probe",N(F955)&gt;=Inputs!$C$129),1,0))</f>
        <v/>
      </c>
      <c r="O955">
        <f>IF(N955=1,IF(COUNTIFS(C$5:C955,C955,N$5:N955,1)=1,1,0),0)</f>
        <v/>
      </c>
      <c r="P955">
        <f>IF(C955="",0,IF(AND(B955="brand",E955="renewal_answer",N(F955)&gt;=Inputs!$C$125),1,0))</f>
        <v/>
      </c>
      <c r="Q955">
        <f>IF(AND(B955="office",E955="budget_probe",ISNUMBER(F955)),F955,"")</f>
        <v/>
      </c>
      <c r="R955">
        <f>IF(AND(B955="brand",E955="budget_probe",ISNUMBER(F955)),F955,"")</f>
        <v/>
      </c>
    </row>
    <row r="956">
      <c r="A956" s="91" t="n"/>
      <c r="B956" s="92" t="n"/>
      <c r="C956" s="92" t="n"/>
      <c r="D956" s="92" t="n"/>
      <c r="E956" s="92" t="n"/>
      <c r="F956" s="92" t="n"/>
      <c r="G956" s="92" t="n"/>
      <c r="H956" s="92" t="n"/>
      <c r="I956" s="92" t="n"/>
      <c r="K956">
        <f>IF(C956="","",IF(COUNTIFS(C$5:C956,C956,E$5:E956,E956)=1,1,0))</f>
        <v/>
      </c>
      <c r="L956">
        <f>IF(C956="",0,IF(AND(B956="brand",E956="budget_probe",N(F956)&gt;=Inputs!$C$114,H956="Y"),1,0))</f>
        <v/>
      </c>
      <c r="M956">
        <f>IF(L956=1,IF(COUNTIFS(C$5:C956,C956,L$5:L956,1)=1,1,0),0)</f>
        <v/>
      </c>
      <c r="N956">
        <f>IF(C956="",0,IF(AND(B956="office",E956="budget_probe",N(F956)&gt;=Inputs!$C$129),1,0))</f>
        <v/>
      </c>
      <c r="O956">
        <f>IF(N956=1,IF(COUNTIFS(C$5:C956,C956,N$5:N956,1)=1,1,0),0)</f>
        <v/>
      </c>
      <c r="P956">
        <f>IF(C956="",0,IF(AND(B956="brand",E956="renewal_answer",N(F956)&gt;=Inputs!$C$125),1,0))</f>
        <v/>
      </c>
      <c r="Q956">
        <f>IF(AND(B956="office",E956="budget_probe",ISNUMBER(F956)),F956,"")</f>
        <v/>
      </c>
      <c r="R956">
        <f>IF(AND(B956="brand",E956="budget_probe",ISNUMBER(F956)),F956,"")</f>
        <v/>
      </c>
    </row>
    <row r="957">
      <c r="A957" s="91" t="n"/>
      <c r="B957" s="92" t="n"/>
      <c r="C957" s="92" t="n"/>
      <c r="D957" s="92" t="n"/>
      <c r="E957" s="92" t="n"/>
      <c r="F957" s="92" t="n"/>
      <c r="G957" s="92" t="n"/>
      <c r="H957" s="92" t="n"/>
      <c r="I957" s="92" t="n"/>
      <c r="K957">
        <f>IF(C957="","",IF(COUNTIFS(C$5:C957,C957,E$5:E957,E957)=1,1,0))</f>
        <v/>
      </c>
      <c r="L957">
        <f>IF(C957="",0,IF(AND(B957="brand",E957="budget_probe",N(F957)&gt;=Inputs!$C$114,H957="Y"),1,0))</f>
        <v/>
      </c>
      <c r="M957">
        <f>IF(L957=1,IF(COUNTIFS(C$5:C957,C957,L$5:L957,1)=1,1,0),0)</f>
        <v/>
      </c>
      <c r="N957">
        <f>IF(C957="",0,IF(AND(B957="office",E957="budget_probe",N(F957)&gt;=Inputs!$C$129),1,0))</f>
        <v/>
      </c>
      <c r="O957">
        <f>IF(N957=1,IF(COUNTIFS(C$5:C957,C957,N$5:N957,1)=1,1,0),0)</f>
        <v/>
      </c>
      <c r="P957">
        <f>IF(C957="",0,IF(AND(B957="brand",E957="renewal_answer",N(F957)&gt;=Inputs!$C$125),1,0))</f>
        <v/>
      </c>
      <c r="Q957">
        <f>IF(AND(B957="office",E957="budget_probe",ISNUMBER(F957)),F957,"")</f>
        <v/>
      </c>
      <c r="R957">
        <f>IF(AND(B957="brand",E957="budget_probe",ISNUMBER(F957)),F957,"")</f>
        <v/>
      </c>
    </row>
    <row r="958">
      <c r="A958" s="91" t="n"/>
      <c r="B958" s="92" t="n"/>
      <c r="C958" s="92" t="n"/>
      <c r="D958" s="92" t="n"/>
      <c r="E958" s="92" t="n"/>
      <c r="F958" s="92" t="n"/>
      <c r="G958" s="92" t="n"/>
      <c r="H958" s="92" t="n"/>
      <c r="I958" s="92" t="n"/>
      <c r="K958">
        <f>IF(C958="","",IF(COUNTIFS(C$5:C958,C958,E$5:E958,E958)=1,1,0))</f>
        <v/>
      </c>
      <c r="L958">
        <f>IF(C958="",0,IF(AND(B958="brand",E958="budget_probe",N(F958)&gt;=Inputs!$C$114,H958="Y"),1,0))</f>
        <v/>
      </c>
      <c r="M958">
        <f>IF(L958=1,IF(COUNTIFS(C$5:C958,C958,L$5:L958,1)=1,1,0),0)</f>
        <v/>
      </c>
      <c r="N958">
        <f>IF(C958="",0,IF(AND(B958="office",E958="budget_probe",N(F958)&gt;=Inputs!$C$129),1,0))</f>
        <v/>
      </c>
      <c r="O958">
        <f>IF(N958=1,IF(COUNTIFS(C$5:C958,C958,N$5:N958,1)=1,1,0),0)</f>
        <v/>
      </c>
      <c r="P958">
        <f>IF(C958="",0,IF(AND(B958="brand",E958="renewal_answer",N(F958)&gt;=Inputs!$C$125),1,0))</f>
        <v/>
      </c>
      <c r="Q958">
        <f>IF(AND(B958="office",E958="budget_probe",ISNUMBER(F958)),F958,"")</f>
        <v/>
      </c>
      <c r="R958">
        <f>IF(AND(B958="brand",E958="budget_probe",ISNUMBER(F958)),F958,"")</f>
        <v/>
      </c>
    </row>
    <row r="959">
      <c r="A959" s="91" t="n"/>
      <c r="B959" s="92" t="n"/>
      <c r="C959" s="92" t="n"/>
      <c r="D959" s="92" t="n"/>
      <c r="E959" s="92" t="n"/>
      <c r="F959" s="92" t="n"/>
      <c r="G959" s="92" t="n"/>
      <c r="H959" s="92" t="n"/>
      <c r="I959" s="92" t="n"/>
      <c r="K959">
        <f>IF(C959="","",IF(COUNTIFS(C$5:C959,C959,E$5:E959,E959)=1,1,0))</f>
        <v/>
      </c>
      <c r="L959">
        <f>IF(C959="",0,IF(AND(B959="brand",E959="budget_probe",N(F959)&gt;=Inputs!$C$114,H959="Y"),1,0))</f>
        <v/>
      </c>
      <c r="M959">
        <f>IF(L959=1,IF(COUNTIFS(C$5:C959,C959,L$5:L959,1)=1,1,0),0)</f>
        <v/>
      </c>
      <c r="N959">
        <f>IF(C959="",0,IF(AND(B959="office",E959="budget_probe",N(F959)&gt;=Inputs!$C$129),1,0))</f>
        <v/>
      </c>
      <c r="O959">
        <f>IF(N959=1,IF(COUNTIFS(C$5:C959,C959,N$5:N959,1)=1,1,0),0)</f>
        <v/>
      </c>
      <c r="P959">
        <f>IF(C959="",0,IF(AND(B959="brand",E959="renewal_answer",N(F959)&gt;=Inputs!$C$125),1,0))</f>
        <v/>
      </c>
      <c r="Q959">
        <f>IF(AND(B959="office",E959="budget_probe",ISNUMBER(F959)),F959,"")</f>
        <v/>
      </c>
      <c r="R959">
        <f>IF(AND(B959="brand",E959="budget_probe",ISNUMBER(F959)),F959,"")</f>
        <v/>
      </c>
    </row>
    <row r="960">
      <c r="A960" s="91" t="n"/>
      <c r="B960" s="92" t="n"/>
      <c r="C960" s="92" t="n"/>
      <c r="D960" s="92" t="n"/>
      <c r="E960" s="92" t="n"/>
      <c r="F960" s="92" t="n"/>
      <c r="G960" s="92" t="n"/>
      <c r="H960" s="92" t="n"/>
      <c r="I960" s="92" t="n"/>
      <c r="K960">
        <f>IF(C960="","",IF(COUNTIFS(C$5:C960,C960,E$5:E960,E960)=1,1,0))</f>
        <v/>
      </c>
      <c r="L960">
        <f>IF(C960="",0,IF(AND(B960="brand",E960="budget_probe",N(F960)&gt;=Inputs!$C$114,H960="Y"),1,0))</f>
        <v/>
      </c>
      <c r="M960">
        <f>IF(L960=1,IF(COUNTIFS(C$5:C960,C960,L$5:L960,1)=1,1,0),0)</f>
        <v/>
      </c>
      <c r="N960">
        <f>IF(C960="",0,IF(AND(B960="office",E960="budget_probe",N(F960)&gt;=Inputs!$C$129),1,0))</f>
        <v/>
      </c>
      <c r="O960">
        <f>IF(N960=1,IF(COUNTIFS(C$5:C960,C960,N$5:N960,1)=1,1,0),0)</f>
        <v/>
      </c>
      <c r="P960">
        <f>IF(C960="",0,IF(AND(B960="brand",E960="renewal_answer",N(F960)&gt;=Inputs!$C$125),1,0))</f>
        <v/>
      </c>
      <c r="Q960">
        <f>IF(AND(B960="office",E960="budget_probe",ISNUMBER(F960)),F960,"")</f>
        <v/>
      </c>
      <c r="R960">
        <f>IF(AND(B960="brand",E960="budget_probe",ISNUMBER(F960)),F960,"")</f>
        <v/>
      </c>
    </row>
    <row r="961">
      <c r="A961" s="91" t="n"/>
      <c r="B961" s="92" t="n"/>
      <c r="C961" s="92" t="n"/>
      <c r="D961" s="92" t="n"/>
      <c r="E961" s="92" t="n"/>
      <c r="F961" s="92" t="n"/>
      <c r="G961" s="92" t="n"/>
      <c r="H961" s="92" t="n"/>
      <c r="I961" s="92" t="n"/>
      <c r="K961">
        <f>IF(C961="","",IF(COUNTIFS(C$5:C961,C961,E$5:E961,E961)=1,1,0))</f>
        <v/>
      </c>
      <c r="L961">
        <f>IF(C961="",0,IF(AND(B961="brand",E961="budget_probe",N(F961)&gt;=Inputs!$C$114,H961="Y"),1,0))</f>
        <v/>
      </c>
      <c r="M961">
        <f>IF(L961=1,IF(COUNTIFS(C$5:C961,C961,L$5:L961,1)=1,1,0),0)</f>
        <v/>
      </c>
      <c r="N961">
        <f>IF(C961="",0,IF(AND(B961="office",E961="budget_probe",N(F961)&gt;=Inputs!$C$129),1,0))</f>
        <v/>
      </c>
      <c r="O961">
        <f>IF(N961=1,IF(COUNTIFS(C$5:C961,C961,N$5:N961,1)=1,1,0),0)</f>
        <v/>
      </c>
      <c r="P961">
        <f>IF(C961="",0,IF(AND(B961="brand",E961="renewal_answer",N(F961)&gt;=Inputs!$C$125),1,0))</f>
        <v/>
      </c>
      <c r="Q961">
        <f>IF(AND(B961="office",E961="budget_probe",ISNUMBER(F961)),F961,"")</f>
        <v/>
      </c>
      <c r="R961">
        <f>IF(AND(B961="brand",E961="budget_probe",ISNUMBER(F961)),F961,"")</f>
        <v/>
      </c>
    </row>
    <row r="962">
      <c r="A962" s="91" t="n"/>
      <c r="B962" s="92" t="n"/>
      <c r="C962" s="92" t="n"/>
      <c r="D962" s="92" t="n"/>
      <c r="E962" s="92" t="n"/>
      <c r="F962" s="92" t="n"/>
      <c r="G962" s="92" t="n"/>
      <c r="H962" s="92" t="n"/>
      <c r="I962" s="92" t="n"/>
      <c r="K962">
        <f>IF(C962="","",IF(COUNTIFS(C$5:C962,C962,E$5:E962,E962)=1,1,0))</f>
        <v/>
      </c>
      <c r="L962">
        <f>IF(C962="",0,IF(AND(B962="brand",E962="budget_probe",N(F962)&gt;=Inputs!$C$114,H962="Y"),1,0))</f>
        <v/>
      </c>
      <c r="M962">
        <f>IF(L962=1,IF(COUNTIFS(C$5:C962,C962,L$5:L962,1)=1,1,0),0)</f>
        <v/>
      </c>
      <c r="N962">
        <f>IF(C962="",0,IF(AND(B962="office",E962="budget_probe",N(F962)&gt;=Inputs!$C$129),1,0))</f>
        <v/>
      </c>
      <c r="O962">
        <f>IF(N962=1,IF(COUNTIFS(C$5:C962,C962,N$5:N962,1)=1,1,0),0)</f>
        <v/>
      </c>
      <c r="P962">
        <f>IF(C962="",0,IF(AND(B962="brand",E962="renewal_answer",N(F962)&gt;=Inputs!$C$125),1,0))</f>
        <v/>
      </c>
      <c r="Q962">
        <f>IF(AND(B962="office",E962="budget_probe",ISNUMBER(F962)),F962,"")</f>
        <v/>
      </c>
      <c r="R962">
        <f>IF(AND(B962="brand",E962="budget_probe",ISNUMBER(F962)),F962,"")</f>
        <v/>
      </c>
    </row>
    <row r="963">
      <c r="A963" s="91" t="n"/>
      <c r="B963" s="92" t="n"/>
      <c r="C963" s="92" t="n"/>
      <c r="D963" s="92" t="n"/>
      <c r="E963" s="92" t="n"/>
      <c r="F963" s="92" t="n"/>
      <c r="G963" s="92" t="n"/>
      <c r="H963" s="92" t="n"/>
      <c r="I963" s="92" t="n"/>
      <c r="K963">
        <f>IF(C963="","",IF(COUNTIFS(C$5:C963,C963,E$5:E963,E963)=1,1,0))</f>
        <v/>
      </c>
      <c r="L963">
        <f>IF(C963="",0,IF(AND(B963="brand",E963="budget_probe",N(F963)&gt;=Inputs!$C$114,H963="Y"),1,0))</f>
        <v/>
      </c>
      <c r="M963">
        <f>IF(L963=1,IF(COUNTIFS(C$5:C963,C963,L$5:L963,1)=1,1,0),0)</f>
        <v/>
      </c>
      <c r="N963">
        <f>IF(C963="",0,IF(AND(B963="office",E963="budget_probe",N(F963)&gt;=Inputs!$C$129),1,0))</f>
        <v/>
      </c>
      <c r="O963">
        <f>IF(N963=1,IF(COUNTIFS(C$5:C963,C963,N$5:N963,1)=1,1,0),0)</f>
        <v/>
      </c>
      <c r="P963">
        <f>IF(C963="",0,IF(AND(B963="brand",E963="renewal_answer",N(F963)&gt;=Inputs!$C$125),1,0))</f>
        <v/>
      </c>
      <c r="Q963">
        <f>IF(AND(B963="office",E963="budget_probe",ISNUMBER(F963)),F963,"")</f>
        <v/>
      </c>
      <c r="R963">
        <f>IF(AND(B963="brand",E963="budget_probe",ISNUMBER(F963)),F963,"")</f>
        <v/>
      </c>
    </row>
    <row r="964">
      <c r="A964" s="91" t="n"/>
      <c r="B964" s="92" t="n"/>
      <c r="C964" s="92" t="n"/>
      <c r="D964" s="92" t="n"/>
      <c r="E964" s="92" t="n"/>
      <c r="F964" s="92" t="n"/>
      <c r="G964" s="92" t="n"/>
      <c r="H964" s="92" t="n"/>
      <c r="I964" s="92" t="n"/>
      <c r="K964">
        <f>IF(C964="","",IF(COUNTIFS(C$5:C964,C964,E$5:E964,E964)=1,1,0))</f>
        <v/>
      </c>
      <c r="L964">
        <f>IF(C964="",0,IF(AND(B964="brand",E964="budget_probe",N(F964)&gt;=Inputs!$C$114,H964="Y"),1,0))</f>
        <v/>
      </c>
      <c r="M964">
        <f>IF(L964=1,IF(COUNTIFS(C$5:C964,C964,L$5:L964,1)=1,1,0),0)</f>
        <v/>
      </c>
      <c r="N964">
        <f>IF(C964="",0,IF(AND(B964="office",E964="budget_probe",N(F964)&gt;=Inputs!$C$129),1,0))</f>
        <v/>
      </c>
      <c r="O964">
        <f>IF(N964=1,IF(COUNTIFS(C$5:C964,C964,N$5:N964,1)=1,1,0),0)</f>
        <v/>
      </c>
      <c r="P964">
        <f>IF(C964="",0,IF(AND(B964="brand",E964="renewal_answer",N(F964)&gt;=Inputs!$C$125),1,0))</f>
        <v/>
      </c>
      <c r="Q964">
        <f>IF(AND(B964="office",E964="budget_probe",ISNUMBER(F964)),F964,"")</f>
        <v/>
      </c>
      <c r="R964">
        <f>IF(AND(B964="brand",E964="budget_probe",ISNUMBER(F964)),F964,"")</f>
        <v/>
      </c>
    </row>
    <row r="965">
      <c r="A965" s="91" t="n"/>
      <c r="B965" s="92" t="n"/>
      <c r="C965" s="92" t="n"/>
      <c r="D965" s="92" t="n"/>
      <c r="E965" s="92" t="n"/>
      <c r="F965" s="92" t="n"/>
      <c r="G965" s="92" t="n"/>
      <c r="H965" s="92" t="n"/>
      <c r="I965" s="92" t="n"/>
      <c r="K965">
        <f>IF(C965="","",IF(COUNTIFS(C$5:C965,C965,E$5:E965,E965)=1,1,0))</f>
        <v/>
      </c>
      <c r="L965">
        <f>IF(C965="",0,IF(AND(B965="brand",E965="budget_probe",N(F965)&gt;=Inputs!$C$114,H965="Y"),1,0))</f>
        <v/>
      </c>
      <c r="M965">
        <f>IF(L965=1,IF(COUNTIFS(C$5:C965,C965,L$5:L965,1)=1,1,0),0)</f>
        <v/>
      </c>
      <c r="N965">
        <f>IF(C965="",0,IF(AND(B965="office",E965="budget_probe",N(F965)&gt;=Inputs!$C$129),1,0))</f>
        <v/>
      </c>
      <c r="O965">
        <f>IF(N965=1,IF(COUNTIFS(C$5:C965,C965,N$5:N965,1)=1,1,0),0)</f>
        <v/>
      </c>
      <c r="P965">
        <f>IF(C965="",0,IF(AND(B965="brand",E965="renewal_answer",N(F965)&gt;=Inputs!$C$125),1,0))</f>
        <v/>
      </c>
      <c r="Q965">
        <f>IF(AND(B965="office",E965="budget_probe",ISNUMBER(F965)),F965,"")</f>
        <v/>
      </c>
      <c r="R965">
        <f>IF(AND(B965="brand",E965="budget_probe",ISNUMBER(F965)),F965,"")</f>
        <v/>
      </c>
    </row>
    <row r="966">
      <c r="A966" s="91" t="n"/>
      <c r="B966" s="92" t="n"/>
      <c r="C966" s="92" t="n"/>
      <c r="D966" s="92" t="n"/>
      <c r="E966" s="92" t="n"/>
      <c r="F966" s="92" t="n"/>
      <c r="G966" s="92" t="n"/>
      <c r="H966" s="92" t="n"/>
      <c r="I966" s="92" t="n"/>
      <c r="K966">
        <f>IF(C966="","",IF(COUNTIFS(C$5:C966,C966,E$5:E966,E966)=1,1,0))</f>
        <v/>
      </c>
      <c r="L966">
        <f>IF(C966="",0,IF(AND(B966="brand",E966="budget_probe",N(F966)&gt;=Inputs!$C$114,H966="Y"),1,0))</f>
        <v/>
      </c>
      <c r="M966">
        <f>IF(L966=1,IF(COUNTIFS(C$5:C966,C966,L$5:L966,1)=1,1,0),0)</f>
        <v/>
      </c>
      <c r="N966">
        <f>IF(C966="",0,IF(AND(B966="office",E966="budget_probe",N(F966)&gt;=Inputs!$C$129),1,0))</f>
        <v/>
      </c>
      <c r="O966">
        <f>IF(N966=1,IF(COUNTIFS(C$5:C966,C966,N$5:N966,1)=1,1,0),0)</f>
        <v/>
      </c>
      <c r="P966">
        <f>IF(C966="",0,IF(AND(B966="brand",E966="renewal_answer",N(F966)&gt;=Inputs!$C$125),1,0))</f>
        <v/>
      </c>
      <c r="Q966">
        <f>IF(AND(B966="office",E966="budget_probe",ISNUMBER(F966)),F966,"")</f>
        <v/>
      </c>
      <c r="R966">
        <f>IF(AND(B966="brand",E966="budget_probe",ISNUMBER(F966)),F966,"")</f>
        <v/>
      </c>
    </row>
    <row r="967">
      <c r="A967" s="91" t="n"/>
      <c r="B967" s="92" t="n"/>
      <c r="C967" s="92" t="n"/>
      <c r="D967" s="92" t="n"/>
      <c r="E967" s="92" t="n"/>
      <c r="F967" s="92" t="n"/>
      <c r="G967" s="92" t="n"/>
      <c r="H967" s="92" t="n"/>
      <c r="I967" s="92" t="n"/>
      <c r="K967">
        <f>IF(C967="","",IF(COUNTIFS(C$5:C967,C967,E$5:E967,E967)=1,1,0))</f>
        <v/>
      </c>
      <c r="L967">
        <f>IF(C967="",0,IF(AND(B967="brand",E967="budget_probe",N(F967)&gt;=Inputs!$C$114,H967="Y"),1,0))</f>
        <v/>
      </c>
      <c r="M967">
        <f>IF(L967=1,IF(COUNTIFS(C$5:C967,C967,L$5:L967,1)=1,1,0),0)</f>
        <v/>
      </c>
      <c r="N967">
        <f>IF(C967="",0,IF(AND(B967="office",E967="budget_probe",N(F967)&gt;=Inputs!$C$129),1,0))</f>
        <v/>
      </c>
      <c r="O967">
        <f>IF(N967=1,IF(COUNTIFS(C$5:C967,C967,N$5:N967,1)=1,1,0),0)</f>
        <v/>
      </c>
      <c r="P967">
        <f>IF(C967="",0,IF(AND(B967="brand",E967="renewal_answer",N(F967)&gt;=Inputs!$C$125),1,0))</f>
        <v/>
      </c>
      <c r="Q967">
        <f>IF(AND(B967="office",E967="budget_probe",ISNUMBER(F967)),F967,"")</f>
        <v/>
      </c>
      <c r="R967">
        <f>IF(AND(B967="brand",E967="budget_probe",ISNUMBER(F967)),F967,"")</f>
        <v/>
      </c>
    </row>
    <row r="968">
      <c r="A968" s="91" t="n"/>
      <c r="B968" s="92" t="n"/>
      <c r="C968" s="92" t="n"/>
      <c r="D968" s="92" t="n"/>
      <c r="E968" s="92" t="n"/>
      <c r="F968" s="92" t="n"/>
      <c r="G968" s="92" t="n"/>
      <c r="H968" s="92" t="n"/>
      <c r="I968" s="92" t="n"/>
      <c r="K968">
        <f>IF(C968="","",IF(COUNTIFS(C$5:C968,C968,E$5:E968,E968)=1,1,0))</f>
        <v/>
      </c>
      <c r="L968">
        <f>IF(C968="",0,IF(AND(B968="brand",E968="budget_probe",N(F968)&gt;=Inputs!$C$114,H968="Y"),1,0))</f>
        <v/>
      </c>
      <c r="M968">
        <f>IF(L968=1,IF(COUNTIFS(C$5:C968,C968,L$5:L968,1)=1,1,0),0)</f>
        <v/>
      </c>
      <c r="N968">
        <f>IF(C968="",0,IF(AND(B968="office",E968="budget_probe",N(F968)&gt;=Inputs!$C$129),1,0))</f>
        <v/>
      </c>
      <c r="O968">
        <f>IF(N968=1,IF(COUNTIFS(C$5:C968,C968,N$5:N968,1)=1,1,0),0)</f>
        <v/>
      </c>
      <c r="P968">
        <f>IF(C968="",0,IF(AND(B968="brand",E968="renewal_answer",N(F968)&gt;=Inputs!$C$125),1,0))</f>
        <v/>
      </c>
      <c r="Q968">
        <f>IF(AND(B968="office",E968="budget_probe",ISNUMBER(F968)),F968,"")</f>
        <v/>
      </c>
      <c r="R968">
        <f>IF(AND(B968="brand",E968="budget_probe",ISNUMBER(F968)),F968,"")</f>
        <v/>
      </c>
    </row>
    <row r="969">
      <c r="A969" s="91" t="n"/>
      <c r="B969" s="92" t="n"/>
      <c r="C969" s="92" t="n"/>
      <c r="D969" s="92" t="n"/>
      <c r="E969" s="92" t="n"/>
      <c r="F969" s="92" t="n"/>
      <c r="G969" s="92" t="n"/>
      <c r="H969" s="92" t="n"/>
      <c r="I969" s="92" t="n"/>
      <c r="K969">
        <f>IF(C969="","",IF(COUNTIFS(C$5:C969,C969,E$5:E969,E969)=1,1,0))</f>
        <v/>
      </c>
      <c r="L969">
        <f>IF(C969="",0,IF(AND(B969="brand",E969="budget_probe",N(F969)&gt;=Inputs!$C$114,H969="Y"),1,0))</f>
        <v/>
      </c>
      <c r="M969">
        <f>IF(L969=1,IF(COUNTIFS(C$5:C969,C969,L$5:L969,1)=1,1,0),0)</f>
        <v/>
      </c>
      <c r="N969">
        <f>IF(C969="",0,IF(AND(B969="office",E969="budget_probe",N(F969)&gt;=Inputs!$C$129),1,0))</f>
        <v/>
      </c>
      <c r="O969">
        <f>IF(N969=1,IF(COUNTIFS(C$5:C969,C969,N$5:N969,1)=1,1,0),0)</f>
        <v/>
      </c>
      <c r="P969">
        <f>IF(C969="",0,IF(AND(B969="brand",E969="renewal_answer",N(F969)&gt;=Inputs!$C$125),1,0))</f>
        <v/>
      </c>
      <c r="Q969">
        <f>IF(AND(B969="office",E969="budget_probe",ISNUMBER(F969)),F969,"")</f>
        <v/>
      </c>
      <c r="R969">
        <f>IF(AND(B969="brand",E969="budget_probe",ISNUMBER(F969)),F969,"")</f>
        <v/>
      </c>
    </row>
    <row r="970">
      <c r="A970" s="91" t="n"/>
      <c r="B970" s="92" t="n"/>
      <c r="C970" s="92" t="n"/>
      <c r="D970" s="92" t="n"/>
      <c r="E970" s="92" t="n"/>
      <c r="F970" s="92" t="n"/>
      <c r="G970" s="92" t="n"/>
      <c r="H970" s="92" t="n"/>
      <c r="I970" s="92" t="n"/>
      <c r="K970">
        <f>IF(C970="","",IF(COUNTIFS(C$5:C970,C970,E$5:E970,E970)=1,1,0))</f>
        <v/>
      </c>
      <c r="L970">
        <f>IF(C970="",0,IF(AND(B970="brand",E970="budget_probe",N(F970)&gt;=Inputs!$C$114,H970="Y"),1,0))</f>
        <v/>
      </c>
      <c r="M970">
        <f>IF(L970=1,IF(COUNTIFS(C$5:C970,C970,L$5:L970,1)=1,1,0),0)</f>
        <v/>
      </c>
      <c r="N970">
        <f>IF(C970="",0,IF(AND(B970="office",E970="budget_probe",N(F970)&gt;=Inputs!$C$129),1,0))</f>
        <v/>
      </c>
      <c r="O970">
        <f>IF(N970=1,IF(COUNTIFS(C$5:C970,C970,N$5:N970,1)=1,1,0),0)</f>
        <v/>
      </c>
      <c r="P970">
        <f>IF(C970="",0,IF(AND(B970="brand",E970="renewal_answer",N(F970)&gt;=Inputs!$C$125),1,0))</f>
        <v/>
      </c>
      <c r="Q970">
        <f>IF(AND(B970="office",E970="budget_probe",ISNUMBER(F970)),F970,"")</f>
        <v/>
      </c>
      <c r="R970">
        <f>IF(AND(B970="brand",E970="budget_probe",ISNUMBER(F970)),F970,"")</f>
        <v/>
      </c>
    </row>
    <row r="971">
      <c r="A971" s="91" t="n"/>
      <c r="B971" s="92" t="n"/>
      <c r="C971" s="92" t="n"/>
      <c r="D971" s="92" t="n"/>
      <c r="E971" s="92" t="n"/>
      <c r="F971" s="92" t="n"/>
      <c r="G971" s="92" t="n"/>
      <c r="H971" s="92" t="n"/>
      <c r="I971" s="92" t="n"/>
      <c r="K971">
        <f>IF(C971="","",IF(COUNTIFS(C$5:C971,C971,E$5:E971,E971)=1,1,0))</f>
        <v/>
      </c>
      <c r="L971">
        <f>IF(C971="",0,IF(AND(B971="brand",E971="budget_probe",N(F971)&gt;=Inputs!$C$114,H971="Y"),1,0))</f>
        <v/>
      </c>
      <c r="M971">
        <f>IF(L971=1,IF(COUNTIFS(C$5:C971,C971,L$5:L971,1)=1,1,0),0)</f>
        <v/>
      </c>
      <c r="N971">
        <f>IF(C971="",0,IF(AND(B971="office",E971="budget_probe",N(F971)&gt;=Inputs!$C$129),1,0))</f>
        <v/>
      </c>
      <c r="O971">
        <f>IF(N971=1,IF(COUNTIFS(C$5:C971,C971,N$5:N971,1)=1,1,0),0)</f>
        <v/>
      </c>
      <c r="P971">
        <f>IF(C971="",0,IF(AND(B971="brand",E971="renewal_answer",N(F971)&gt;=Inputs!$C$125),1,0))</f>
        <v/>
      </c>
      <c r="Q971">
        <f>IF(AND(B971="office",E971="budget_probe",ISNUMBER(F971)),F971,"")</f>
        <v/>
      </c>
      <c r="R971">
        <f>IF(AND(B971="brand",E971="budget_probe",ISNUMBER(F971)),F971,"")</f>
        <v/>
      </c>
    </row>
    <row r="972">
      <c r="A972" s="91" t="n"/>
      <c r="B972" s="92" t="n"/>
      <c r="C972" s="92" t="n"/>
      <c r="D972" s="92" t="n"/>
      <c r="E972" s="92" t="n"/>
      <c r="F972" s="92" t="n"/>
      <c r="G972" s="92" t="n"/>
      <c r="H972" s="92" t="n"/>
      <c r="I972" s="92" t="n"/>
      <c r="K972">
        <f>IF(C972="","",IF(COUNTIFS(C$5:C972,C972,E$5:E972,E972)=1,1,0))</f>
        <v/>
      </c>
      <c r="L972">
        <f>IF(C972="",0,IF(AND(B972="brand",E972="budget_probe",N(F972)&gt;=Inputs!$C$114,H972="Y"),1,0))</f>
        <v/>
      </c>
      <c r="M972">
        <f>IF(L972=1,IF(COUNTIFS(C$5:C972,C972,L$5:L972,1)=1,1,0),0)</f>
        <v/>
      </c>
      <c r="N972">
        <f>IF(C972="",0,IF(AND(B972="office",E972="budget_probe",N(F972)&gt;=Inputs!$C$129),1,0))</f>
        <v/>
      </c>
      <c r="O972">
        <f>IF(N972=1,IF(COUNTIFS(C$5:C972,C972,N$5:N972,1)=1,1,0),0)</f>
        <v/>
      </c>
      <c r="P972">
        <f>IF(C972="",0,IF(AND(B972="brand",E972="renewal_answer",N(F972)&gt;=Inputs!$C$125),1,0))</f>
        <v/>
      </c>
      <c r="Q972">
        <f>IF(AND(B972="office",E972="budget_probe",ISNUMBER(F972)),F972,"")</f>
        <v/>
      </c>
      <c r="R972">
        <f>IF(AND(B972="brand",E972="budget_probe",ISNUMBER(F972)),F972,"")</f>
        <v/>
      </c>
    </row>
    <row r="973">
      <c r="A973" s="91" t="n"/>
      <c r="B973" s="92" t="n"/>
      <c r="C973" s="92" t="n"/>
      <c r="D973" s="92" t="n"/>
      <c r="E973" s="92" t="n"/>
      <c r="F973" s="92" t="n"/>
      <c r="G973" s="92" t="n"/>
      <c r="H973" s="92" t="n"/>
      <c r="I973" s="92" t="n"/>
      <c r="K973">
        <f>IF(C973="","",IF(COUNTIFS(C$5:C973,C973,E$5:E973,E973)=1,1,0))</f>
        <v/>
      </c>
      <c r="L973">
        <f>IF(C973="",0,IF(AND(B973="brand",E973="budget_probe",N(F973)&gt;=Inputs!$C$114,H973="Y"),1,0))</f>
        <v/>
      </c>
      <c r="M973">
        <f>IF(L973=1,IF(COUNTIFS(C$5:C973,C973,L$5:L973,1)=1,1,0),0)</f>
        <v/>
      </c>
      <c r="N973">
        <f>IF(C973="",0,IF(AND(B973="office",E973="budget_probe",N(F973)&gt;=Inputs!$C$129),1,0))</f>
        <v/>
      </c>
      <c r="O973">
        <f>IF(N973=1,IF(COUNTIFS(C$5:C973,C973,N$5:N973,1)=1,1,0),0)</f>
        <v/>
      </c>
      <c r="P973">
        <f>IF(C973="",0,IF(AND(B973="brand",E973="renewal_answer",N(F973)&gt;=Inputs!$C$125),1,0))</f>
        <v/>
      </c>
      <c r="Q973">
        <f>IF(AND(B973="office",E973="budget_probe",ISNUMBER(F973)),F973,"")</f>
        <v/>
      </c>
      <c r="R973">
        <f>IF(AND(B973="brand",E973="budget_probe",ISNUMBER(F973)),F973,"")</f>
        <v/>
      </c>
    </row>
    <row r="974">
      <c r="A974" s="91" t="n"/>
      <c r="B974" s="92" t="n"/>
      <c r="C974" s="92" t="n"/>
      <c r="D974" s="92" t="n"/>
      <c r="E974" s="92" t="n"/>
      <c r="F974" s="92" t="n"/>
      <c r="G974" s="92" t="n"/>
      <c r="H974" s="92" t="n"/>
      <c r="I974" s="92" t="n"/>
      <c r="K974">
        <f>IF(C974="","",IF(COUNTIFS(C$5:C974,C974,E$5:E974,E974)=1,1,0))</f>
        <v/>
      </c>
      <c r="L974">
        <f>IF(C974="",0,IF(AND(B974="brand",E974="budget_probe",N(F974)&gt;=Inputs!$C$114,H974="Y"),1,0))</f>
        <v/>
      </c>
      <c r="M974">
        <f>IF(L974=1,IF(COUNTIFS(C$5:C974,C974,L$5:L974,1)=1,1,0),0)</f>
        <v/>
      </c>
      <c r="N974">
        <f>IF(C974="",0,IF(AND(B974="office",E974="budget_probe",N(F974)&gt;=Inputs!$C$129),1,0))</f>
        <v/>
      </c>
      <c r="O974">
        <f>IF(N974=1,IF(COUNTIFS(C$5:C974,C974,N$5:N974,1)=1,1,0),0)</f>
        <v/>
      </c>
      <c r="P974">
        <f>IF(C974="",0,IF(AND(B974="brand",E974="renewal_answer",N(F974)&gt;=Inputs!$C$125),1,0))</f>
        <v/>
      </c>
      <c r="Q974">
        <f>IF(AND(B974="office",E974="budget_probe",ISNUMBER(F974)),F974,"")</f>
        <v/>
      </c>
      <c r="R974">
        <f>IF(AND(B974="brand",E974="budget_probe",ISNUMBER(F974)),F974,"")</f>
        <v/>
      </c>
    </row>
    <row r="975">
      <c r="A975" s="91" t="n"/>
      <c r="B975" s="92" t="n"/>
      <c r="C975" s="92" t="n"/>
      <c r="D975" s="92" t="n"/>
      <c r="E975" s="92" t="n"/>
      <c r="F975" s="92" t="n"/>
      <c r="G975" s="92" t="n"/>
      <c r="H975" s="92" t="n"/>
      <c r="I975" s="92" t="n"/>
      <c r="K975">
        <f>IF(C975="","",IF(COUNTIFS(C$5:C975,C975,E$5:E975,E975)=1,1,0))</f>
        <v/>
      </c>
      <c r="L975">
        <f>IF(C975="",0,IF(AND(B975="brand",E975="budget_probe",N(F975)&gt;=Inputs!$C$114,H975="Y"),1,0))</f>
        <v/>
      </c>
      <c r="M975">
        <f>IF(L975=1,IF(COUNTIFS(C$5:C975,C975,L$5:L975,1)=1,1,0),0)</f>
        <v/>
      </c>
      <c r="N975">
        <f>IF(C975="",0,IF(AND(B975="office",E975="budget_probe",N(F975)&gt;=Inputs!$C$129),1,0))</f>
        <v/>
      </c>
      <c r="O975">
        <f>IF(N975=1,IF(COUNTIFS(C$5:C975,C975,N$5:N975,1)=1,1,0),0)</f>
        <v/>
      </c>
      <c r="P975">
        <f>IF(C975="",0,IF(AND(B975="brand",E975="renewal_answer",N(F975)&gt;=Inputs!$C$125),1,0))</f>
        <v/>
      </c>
      <c r="Q975">
        <f>IF(AND(B975="office",E975="budget_probe",ISNUMBER(F975)),F975,"")</f>
        <v/>
      </c>
      <c r="R975">
        <f>IF(AND(B975="brand",E975="budget_probe",ISNUMBER(F975)),F975,"")</f>
        <v/>
      </c>
    </row>
    <row r="976">
      <c r="A976" s="91" t="n"/>
      <c r="B976" s="92" t="n"/>
      <c r="C976" s="92" t="n"/>
      <c r="D976" s="92" t="n"/>
      <c r="E976" s="92" t="n"/>
      <c r="F976" s="92" t="n"/>
      <c r="G976" s="92" t="n"/>
      <c r="H976" s="92" t="n"/>
      <c r="I976" s="92" t="n"/>
      <c r="K976">
        <f>IF(C976="","",IF(COUNTIFS(C$5:C976,C976,E$5:E976,E976)=1,1,0))</f>
        <v/>
      </c>
      <c r="L976">
        <f>IF(C976="",0,IF(AND(B976="brand",E976="budget_probe",N(F976)&gt;=Inputs!$C$114,H976="Y"),1,0))</f>
        <v/>
      </c>
      <c r="M976">
        <f>IF(L976=1,IF(COUNTIFS(C$5:C976,C976,L$5:L976,1)=1,1,0),0)</f>
        <v/>
      </c>
      <c r="N976">
        <f>IF(C976="",0,IF(AND(B976="office",E976="budget_probe",N(F976)&gt;=Inputs!$C$129),1,0))</f>
        <v/>
      </c>
      <c r="O976">
        <f>IF(N976=1,IF(COUNTIFS(C$5:C976,C976,N$5:N976,1)=1,1,0),0)</f>
        <v/>
      </c>
      <c r="P976">
        <f>IF(C976="",0,IF(AND(B976="brand",E976="renewal_answer",N(F976)&gt;=Inputs!$C$125),1,0))</f>
        <v/>
      </c>
      <c r="Q976">
        <f>IF(AND(B976="office",E976="budget_probe",ISNUMBER(F976)),F976,"")</f>
        <v/>
      </c>
      <c r="R976">
        <f>IF(AND(B976="brand",E976="budget_probe",ISNUMBER(F976)),F976,"")</f>
        <v/>
      </c>
    </row>
    <row r="977">
      <c r="A977" s="91" t="n"/>
      <c r="B977" s="92" t="n"/>
      <c r="C977" s="92" t="n"/>
      <c r="D977" s="92" t="n"/>
      <c r="E977" s="92" t="n"/>
      <c r="F977" s="92" t="n"/>
      <c r="G977" s="92" t="n"/>
      <c r="H977" s="92" t="n"/>
      <c r="I977" s="92" t="n"/>
      <c r="K977">
        <f>IF(C977="","",IF(COUNTIFS(C$5:C977,C977,E$5:E977,E977)=1,1,0))</f>
        <v/>
      </c>
      <c r="L977">
        <f>IF(C977="",0,IF(AND(B977="brand",E977="budget_probe",N(F977)&gt;=Inputs!$C$114,H977="Y"),1,0))</f>
        <v/>
      </c>
      <c r="M977">
        <f>IF(L977=1,IF(COUNTIFS(C$5:C977,C977,L$5:L977,1)=1,1,0),0)</f>
        <v/>
      </c>
      <c r="N977">
        <f>IF(C977="",0,IF(AND(B977="office",E977="budget_probe",N(F977)&gt;=Inputs!$C$129),1,0))</f>
        <v/>
      </c>
      <c r="O977">
        <f>IF(N977=1,IF(COUNTIFS(C$5:C977,C977,N$5:N977,1)=1,1,0),0)</f>
        <v/>
      </c>
      <c r="P977">
        <f>IF(C977="",0,IF(AND(B977="brand",E977="renewal_answer",N(F977)&gt;=Inputs!$C$125),1,0))</f>
        <v/>
      </c>
      <c r="Q977">
        <f>IF(AND(B977="office",E977="budget_probe",ISNUMBER(F977)),F977,"")</f>
        <v/>
      </c>
      <c r="R977">
        <f>IF(AND(B977="brand",E977="budget_probe",ISNUMBER(F977)),F977,"")</f>
        <v/>
      </c>
    </row>
    <row r="978">
      <c r="A978" s="91" t="n"/>
      <c r="B978" s="92" t="n"/>
      <c r="C978" s="92" t="n"/>
      <c r="D978" s="92" t="n"/>
      <c r="E978" s="92" t="n"/>
      <c r="F978" s="92" t="n"/>
      <c r="G978" s="92" t="n"/>
      <c r="H978" s="92" t="n"/>
      <c r="I978" s="92" t="n"/>
      <c r="K978">
        <f>IF(C978="","",IF(COUNTIFS(C$5:C978,C978,E$5:E978,E978)=1,1,0))</f>
        <v/>
      </c>
      <c r="L978">
        <f>IF(C978="",0,IF(AND(B978="brand",E978="budget_probe",N(F978)&gt;=Inputs!$C$114,H978="Y"),1,0))</f>
        <v/>
      </c>
      <c r="M978">
        <f>IF(L978=1,IF(COUNTIFS(C$5:C978,C978,L$5:L978,1)=1,1,0),0)</f>
        <v/>
      </c>
      <c r="N978">
        <f>IF(C978="",0,IF(AND(B978="office",E978="budget_probe",N(F978)&gt;=Inputs!$C$129),1,0))</f>
        <v/>
      </c>
      <c r="O978">
        <f>IF(N978=1,IF(COUNTIFS(C$5:C978,C978,N$5:N978,1)=1,1,0),0)</f>
        <v/>
      </c>
      <c r="P978">
        <f>IF(C978="",0,IF(AND(B978="brand",E978="renewal_answer",N(F978)&gt;=Inputs!$C$125),1,0))</f>
        <v/>
      </c>
      <c r="Q978">
        <f>IF(AND(B978="office",E978="budget_probe",ISNUMBER(F978)),F978,"")</f>
        <v/>
      </c>
      <c r="R978">
        <f>IF(AND(B978="brand",E978="budget_probe",ISNUMBER(F978)),F978,"")</f>
        <v/>
      </c>
    </row>
    <row r="979">
      <c r="A979" s="91" t="n"/>
      <c r="B979" s="92" t="n"/>
      <c r="C979" s="92" t="n"/>
      <c r="D979" s="92" t="n"/>
      <c r="E979" s="92" t="n"/>
      <c r="F979" s="92" t="n"/>
      <c r="G979" s="92" t="n"/>
      <c r="H979" s="92" t="n"/>
      <c r="I979" s="92" t="n"/>
      <c r="K979">
        <f>IF(C979="","",IF(COUNTIFS(C$5:C979,C979,E$5:E979,E979)=1,1,0))</f>
        <v/>
      </c>
      <c r="L979">
        <f>IF(C979="",0,IF(AND(B979="brand",E979="budget_probe",N(F979)&gt;=Inputs!$C$114,H979="Y"),1,0))</f>
        <v/>
      </c>
      <c r="M979">
        <f>IF(L979=1,IF(COUNTIFS(C$5:C979,C979,L$5:L979,1)=1,1,0),0)</f>
        <v/>
      </c>
      <c r="N979">
        <f>IF(C979="",0,IF(AND(B979="office",E979="budget_probe",N(F979)&gt;=Inputs!$C$129),1,0))</f>
        <v/>
      </c>
      <c r="O979">
        <f>IF(N979=1,IF(COUNTIFS(C$5:C979,C979,N$5:N979,1)=1,1,0),0)</f>
        <v/>
      </c>
      <c r="P979">
        <f>IF(C979="",0,IF(AND(B979="brand",E979="renewal_answer",N(F979)&gt;=Inputs!$C$125),1,0))</f>
        <v/>
      </c>
      <c r="Q979">
        <f>IF(AND(B979="office",E979="budget_probe",ISNUMBER(F979)),F979,"")</f>
        <v/>
      </c>
      <c r="R979">
        <f>IF(AND(B979="brand",E979="budget_probe",ISNUMBER(F979)),F979,"")</f>
        <v/>
      </c>
    </row>
    <row r="980">
      <c r="A980" s="91" t="n"/>
      <c r="B980" s="92" t="n"/>
      <c r="C980" s="92" t="n"/>
      <c r="D980" s="92" t="n"/>
      <c r="E980" s="92" t="n"/>
      <c r="F980" s="92" t="n"/>
      <c r="G980" s="92" t="n"/>
      <c r="H980" s="92" t="n"/>
      <c r="I980" s="92" t="n"/>
      <c r="K980">
        <f>IF(C980="","",IF(COUNTIFS(C$5:C980,C980,E$5:E980,E980)=1,1,0))</f>
        <v/>
      </c>
      <c r="L980">
        <f>IF(C980="",0,IF(AND(B980="brand",E980="budget_probe",N(F980)&gt;=Inputs!$C$114,H980="Y"),1,0))</f>
        <v/>
      </c>
      <c r="M980">
        <f>IF(L980=1,IF(COUNTIFS(C$5:C980,C980,L$5:L980,1)=1,1,0),0)</f>
        <v/>
      </c>
      <c r="N980">
        <f>IF(C980="",0,IF(AND(B980="office",E980="budget_probe",N(F980)&gt;=Inputs!$C$129),1,0))</f>
        <v/>
      </c>
      <c r="O980">
        <f>IF(N980=1,IF(COUNTIFS(C$5:C980,C980,N$5:N980,1)=1,1,0),0)</f>
        <v/>
      </c>
      <c r="P980">
        <f>IF(C980="",0,IF(AND(B980="brand",E980="renewal_answer",N(F980)&gt;=Inputs!$C$125),1,0))</f>
        <v/>
      </c>
      <c r="Q980">
        <f>IF(AND(B980="office",E980="budget_probe",ISNUMBER(F980)),F980,"")</f>
        <v/>
      </c>
      <c r="R980">
        <f>IF(AND(B980="brand",E980="budget_probe",ISNUMBER(F980)),F980,"")</f>
        <v/>
      </c>
    </row>
    <row r="981">
      <c r="A981" s="91" t="n"/>
      <c r="B981" s="92" t="n"/>
      <c r="C981" s="92" t="n"/>
      <c r="D981" s="92" t="n"/>
      <c r="E981" s="92" t="n"/>
      <c r="F981" s="92" t="n"/>
      <c r="G981" s="92" t="n"/>
      <c r="H981" s="92" t="n"/>
      <c r="I981" s="92" t="n"/>
      <c r="K981">
        <f>IF(C981="","",IF(COUNTIFS(C$5:C981,C981,E$5:E981,E981)=1,1,0))</f>
        <v/>
      </c>
      <c r="L981">
        <f>IF(C981="",0,IF(AND(B981="brand",E981="budget_probe",N(F981)&gt;=Inputs!$C$114,H981="Y"),1,0))</f>
        <v/>
      </c>
      <c r="M981">
        <f>IF(L981=1,IF(COUNTIFS(C$5:C981,C981,L$5:L981,1)=1,1,0),0)</f>
        <v/>
      </c>
      <c r="N981">
        <f>IF(C981="",0,IF(AND(B981="office",E981="budget_probe",N(F981)&gt;=Inputs!$C$129),1,0))</f>
        <v/>
      </c>
      <c r="O981">
        <f>IF(N981=1,IF(COUNTIFS(C$5:C981,C981,N$5:N981,1)=1,1,0),0)</f>
        <v/>
      </c>
      <c r="P981">
        <f>IF(C981="",0,IF(AND(B981="brand",E981="renewal_answer",N(F981)&gt;=Inputs!$C$125),1,0))</f>
        <v/>
      </c>
      <c r="Q981">
        <f>IF(AND(B981="office",E981="budget_probe",ISNUMBER(F981)),F981,"")</f>
        <v/>
      </c>
      <c r="R981">
        <f>IF(AND(B981="brand",E981="budget_probe",ISNUMBER(F981)),F981,"")</f>
        <v/>
      </c>
    </row>
    <row r="982">
      <c r="A982" s="91" t="n"/>
      <c r="B982" s="92" t="n"/>
      <c r="C982" s="92" t="n"/>
      <c r="D982" s="92" t="n"/>
      <c r="E982" s="92" t="n"/>
      <c r="F982" s="92" t="n"/>
      <c r="G982" s="92" t="n"/>
      <c r="H982" s="92" t="n"/>
      <c r="I982" s="92" t="n"/>
      <c r="K982">
        <f>IF(C982="","",IF(COUNTIFS(C$5:C982,C982,E$5:E982,E982)=1,1,0))</f>
        <v/>
      </c>
      <c r="L982">
        <f>IF(C982="",0,IF(AND(B982="brand",E982="budget_probe",N(F982)&gt;=Inputs!$C$114,H982="Y"),1,0))</f>
        <v/>
      </c>
      <c r="M982">
        <f>IF(L982=1,IF(COUNTIFS(C$5:C982,C982,L$5:L982,1)=1,1,0),0)</f>
        <v/>
      </c>
      <c r="N982">
        <f>IF(C982="",0,IF(AND(B982="office",E982="budget_probe",N(F982)&gt;=Inputs!$C$129),1,0))</f>
        <v/>
      </c>
      <c r="O982">
        <f>IF(N982=1,IF(COUNTIFS(C$5:C982,C982,N$5:N982,1)=1,1,0),0)</f>
        <v/>
      </c>
      <c r="P982">
        <f>IF(C982="",0,IF(AND(B982="brand",E982="renewal_answer",N(F982)&gt;=Inputs!$C$125),1,0))</f>
        <v/>
      </c>
      <c r="Q982">
        <f>IF(AND(B982="office",E982="budget_probe",ISNUMBER(F982)),F982,"")</f>
        <v/>
      </c>
      <c r="R982">
        <f>IF(AND(B982="brand",E982="budget_probe",ISNUMBER(F982)),F982,"")</f>
        <v/>
      </c>
    </row>
    <row r="983">
      <c r="A983" s="91" t="n"/>
      <c r="B983" s="92" t="n"/>
      <c r="C983" s="92" t="n"/>
      <c r="D983" s="92" t="n"/>
      <c r="E983" s="92" t="n"/>
      <c r="F983" s="92" t="n"/>
      <c r="G983" s="92" t="n"/>
      <c r="H983" s="92" t="n"/>
      <c r="I983" s="92" t="n"/>
      <c r="K983">
        <f>IF(C983="","",IF(COUNTIFS(C$5:C983,C983,E$5:E983,E983)=1,1,0))</f>
        <v/>
      </c>
      <c r="L983">
        <f>IF(C983="",0,IF(AND(B983="brand",E983="budget_probe",N(F983)&gt;=Inputs!$C$114,H983="Y"),1,0))</f>
        <v/>
      </c>
      <c r="M983">
        <f>IF(L983=1,IF(COUNTIFS(C$5:C983,C983,L$5:L983,1)=1,1,0),0)</f>
        <v/>
      </c>
      <c r="N983">
        <f>IF(C983="",0,IF(AND(B983="office",E983="budget_probe",N(F983)&gt;=Inputs!$C$129),1,0))</f>
        <v/>
      </c>
      <c r="O983">
        <f>IF(N983=1,IF(COUNTIFS(C$5:C983,C983,N$5:N983,1)=1,1,0),0)</f>
        <v/>
      </c>
      <c r="P983">
        <f>IF(C983="",0,IF(AND(B983="brand",E983="renewal_answer",N(F983)&gt;=Inputs!$C$125),1,0))</f>
        <v/>
      </c>
      <c r="Q983">
        <f>IF(AND(B983="office",E983="budget_probe",ISNUMBER(F983)),F983,"")</f>
        <v/>
      </c>
      <c r="R983">
        <f>IF(AND(B983="brand",E983="budget_probe",ISNUMBER(F983)),F983,"")</f>
        <v/>
      </c>
    </row>
    <row r="984">
      <c r="A984" s="91" t="n"/>
      <c r="B984" s="92" t="n"/>
      <c r="C984" s="92" t="n"/>
      <c r="D984" s="92" t="n"/>
      <c r="E984" s="92" t="n"/>
      <c r="F984" s="92" t="n"/>
      <c r="G984" s="92" t="n"/>
      <c r="H984" s="92" t="n"/>
      <c r="I984" s="92" t="n"/>
      <c r="K984">
        <f>IF(C984="","",IF(COUNTIFS(C$5:C984,C984,E$5:E984,E984)=1,1,0))</f>
        <v/>
      </c>
      <c r="L984">
        <f>IF(C984="",0,IF(AND(B984="brand",E984="budget_probe",N(F984)&gt;=Inputs!$C$114,H984="Y"),1,0))</f>
        <v/>
      </c>
      <c r="M984">
        <f>IF(L984=1,IF(COUNTIFS(C$5:C984,C984,L$5:L984,1)=1,1,0),0)</f>
        <v/>
      </c>
      <c r="N984">
        <f>IF(C984="",0,IF(AND(B984="office",E984="budget_probe",N(F984)&gt;=Inputs!$C$129),1,0))</f>
        <v/>
      </c>
      <c r="O984">
        <f>IF(N984=1,IF(COUNTIFS(C$5:C984,C984,N$5:N984,1)=1,1,0),0)</f>
        <v/>
      </c>
      <c r="P984">
        <f>IF(C984="",0,IF(AND(B984="brand",E984="renewal_answer",N(F984)&gt;=Inputs!$C$125),1,0))</f>
        <v/>
      </c>
      <c r="Q984">
        <f>IF(AND(B984="office",E984="budget_probe",ISNUMBER(F984)),F984,"")</f>
        <v/>
      </c>
      <c r="R984">
        <f>IF(AND(B984="brand",E984="budget_probe",ISNUMBER(F984)),F984,"")</f>
        <v/>
      </c>
    </row>
    <row r="985">
      <c r="A985" s="91" t="n"/>
      <c r="B985" s="92" t="n"/>
      <c r="C985" s="92" t="n"/>
      <c r="D985" s="92" t="n"/>
      <c r="E985" s="92" t="n"/>
      <c r="F985" s="92" t="n"/>
      <c r="G985" s="92" t="n"/>
      <c r="H985" s="92" t="n"/>
      <c r="I985" s="92" t="n"/>
      <c r="K985">
        <f>IF(C985="","",IF(COUNTIFS(C$5:C985,C985,E$5:E985,E985)=1,1,0))</f>
        <v/>
      </c>
      <c r="L985">
        <f>IF(C985="",0,IF(AND(B985="brand",E985="budget_probe",N(F985)&gt;=Inputs!$C$114,H985="Y"),1,0))</f>
        <v/>
      </c>
      <c r="M985">
        <f>IF(L985=1,IF(COUNTIFS(C$5:C985,C985,L$5:L985,1)=1,1,0),0)</f>
        <v/>
      </c>
      <c r="N985">
        <f>IF(C985="",0,IF(AND(B985="office",E985="budget_probe",N(F985)&gt;=Inputs!$C$129),1,0))</f>
        <v/>
      </c>
      <c r="O985">
        <f>IF(N985=1,IF(COUNTIFS(C$5:C985,C985,N$5:N985,1)=1,1,0),0)</f>
        <v/>
      </c>
      <c r="P985">
        <f>IF(C985="",0,IF(AND(B985="brand",E985="renewal_answer",N(F985)&gt;=Inputs!$C$125),1,0))</f>
        <v/>
      </c>
      <c r="Q985">
        <f>IF(AND(B985="office",E985="budget_probe",ISNUMBER(F985)),F985,"")</f>
        <v/>
      </c>
      <c r="R985">
        <f>IF(AND(B985="brand",E985="budget_probe",ISNUMBER(F985)),F985,"")</f>
        <v/>
      </c>
    </row>
    <row r="986">
      <c r="A986" s="91" t="n"/>
      <c r="B986" s="92" t="n"/>
      <c r="C986" s="92" t="n"/>
      <c r="D986" s="92" t="n"/>
      <c r="E986" s="92" t="n"/>
      <c r="F986" s="92" t="n"/>
      <c r="G986" s="92" t="n"/>
      <c r="H986" s="92" t="n"/>
      <c r="I986" s="92" t="n"/>
      <c r="K986">
        <f>IF(C986="","",IF(COUNTIFS(C$5:C986,C986,E$5:E986,E986)=1,1,0))</f>
        <v/>
      </c>
      <c r="L986">
        <f>IF(C986="",0,IF(AND(B986="brand",E986="budget_probe",N(F986)&gt;=Inputs!$C$114,H986="Y"),1,0))</f>
        <v/>
      </c>
      <c r="M986">
        <f>IF(L986=1,IF(COUNTIFS(C$5:C986,C986,L$5:L986,1)=1,1,0),0)</f>
        <v/>
      </c>
      <c r="N986">
        <f>IF(C986="",0,IF(AND(B986="office",E986="budget_probe",N(F986)&gt;=Inputs!$C$129),1,0))</f>
        <v/>
      </c>
      <c r="O986">
        <f>IF(N986=1,IF(COUNTIFS(C$5:C986,C986,N$5:N986,1)=1,1,0),0)</f>
        <v/>
      </c>
      <c r="P986">
        <f>IF(C986="",0,IF(AND(B986="brand",E986="renewal_answer",N(F986)&gt;=Inputs!$C$125),1,0))</f>
        <v/>
      </c>
      <c r="Q986">
        <f>IF(AND(B986="office",E986="budget_probe",ISNUMBER(F986)),F986,"")</f>
        <v/>
      </c>
      <c r="R986">
        <f>IF(AND(B986="brand",E986="budget_probe",ISNUMBER(F986)),F986,"")</f>
        <v/>
      </c>
    </row>
    <row r="987">
      <c r="A987" s="91" t="n"/>
      <c r="B987" s="92" t="n"/>
      <c r="C987" s="92" t="n"/>
      <c r="D987" s="92" t="n"/>
      <c r="E987" s="92" t="n"/>
      <c r="F987" s="92" t="n"/>
      <c r="G987" s="92" t="n"/>
      <c r="H987" s="92" t="n"/>
      <c r="I987" s="92" t="n"/>
      <c r="K987">
        <f>IF(C987="","",IF(COUNTIFS(C$5:C987,C987,E$5:E987,E987)=1,1,0))</f>
        <v/>
      </c>
      <c r="L987">
        <f>IF(C987="",0,IF(AND(B987="brand",E987="budget_probe",N(F987)&gt;=Inputs!$C$114,H987="Y"),1,0))</f>
        <v/>
      </c>
      <c r="M987">
        <f>IF(L987=1,IF(COUNTIFS(C$5:C987,C987,L$5:L987,1)=1,1,0),0)</f>
        <v/>
      </c>
      <c r="N987">
        <f>IF(C987="",0,IF(AND(B987="office",E987="budget_probe",N(F987)&gt;=Inputs!$C$129),1,0))</f>
        <v/>
      </c>
      <c r="O987">
        <f>IF(N987=1,IF(COUNTIFS(C$5:C987,C987,N$5:N987,1)=1,1,0),0)</f>
        <v/>
      </c>
      <c r="P987">
        <f>IF(C987="",0,IF(AND(B987="brand",E987="renewal_answer",N(F987)&gt;=Inputs!$C$125),1,0))</f>
        <v/>
      </c>
      <c r="Q987">
        <f>IF(AND(B987="office",E987="budget_probe",ISNUMBER(F987)),F987,"")</f>
        <v/>
      </c>
      <c r="R987">
        <f>IF(AND(B987="brand",E987="budget_probe",ISNUMBER(F987)),F987,"")</f>
        <v/>
      </c>
    </row>
    <row r="988">
      <c r="A988" s="91" t="n"/>
      <c r="B988" s="92" t="n"/>
      <c r="C988" s="92" t="n"/>
      <c r="D988" s="92" t="n"/>
      <c r="E988" s="92" t="n"/>
      <c r="F988" s="92" t="n"/>
      <c r="G988" s="92" t="n"/>
      <c r="H988" s="92" t="n"/>
      <c r="I988" s="92" t="n"/>
      <c r="K988">
        <f>IF(C988="","",IF(COUNTIFS(C$5:C988,C988,E$5:E988,E988)=1,1,0))</f>
        <v/>
      </c>
      <c r="L988">
        <f>IF(C988="",0,IF(AND(B988="brand",E988="budget_probe",N(F988)&gt;=Inputs!$C$114,H988="Y"),1,0))</f>
        <v/>
      </c>
      <c r="M988">
        <f>IF(L988=1,IF(COUNTIFS(C$5:C988,C988,L$5:L988,1)=1,1,0),0)</f>
        <v/>
      </c>
      <c r="N988">
        <f>IF(C988="",0,IF(AND(B988="office",E988="budget_probe",N(F988)&gt;=Inputs!$C$129),1,0))</f>
        <v/>
      </c>
      <c r="O988">
        <f>IF(N988=1,IF(COUNTIFS(C$5:C988,C988,N$5:N988,1)=1,1,0),0)</f>
        <v/>
      </c>
      <c r="P988">
        <f>IF(C988="",0,IF(AND(B988="brand",E988="renewal_answer",N(F988)&gt;=Inputs!$C$125),1,0))</f>
        <v/>
      </c>
      <c r="Q988">
        <f>IF(AND(B988="office",E988="budget_probe",ISNUMBER(F988)),F988,"")</f>
        <v/>
      </c>
      <c r="R988">
        <f>IF(AND(B988="brand",E988="budget_probe",ISNUMBER(F988)),F988,"")</f>
        <v/>
      </c>
    </row>
    <row r="989">
      <c r="A989" s="91" t="n"/>
      <c r="B989" s="92" t="n"/>
      <c r="C989" s="92" t="n"/>
      <c r="D989" s="92" t="n"/>
      <c r="E989" s="92" t="n"/>
      <c r="F989" s="92" t="n"/>
      <c r="G989" s="92" t="n"/>
      <c r="H989" s="92" t="n"/>
      <c r="I989" s="92" t="n"/>
      <c r="K989">
        <f>IF(C989="","",IF(COUNTIFS(C$5:C989,C989,E$5:E989,E989)=1,1,0))</f>
        <v/>
      </c>
      <c r="L989">
        <f>IF(C989="",0,IF(AND(B989="brand",E989="budget_probe",N(F989)&gt;=Inputs!$C$114,H989="Y"),1,0))</f>
        <v/>
      </c>
      <c r="M989">
        <f>IF(L989=1,IF(COUNTIFS(C$5:C989,C989,L$5:L989,1)=1,1,0),0)</f>
        <v/>
      </c>
      <c r="N989">
        <f>IF(C989="",0,IF(AND(B989="office",E989="budget_probe",N(F989)&gt;=Inputs!$C$129),1,0))</f>
        <v/>
      </c>
      <c r="O989">
        <f>IF(N989=1,IF(COUNTIFS(C$5:C989,C989,N$5:N989,1)=1,1,0),0)</f>
        <v/>
      </c>
      <c r="P989">
        <f>IF(C989="",0,IF(AND(B989="brand",E989="renewal_answer",N(F989)&gt;=Inputs!$C$125),1,0))</f>
        <v/>
      </c>
      <c r="Q989">
        <f>IF(AND(B989="office",E989="budget_probe",ISNUMBER(F989)),F989,"")</f>
        <v/>
      </c>
      <c r="R989">
        <f>IF(AND(B989="brand",E989="budget_probe",ISNUMBER(F989)),F989,"")</f>
        <v/>
      </c>
    </row>
    <row r="990">
      <c r="A990" s="91" t="n"/>
      <c r="B990" s="92" t="n"/>
      <c r="C990" s="92" t="n"/>
      <c r="D990" s="92" t="n"/>
      <c r="E990" s="92" t="n"/>
      <c r="F990" s="92" t="n"/>
      <c r="G990" s="92" t="n"/>
      <c r="H990" s="92" t="n"/>
      <c r="I990" s="92" t="n"/>
      <c r="K990">
        <f>IF(C990="","",IF(COUNTIFS(C$5:C990,C990,E$5:E990,E990)=1,1,0))</f>
        <v/>
      </c>
      <c r="L990">
        <f>IF(C990="",0,IF(AND(B990="brand",E990="budget_probe",N(F990)&gt;=Inputs!$C$114,H990="Y"),1,0))</f>
        <v/>
      </c>
      <c r="M990">
        <f>IF(L990=1,IF(COUNTIFS(C$5:C990,C990,L$5:L990,1)=1,1,0),0)</f>
        <v/>
      </c>
      <c r="N990">
        <f>IF(C990="",0,IF(AND(B990="office",E990="budget_probe",N(F990)&gt;=Inputs!$C$129),1,0))</f>
        <v/>
      </c>
      <c r="O990">
        <f>IF(N990=1,IF(COUNTIFS(C$5:C990,C990,N$5:N990,1)=1,1,0),0)</f>
        <v/>
      </c>
      <c r="P990">
        <f>IF(C990="",0,IF(AND(B990="brand",E990="renewal_answer",N(F990)&gt;=Inputs!$C$125),1,0))</f>
        <v/>
      </c>
      <c r="Q990">
        <f>IF(AND(B990="office",E990="budget_probe",ISNUMBER(F990)),F990,"")</f>
        <v/>
      </c>
      <c r="R990">
        <f>IF(AND(B990="brand",E990="budget_probe",ISNUMBER(F990)),F990,"")</f>
        <v/>
      </c>
    </row>
    <row r="991">
      <c r="A991" s="91" t="n"/>
      <c r="B991" s="92" t="n"/>
      <c r="C991" s="92" t="n"/>
      <c r="D991" s="92" t="n"/>
      <c r="E991" s="92" t="n"/>
      <c r="F991" s="92" t="n"/>
      <c r="G991" s="92" t="n"/>
      <c r="H991" s="92" t="n"/>
      <c r="I991" s="92" t="n"/>
      <c r="K991">
        <f>IF(C991="","",IF(COUNTIFS(C$5:C991,C991,E$5:E991,E991)=1,1,0))</f>
        <v/>
      </c>
      <c r="L991">
        <f>IF(C991="",0,IF(AND(B991="brand",E991="budget_probe",N(F991)&gt;=Inputs!$C$114,H991="Y"),1,0))</f>
        <v/>
      </c>
      <c r="M991">
        <f>IF(L991=1,IF(COUNTIFS(C$5:C991,C991,L$5:L991,1)=1,1,0),0)</f>
        <v/>
      </c>
      <c r="N991">
        <f>IF(C991="",0,IF(AND(B991="office",E991="budget_probe",N(F991)&gt;=Inputs!$C$129),1,0))</f>
        <v/>
      </c>
      <c r="O991">
        <f>IF(N991=1,IF(COUNTIFS(C$5:C991,C991,N$5:N991,1)=1,1,0),0)</f>
        <v/>
      </c>
      <c r="P991">
        <f>IF(C991="",0,IF(AND(B991="brand",E991="renewal_answer",N(F991)&gt;=Inputs!$C$125),1,0))</f>
        <v/>
      </c>
      <c r="Q991">
        <f>IF(AND(B991="office",E991="budget_probe",ISNUMBER(F991)),F991,"")</f>
        <v/>
      </c>
      <c r="R991">
        <f>IF(AND(B991="brand",E991="budget_probe",ISNUMBER(F991)),F991,"")</f>
        <v/>
      </c>
    </row>
    <row r="992">
      <c r="A992" s="91" t="n"/>
      <c r="B992" s="92" t="n"/>
      <c r="C992" s="92" t="n"/>
      <c r="D992" s="92" t="n"/>
      <c r="E992" s="92" t="n"/>
      <c r="F992" s="92" t="n"/>
      <c r="G992" s="92" t="n"/>
      <c r="H992" s="92" t="n"/>
      <c r="I992" s="92" t="n"/>
      <c r="K992">
        <f>IF(C992="","",IF(COUNTIFS(C$5:C992,C992,E$5:E992,E992)=1,1,0))</f>
        <v/>
      </c>
      <c r="L992">
        <f>IF(C992="",0,IF(AND(B992="brand",E992="budget_probe",N(F992)&gt;=Inputs!$C$114,H992="Y"),1,0))</f>
        <v/>
      </c>
      <c r="M992">
        <f>IF(L992=1,IF(COUNTIFS(C$5:C992,C992,L$5:L992,1)=1,1,0),0)</f>
        <v/>
      </c>
      <c r="N992">
        <f>IF(C992="",0,IF(AND(B992="office",E992="budget_probe",N(F992)&gt;=Inputs!$C$129),1,0))</f>
        <v/>
      </c>
      <c r="O992">
        <f>IF(N992=1,IF(COUNTIFS(C$5:C992,C992,N$5:N992,1)=1,1,0),0)</f>
        <v/>
      </c>
      <c r="P992">
        <f>IF(C992="",0,IF(AND(B992="brand",E992="renewal_answer",N(F992)&gt;=Inputs!$C$125),1,0))</f>
        <v/>
      </c>
      <c r="Q992">
        <f>IF(AND(B992="office",E992="budget_probe",ISNUMBER(F992)),F992,"")</f>
        <v/>
      </c>
      <c r="R992">
        <f>IF(AND(B992="brand",E992="budget_probe",ISNUMBER(F992)),F992,"")</f>
        <v/>
      </c>
    </row>
    <row r="993">
      <c r="A993" s="91" t="n"/>
      <c r="B993" s="92" t="n"/>
      <c r="C993" s="92" t="n"/>
      <c r="D993" s="92" t="n"/>
      <c r="E993" s="92" t="n"/>
      <c r="F993" s="92" t="n"/>
      <c r="G993" s="92" t="n"/>
      <c r="H993" s="92" t="n"/>
      <c r="I993" s="92" t="n"/>
      <c r="K993">
        <f>IF(C993="","",IF(COUNTIFS(C$5:C993,C993,E$5:E993,E993)=1,1,0))</f>
        <v/>
      </c>
      <c r="L993">
        <f>IF(C993="",0,IF(AND(B993="brand",E993="budget_probe",N(F993)&gt;=Inputs!$C$114,H993="Y"),1,0))</f>
        <v/>
      </c>
      <c r="M993">
        <f>IF(L993=1,IF(COUNTIFS(C$5:C993,C993,L$5:L993,1)=1,1,0),0)</f>
        <v/>
      </c>
      <c r="N993">
        <f>IF(C993="",0,IF(AND(B993="office",E993="budget_probe",N(F993)&gt;=Inputs!$C$129),1,0))</f>
        <v/>
      </c>
      <c r="O993">
        <f>IF(N993=1,IF(COUNTIFS(C$5:C993,C993,N$5:N993,1)=1,1,0),0)</f>
        <v/>
      </c>
      <c r="P993">
        <f>IF(C993="",0,IF(AND(B993="brand",E993="renewal_answer",N(F993)&gt;=Inputs!$C$125),1,0))</f>
        <v/>
      </c>
      <c r="Q993">
        <f>IF(AND(B993="office",E993="budget_probe",ISNUMBER(F993)),F993,"")</f>
        <v/>
      </c>
      <c r="R993">
        <f>IF(AND(B993="brand",E993="budget_probe",ISNUMBER(F993)),F993,"")</f>
        <v/>
      </c>
    </row>
    <row r="994">
      <c r="A994" s="91" t="n"/>
      <c r="B994" s="92" t="n"/>
      <c r="C994" s="92" t="n"/>
      <c r="D994" s="92" t="n"/>
      <c r="E994" s="92" t="n"/>
      <c r="F994" s="92" t="n"/>
      <c r="G994" s="92" t="n"/>
      <c r="H994" s="92" t="n"/>
      <c r="I994" s="92" t="n"/>
      <c r="K994">
        <f>IF(C994="","",IF(COUNTIFS(C$5:C994,C994,E$5:E994,E994)=1,1,0))</f>
        <v/>
      </c>
      <c r="L994">
        <f>IF(C994="",0,IF(AND(B994="brand",E994="budget_probe",N(F994)&gt;=Inputs!$C$114,H994="Y"),1,0))</f>
        <v/>
      </c>
      <c r="M994">
        <f>IF(L994=1,IF(COUNTIFS(C$5:C994,C994,L$5:L994,1)=1,1,0),0)</f>
        <v/>
      </c>
      <c r="N994">
        <f>IF(C994="",0,IF(AND(B994="office",E994="budget_probe",N(F994)&gt;=Inputs!$C$129),1,0))</f>
        <v/>
      </c>
      <c r="O994">
        <f>IF(N994=1,IF(COUNTIFS(C$5:C994,C994,N$5:N994,1)=1,1,0),0)</f>
        <v/>
      </c>
      <c r="P994">
        <f>IF(C994="",0,IF(AND(B994="brand",E994="renewal_answer",N(F994)&gt;=Inputs!$C$125),1,0))</f>
        <v/>
      </c>
      <c r="Q994">
        <f>IF(AND(B994="office",E994="budget_probe",ISNUMBER(F994)),F994,"")</f>
        <v/>
      </c>
      <c r="R994">
        <f>IF(AND(B994="brand",E994="budget_probe",ISNUMBER(F994)),F994,"")</f>
        <v/>
      </c>
    </row>
    <row r="995">
      <c r="A995" s="91" t="n"/>
      <c r="B995" s="92" t="n"/>
      <c r="C995" s="92" t="n"/>
      <c r="D995" s="92" t="n"/>
      <c r="E995" s="92" t="n"/>
      <c r="F995" s="92" t="n"/>
      <c r="G995" s="92" t="n"/>
      <c r="H995" s="92" t="n"/>
      <c r="I995" s="92" t="n"/>
      <c r="K995">
        <f>IF(C995="","",IF(COUNTIFS(C$5:C995,C995,E$5:E995,E995)=1,1,0))</f>
        <v/>
      </c>
      <c r="L995">
        <f>IF(C995="",0,IF(AND(B995="brand",E995="budget_probe",N(F995)&gt;=Inputs!$C$114,H995="Y"),1,0))</f>
        <v/>
      </c>
      <c r="M995">
        <f>IF(L995=1,IF(COUNTIFS(C$5:C995,C995,L$5:L995,1)=1,1,0),0)</f>
        <v/>
      </c>
      <c r="N995">
        <f>IF(C995="",0,IF(AND(B995="office",E995="budget_probe",N(F995)&gt;=Inputs!$C$129),1,0))</f>
        <v/>
      </c>
      <c r="O995">
        <f>IF(N995=1,IF(COUNTIFS(C$5:C995,C995,N$5:N995,1)=1,1,0),0)</f>
        <v/>
      </c>
      <c r="P995">
        <f>IF(C995="",0,IF(AND(B995="brand",E995="renewal_answer",N(F995)&gt;=Inputs!$C$125),1,0))</f>
        <v/>
      </c>
      <c r="Q995">
        <f>IF(AND(B995="office",E995="budget_probe",ISNUMBER(F995)),F995,"")</f>
        <v/>
      </c>
      <c r="R995">
        <f>IF(AND(B995="brand",E995="budget_probe",ISNUMBER(F995)),F995,"")</f>
        <v/>
      </c>
    </row>
    <row r="996">
      <c r="A996" s="91" t="n"/>
      <c r="B996" s="92" t="n"/>
      <c r="C996" s="92" t="n"/>
      <c r="D996" s="92" t="n"/>
      <c r="E996" s="92" t="n"/>
      <c r="F996" s="92" t="n"/>
      <c r="G996" s="92" t="n"/>
      <c r="H996" s="92" t="n"/>
      <c r="I996" s="92" t="n"/>
      <c r="K996">
        <f>IF(C996="","",IF(COUNTIFS(C$5:C996,C996,E$5:E996,E996)=1,1,0))</f>
        <v/>
      </c>
      <c r="L996">
        <f>IF(C996="",0,IF(AND(B996="brand",E996="budget_probe",N(F996)&gt;=Inputs!$C$114,H996="Y"),1,0))</f>
        <v/>
      </c>
      <c r="M996">
        <f>IF(L996=1,IF(COUNTIFS(C$5:C996,C996,L$5:L996,1)=1,1,0),0)</f>
        <v/>
      </c>
      <c r="N996">
        <f>IF(C996="",0,IF(AND(B996="office",E996="budget_probe",N(F996)&gt;=Inputs!$C$129),1,0))</f>
        <v/>
      </c>
      <c r="O996">
        <f>IF(N996=1,IF(COUNTIFS(C$5:C996,C996,N$5:N996,1)=1,1,0),0)</f>
        <v/>
      </c>
      <c r="P996">
        <f>IF(C996="",0,IF(AND(B996="brand",E996="renewal_answer",N(F996)&gt;=Inputs!$C$125),1,0))</f>
        <v/>
      </c>
      <c r="Q996">
        <f>IF(AND(B996="office",E996="budget_probe",ISNUMBER(F996)),F996,"")</f>
        <v/>
      </c>
      <c r="R996">
        <f>IF(AND(B996="brand",E996="budget_probe",ISNUMBER(F996)),F996,"")</f>
        <v/>
      </c>
    </row>
    <row r="997">
      <c r="A997" s="91" t="n"/>
      <c r="B997" s="92" t="n"/>
      <c r="C997" s="92" t="n"/>
      <c r="D997" s="92" t="n"/>
      <c r="E997" s="92" t="n"/>
      <c r="F997" s="92" t="n"/>
      <c r="G997" s="92" t="n"/>
      <c r="H997" s="92" t="n"/>
      <c r="I997" s="92" t="n"/>
      <c r="K997">
        <f>IF(C997="","",IF(COUNTIFS(C$5:C997,C997,E$5:E997,E997)=1,1,0))</f>
        <v/>
      </c>
      <c r="L997">
        <f>IF(C997="",0,IF(AND(B997="brand",E997="budget_probe",N(F997)&gt;=Inputs!$C$114,H997="Y"),1,0))</f>
        <v/>
      </c>
      <c r="M997">
        <f>IF(L997=1,IF(COUNTIFS(C$5:C997,C997,L$5:L997,1)=1,1,0),0)</f>
        <v/>
      </c>
      <c r="N997">
        <f>IF(C997="",0,IF(AND(B997="office",E997="budget_probe",N(F997)&gt;=Inputs!$C$129),1,0))</f>
        <v/>
      </c>
      <c r="O997">
        <f>IF(N997=1,IF(COUNTIFS(C$5:C997,C997,N$5:N997,1)=1,1,0),0)</f>
        <v/>
      </c>
      <c r="P997">
        <f>IF(C997="",0,IF(AND(B997="brand",E997="renewal_answer",N(F997)&gt;=Inputs!$C$125),1,0))</f>
        <v/>
      </c>
      <c r="Q997">
        <f>IF(AND(B997="office",E997="budget_probe",ISNUMBER(F997)),F997,"")</f>
        <v/>
      </c>
      <c r="R997">
        <f>IF(AND(B997="brand",E997="budget_probe",ISNUMBER(F997)),F997,"")</f>
        <v/>
      </c>
    </row>
    <row r="998">
      <c r="A998" s="91" t="n"/>
      <c r="B998" s="92" t="n"/>
      <c r="C998" s="92" t="n"/>
      <c r="D998" s="92" t="n"/>
      <c r="E998" s="92" t="n"/>
      <c r="F998" s="92" t="n"/>
      <c r="G998" s="92" t="n"/>
      <c r="H998" s="92" t="n"/>
      <c r="I998" s="92" t="n"/>
      <c r="K998">
        <f>IF(C998="","",IF(COUNTIFS(C$5:C998,C998,E$5:E998,E998)=1,1,0))</f>
        <v/>
      </c>
      <c r="L998">
        <f>IF(C998="",0,IF(AND(B998="brand",E998="budget_probe",N(F998)&gt;=Inputs!$C$114,H998="Y"),1,0))</f>
        <v/>
      </c>
      <c r="M998">
        <f>IF(L998=1,IF(COUNTIFS(C$5:C998,C998,L$5:L998,1)=1,1,0),0)</f>
        <v/>
      </c>
      <c r="N998">
        <f>IF(C998="",0,IF(AND(B998="office",E998="budget_probe",N(F998)&gt;=Inputs!$C$129),1,0))</f>
        <v/>
      </c>
      <c r="O998">
        <f>IF(N998=1,IF(COUNTIFS(C$5:C998,C998,N$5:N998,1)=1,1,0),0)</f>
        <v/>
      </c>
      <c r="P998">
        <f>IF(C998="",0,IF(AND(B998="brand",E998="renewal_answer",N(F998)&gt;=Inputs!$C$125),1,0))</f>
        <v/>
      </c>
      <c r="Q998">
        <f>IF(AND(B998="office",E998="budget_probe",ISNUMBER(F998)),F998,"")</f>
        <v/>
      </c>
      <c r="R998">
        <f>IF(AND(B998="brand",E998="budget_probe",ISNUMBER(F998)),F998,"")</f>
        <v/>
      </c>
    </row>
    <row r="999">
      <c r="A999" s="91" t="n"/>
      <c r="B999" s="92" t="n"/>
      <c r="C999" s="92" t="n"/>
      <c r="D999" s="92" t="n"/>
      <c r="E999" s="92" t="n"/>
      <c r="F999" s="92" t="n"/>
      <c r="G999" s="92" t="n"/>
      <c r="H999" s="92" t="n"/>
      <c r="I999" s="92" t="n"/>
      <c r="K999">
        <f>IF(C999="","",IF(COUNTIFS(C$5:C999,C999,E$5:E999,E999)=1,1,0))</f>
        <v/>
      </c>
      <c r="L999">
        <f>IF(C999="",0,IF(AND(B999="brand",E999="budget_probe",N(F999)&gt;=Inputs!$C$114,H999="Y"),1,0))</f>
        <v/>
      </c>
      <c r="M999">
        <f>IF(L999=1,IF(COUNTIFS(C$5:C999,C999,L$5:L999,1)=1,1,0),0)</f>
        <v/>
      </c>
      <c r="N999">
        <f>IF(C999="",0,IF(AND(B999="office",E999="budget_probe",N(F999)&gt;=Inputs!$C$129),1,0))</f>
        <v/>
      </c>
      <c r="O999">
        <f>IF(N999=1,IF(COUNTIFS(C$5:C999,C999,N$5:N999,1)=1,1,0),0)</f>
        <v/>
      </c>
      <c r="P999">
        <f>IF(C999="",0,IF(AND(B999="brand",E999="renewal_answer",N(F999)&gt;=Inputs!$C$125),1,0))</f>
        <v/>
      </c>
      <c r="Q999">
        <f>IF(AND(B999="office",E999="budget_probe",ISNUMBER(F999)),F999,"")</f>
        <v/>
      </c>
      <c r="R999">
        <f>IF(AND(B999="brand",E999="budget_probe",ISNUMBER(F999)),F999,"")</f>
        <v/>
      </c>
    </row>
    <row r="1000">
      <c r="A1000" s="91" t="n"/>
      <c r="B1000" s="92" t="n"/>
      <c r="C1000" s="92" t="n"/>
      <c r="D1000" s="92" t="n"/>
      <c r="E1000" s="92" t="n"/>
      <c r="F1000" s="92" t="n"/>
      <c r="G1000" s="92" t="n"/>
      <c r="H1000" s="92" t="n"/>
      <c r="I1000" s="92" t="n"/>
      <c r="K1000">
        <f>IF(C1000="","",IF(COUNTIFS(C$5:C1000,C1000,E$5:E1000,E1000)=1,1,0))</f>
        <v/>
      </c>
      <c r="L1000">
        <f>IF(C1000="",0,IF(AND(B1000="brand",E1000="budget_probe",N(F1000)&gt;=Inputs!$C$114,H1000="Y"),1,0))</f>
        <v/>
      </c>
      <c r="M1000">
        <f>IF(L1000=1,IF(COUNTIFS(C$5:C1000,C1000,L$5:L1000,1)=1,1,0),0)</f>
        <v/>
      </c>
      <c r="N1000">
        <f>IF(C1000="",0,IF(AND(B1000="office",E1000="budget_probe",N(F1000)&gt;=Inputs!$C$129),1,0))</f>
        <v/>
      </c>
      <c r="O1000">
        <f>IF(N1000=1,IF(COUNTIFS(C$5:C1000,C1000,N$5:N1000,1)=1,1,0),0)</f>
        <v/>
      </c>
      <c r="P1000">
        <f>IF(C1000="",0,IF(AND(B1000="brand",E1000="renewal_answer",N(F1000)&gt;=Inputs!$C$125),1,0))</f>
        <v/>
      </c>
      <c r="Q1000">
        <f>IF(AND(B1000="office",E1000="budget_probe",ISNUMBER(F1000)),F1000,"")</f>
        <v/>
      </c>
      <c r="R1000">
        <f>IF(AND(B1000="brand",E1000="budget_probe",ISNUMBER(F1000)),F1000,"")</f>
        <v/>
      </c>
    </row>
    <row r="1001">
      <c r="A1001" s="91" t="n"/>
      <c r="B1001" s="92" t="n"/>
      <c r="C1001" s="92" t="n"/>
      <c r="D1001" s="92" t="n"/>
      <c r="E1001" s="92" t="n"/>
      <c r="F1001" s="92" t="n"/>
      <c r="G1001" s="92" t="n"/>
      <c r="H1001" s="92" t="n"/>
      <c r="I1001" s="92" t="n"/>
      <c r="K1001">
        <f>IF(C1001="","",IF(COUNTIFS(C$5:C1001,C1001,E$5:E1001,E1001)=1,1,0))</f>
        <v/>
      </c>
      <c r="L1001">
        <f>IF(C1001="",0,IF(AND(B1001="brand",E1001="budget_probe",N(F1001)&gt;=Inputs!$C$114,H1001="Y"),1,0))</f>
        <v/>
      </c>
      <c r="M1001">
        <f>IF(L1001=1,IF(COUNTIFS(C$5:C1001,C1001,L$5:L1001,1)=1,1,0),0)</f>
        <v/>
      </c>
      <c r="N1001">
        <f>IF(C1001="",0,IF(AND(B1001="office",E1001="budget_probe",N(F1001)&gt;=Inputs!$C$129),1,0))</f>
        <v/>
      </c>
      <c r="O1001">
        <f>IF(N1001=1,IF(COUNTIFS(C$5:C1001,C1001,N$5:N1001,1)=1,1,0),0)</f>
        <v/>
      </c>
      <c r="P1001">
        <f>IF(C1001="",0,IF(AND(B1001="brand",E1001="renewal_answer",N(F1001)&gt;=Inputs!$C$125),1,0))</f>
        <v/>
      </c>
      <c r="Q1001">
        <f>IF(AND(B1001="office",E1001="budget_probe",ISNUMBER(F1001)),F1001,"")</f>
        <v/>
      </c>
      <c r="R1001">
        <f>IF(AND(B1001="brand",E1001="budget_probe",ISNUMBER(F1001)),F1001,"")</f>
        <v/>
      </c>
    </row>
    <row r="1002">
      <c r="A1002" s="91" t="n"/>
      <c r="B1002" s="92" t="n"/>
      <c r="C1002" s="92" t="n"/>
      <c r="D1002" s="92" t="n"/>
      <c r="E1002" s="92" t="n"/>
      <c r="F1002" s="92" t="n"/>
      <c r="G1002" s="92" t="n"/>
      <c r="H1002" s="92" t="n"/>
      <c r="I1002" s="92" t="n"/>
      <c r="K1002">
        <f>IF(C1002="","",IF(COUNTIFS(C$5:C1002,C1002,E$5:E1002,E1002)=1,1,0))</f>
        <v/>
      </c>
      <c r="L1002">
        <f>IF(C1002="",0,IF(AND(B1002="brand",E1002="budget_probe",N(F1002)&gt;=Inputs!$C$114,H1002="Y"),1,0))</f>
        <v/>
      </c>
      <c r="M1002">
        <f>IF(L1002=1,IF(COUNTIFS(C$5:C1002,C1002,L$5:L1002,1)=1,1,0),0)</f>
        <v/>
      </c>
      <c r="N1002">
        <f>IF(C1002="",0,IF(AND(B1002="office",E1002="budget_probe",N(F1002)&gt;=Inputs!$C$129),1,0))</f>
        <v/>
      </c>
      <c r="O1002">
        <f>IF(N1002=1,IF(COUNTIFS(C$5:C1002,C1002,N$5:N1002,1)=1,1,0),0)</f>
        <v/>
      </c>
      <c r="P1002">
        <f>IF(C1002="",0,IF(AND(B1002="brand",E1002="renewal_answer",N(F1002)&gt;=Inputs!$C$125),1,0))</f>
        <v/>
      </c>
      <c r="Q1002">
        <f>IF(AND(B1002="office",E1002="budget_probe",ISNUMBER(F1002)),F1002,"")</f>
        <v/>
      </c>
      <c r="R1002">
        <f>IF(AND(B1002="brand",E1002="budget_probe",ISNUMBER(F1002)),F1002,"")</f>
        <v/>
      </c>
    </row>
    <row r="1003">
      <c r="A1003" s="91" t="n"/>
      <c r="B1003" s="92" t="n"/>
      <c r="C1003" s="92" t="n"/>
      <c r="D1003" s="92" t="n"/>
      <c r="E1003" s="92" t="n"/>
      <c r="F1003" s="92" t="n"/>
      <c r="G1003" s="92" t="n"/>
      <c r="H1003" s="92" t="n"/>
      <c r="I1003" s="92" t="n"/>
      <c r="K1003">
        <f>IF(C1003="","",IF(COUNTIFS(C$5:C1003,C1003,E$5:E1003,E1003)=1,1,0))</f>
        <v/>
      </c>
      <c r="L1003">
        <f>IF(C1003="",0,IF(AND(B1003="brand",E1003="budget_probe",N(F1003)&gt;=Inputs!$C$114,H1003="Y"),1,0))</f>
        <v/>
      </c>
      <c r="M1003">
        <f>IF(L1003=1,IF(COUNTIFS(C$5:C1003,C1003,L$5:L1003,1)=1,1,0),0)</f>
        <v/>
      </c>
      <c r="N1003">
        <f>IF(C1003="",0,IF(AND(B1003="office",E1003="budget_probe",N(F1003)&gt;=Inputs!$C$129),1,0))</f>
        <v/>
      </c>
      <c r="O1003">
        <f>IF(N1003=1,IF(COUNTIFS(C$5:C1003,C1003,N$5:N1003,1)=1,1,0),0)</f>
        <v/>
      </c>
      <c r="P1003">
        <f>IF(C1003="",0,IF(AND(B1003="brand",E1003="renewal_answer",N(F1003)&gt;=Inputs!$C$125),1,0))</f>
        <v/>
      </c>
      <c r="Q1003">
        <f>IF(AND(B1003="office",E1003="budget_probe",ISNUMBER(F1003)),F1003,"")</f>
        <v/>
      </c>
      <c r="R1003">
        <f>IF(AND(B1003="brand",E1003="budget_probe",ISNUMBER(F1003)),F1003,"")</f>
        <v/>
      </c>
    </row>
    <row r="1004">
      <c r="A1004" s="91" t="n"/>
      <c r="B1004" s="92" t="n"/>
      <c r="C1004" s="92" t="n"/>
      <c r="D1004" s="92" t="n"/>
      <c r="E1004" s="92" t="n"/>
      <c r="F1004" s="92" t="n"/>
      <c r="G1004" s="92" t="n"/>
      <c r="H1004" s="92" t="n"/>
      <c r="I1004" s="92" t="n"/>
      <c r="K1004">
        <f>IF(C1004="","",IF(COUNTIFS(C$5:C1004,C1004,E$5:E1004,E1004)=1,1,0))</f>
        <v/>
      </c>
      <c r="L1004">
        <f>IF(C1004="",0,IF(AND(B1004="brand",E1004="budget_probe",N(F1004)&gt;=Inputs!$C$114,H1004="Y"),1,0))</f>
        <v/>
      </c>
      <c r="M1004">
        <f>IF(L1004=1,IF(COUNTIFS(C$5:C1004,C1004,L$5:L1004,1)=1,1,0),0)</f>
        <v/>
      </c>
      <c r="N1004">
        <f>IF(C1004="",0,IF(AND(B1004="office",E1004="budget_probe",N(F1004)&gt;=Inputs!$C$129),1,0))</f>
        <v/>
      </c>
      <c r="O1004">
        <f>IF(N1004=1,IF(COUNTIFS(C$5:C1004,C1004,N$5:N1004,1)=1,1,0),0)</f>
        <v/>
      </c>
      <c r="P1004">
        <f>IF(C1004="",0,IF(AND(B1004="brand",E1004="renewal_answer",N(F1004)&gt;=Inputs!$C$125),1,0))</f>
        <v/>
      </c>
      <c r="Q1004">
        <f>IF(AND(B1004="office",E1004="budget_probe",ISNUMBER(F1004)),F1004,"")</f>
        <v/>
      </c>
      <c r="R1004">
        <f>IF(AND(B1004="brand",E1004="budget_probe",ISNUMBER(F1004)),F1004,"")</f>
        <v/>
      </c>
    </row>
  </sheetData>
  <mergeCells count="1">
    <mergeCell ref="A3:I3"/>
  </mergeCells>
  <dataValidations count="3">
    <dataValidation sqref="B5:B1004" showDropDown="0" showInputMessage="0" showErrorMessage="0" allowBlank="1" errorTitle="Not in the list" error="Pick a value from the list." type="list">
      <formula1>=Lists!$G$4:$G$5</formula1>
    </dataValidation>
    <dataValidation sqref="E5:E1004" showDropDown="0" showInputMessage="0" showErrorMessage="0" allowBlank="1" errorTitle="Not in the list" error="Pick a value from the list." type="list">
      <formula1>=Lists!$H$4:$H$11</formula1>
    </dataValidation>
    <dataValidation sqref="H5:H1004"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16.xml><?xml version="1.0" encoding="utf-8"?>
<worksheet xmlns="http://schemas.openxmlformats.org/spreadsheetml/2006/main">
  <sheetPr>
    <tabColor rgb="008FB98B"/>
    <outlinePr summaryBelow="1" summaryRight="1"/>
    <pageSetUpPr/>
  </sheetPr>
  <dimension ref="A1:AF204"/>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3" customWidth="1" min="27" max="27"/>
    <col width="14" customWidth="1" min="28" max="28"/>
    <col width="14" customWidth="1" min="29" max="29"/>
    <col width="12" customWidth="1" min="30" max="30"/>
    <col width="12" customWidth="1" min="31" max="31"/>
    <col width="10" customWidth="1" min="32" max="32"/>
  </cols>
  <sheetData>
    <row r="1">
      <c r="A1" s="1" t="inlineStr">
        <is>
          <t>Actuals: one row per brand campaign</t>
        </is>
      </c>
    </row>
    <row r="2">
      <c r="A2" s="2" t="inlineStr">
        <is>
          <t>Paste campaign-ops/exports/campaign_actuals.csv with its header in row 4 (columns A to Z). Columns AB onward are model helpers; do not paste over them.</t>
        </is>
      </c>
    </row>
    <row r="3">
      <c r="A3" s="7" t="inlineStr">
        <is>
          <t>Ladder rungs stay separate: delivered, placed, depleted, responded (tried is a survey answer), scanned, purchased (code redemptions). Incremental is not measured. There is no field for sales lift.</t>
        </is>
      </c>
    </row>
    <row r="4" ht="45" customHeight="1">
      <c r="A4" s="10" t="inlineStr">
        <is>
          <t>campaign_id</t>
        </is>
      </c>
      <c r="B4" s="10" t="inlineStr">
        <is>
          <t>drop_id</t>
        </is>
      </c>
      <c r="C4" s="10" t="inlineStr">
        <is>
          <t>drop_date</t>
        </is>
      </c>
      <c r="D4" s="10" t="inlineStr">
        <is>
          <t>delivery_model</t>
        </is>
      </c>
      <c r="E4" s="10" t="inlineStr">
        <is>
          <t>tier</t>
        </is>
      </c>
      <c r="F4" s="10" t="inlineStr">
        <is>
          <t>brand_id</t>
        </is>
      </c>
      <c r="G4" s="10" t="inlineStr">
        <is>
          <t>offices</t>
        </is>
      </c>
      <c r="H4" s="10" t="inlineStr">
        <is>
          <t>units_received</t>
        </is>
      </c>
      <c r="I4" s="10" t="inlineStr">
        <is>
          <t>units_delivered</t>
        </is>
      </c>
      <c r="J4" s="10" t="inlineStr">
        <is>
          <t>units_placed</t>
        </is>
      </c>
      <c r="K4" s="10" t="inlineStr">
        <is>
          <t>units_placed_within_1bd</t>
        </is>
      </c>
      <c r="L4" s="10" t="inlineStr">
        <is>
          <t>units_topped_up</t>
        </is>
      </c>
      <c r="M4" s="10" t="inlineStr">
        <is>
          <t>units_depleted_day5</t>
        </is>
      </c>
      <c r="N4" s="10" t="inlineStr">
        <is>
          <t>survey_responses</t>
        </is>
      </c>
      <c r="O4" s="10" t="inlineStr">
        <is>
          <t>survey_tried_yes</t>
        </is>
      </c>
      <c r="P4" s="10" t="inlineStr">
        <is>
          <t>qr_scans</t>
        </is>
      </c>
      <c r="Q4" s="10" t="inlineStr">
        <is>
          <t>code_redemptions_day30</t>
        </is>
      </c>
      <c r="R4" s="10" t="inlineStr">
        <is>
          <t>revenue_usd</t>
        </is>
      </c>
      <c r="S4" s="10" t="inlineStr">
        <is>
          <t>invoice_paid_date</t>
        </is>
      </c>
      <c r="T4" s="10" t="inlineStr">
        <is>
          <t>processing_fee_usd</t>
        </is>
      </c>
      <c r="U4" s="10" t="inlineStr">
        <is>
          <t>report_delivered_date</t>
        </is>
      </c>
      <c r="V4" s="10" t="inlineStr">
        <is>
          <t>brand_would_buy_again</t>
        </is>
      </c>
      <c r="W4" s="10" t="inlineStr">
        <is>
          <t>renewed</t>
        </is>
      </c>
      <c r="X4" s="10" t="inlineStr">
        <is>
          <t>deposit_usd</t>
        </is>
      </c>
      <c r="Y4" s="10" t="inlineStr">
        <is>
          <t>deposit_paid_date</t>
        </is>
      </c>
      <c r="Z4" s="10" t="inlineStr">
        <is>
          <t>survey_responses_min_office</t>
        </is>
      </c>
      <c r="AB4" s="10" t="inlineStr">
        <is>
          <t>drop actuals in?</t>
        </is>
      </c>
      <c r="AC4" s="10" t="inlineStr">
        <is>
          <t>balance_usd (revenue less deposit)</t>
        </is>
      </c>
      <c r="AD4" s="10" t="inlineStr">
        <is>
          <t>responses per office used</t>
        </is>
      </c>
      <c r="AE4" s="10" t="inlineStr">
        <is>
          <t>report due (T+7)</t>
        </is>
      </c>
      <c r="AF4" s="10" t="inlineStr">
        <is>
          <t>report late?</t>
        </is>
      </c>
    </row>
    <row r="5">
      <c r="A5" s="92" t="n"/>
      <c r="B5" s="92" t="n"/>
      <c r="C5" s="91" t="n"/>
      <c r="D5" s="92" t="n"/>
      <c r="E5" s="92" t="n"/>
      <c r="F5" s="92" t="n"/>
      <c r="G5" s="92" t="n"/>
      <c r="H5" s="92" t="n"/>
      <c r="I5" s="92" t="n"/>
      <c r="J5" s="92" t="n"/>
      <c r="K5" s="92" t="n"/>
      <c r="L5" s="92" t="n"/>
      <c r="M5" s="92" t="n"/>
      <c r="N5" s="92" t="n"/>
      <c r="O5" s="92" t="n"/>
      <c r="P5" s="92" t="n"/>
      <c r="Q5" s="92" t="n"/>
      <c r="R5" s="94" t="n"/>
      <c r="S5" s="91" t="n"/>
      <c r="T5" s="94" t="n"/>
      <c r="U5" s="91" t="n"/>
      <c r="V5" s="92" t="n"/>
      <c r="W5" s="92" t="n"/>
      <c r="X5" s="94" t="n"/>
      <c r="Y5" s="91" t="n"/>
      <c r="Z5" s="92" t="n"/>
      <c r="AB5">
        <f>IF(B5="","",IFERROR(INDEX(Schedule!$N$7:$N$18,MATCH(B5,Schedule!$A$7:$A$18,0)),"not in schedule"))</f>
        <v/>
      </c>
      <c r="AC5" s="31">
        <f>IF(B5="","",N(R5)-N(X5))</f>
        <v/>
      </c>
      <c r="AD5" s="84">
        <f>IF(B5="","",IF(Z5&lt;&gt;"",Z5,IF(N(G5)&gt;0,N(N5)/G5,"")))</f>
        <v/>
      </c>
      <c r="AE5" s="17">
        <f>IF(OR(B5="",C5=""),"",WORKDAY(C5,Inputs!$C$122,Lists!$N$4:$N$30))</f>
        <v/>
      </c>
      <c r="AF5">
        <f>IF(B5="","",IF(U5="","missing",IF(U5&gt;AE5,"Y","N")))</f>
        <v/>
      </c>
    </row>
    <row r="6">
      <c r="A6" s="92" t="n"/>
      <c r="B6" s="92" t="n"/>
      <c r="C6" s="91" t="n"/>
      <c r="D6" s="92" t="n"/>
      <c r="E6" s="92" t="n"/>
      <c r="F6" s="92" t="n"/>
      <c r="G6" s="92" t="n"/>
      <c r="H6" s="92" t="n"/>
      <c r="I6" s="92" t="n"/>
      <c r="J6" s="92" t="n"/>
      <c r="K6" s="92" t="n"/>
      <c r="L6" s="92" t="n"/>
      <c r="M6" s="92" t="n"/>
      <c r="N6" s="92" t="n"/>
      <c r="O6" s="92" t="n"/>
      <c r="P6" s="92" t="n"/>
      <c r="Q6" s="92" t="n"/>
      <c r="R6" s="94" t="n"/>
      <c r="S6" s="91" t="n"/>
      <c r="T6" s="94" t="n"/>
      <c r="U6" s="91" t="n"/>
      <c r="V6" s="92" t="n"/>
      <c r="W6" s="92" t="n"/>
      <c r="X6" s="94" t="n"/>
      <c r="Y6" s="91" t="n"/>
      <c r="Z6" s="92" t="n"/>
      <c r="AB6">
        <f>IF(B6="","",IFERROR(INDEX(Schedule!$N$7:$N$18,MATCH(B6,Schedule!$A$7:$A$18,0)),"not in schedule"))</f>
        <v/>
      </c>
      <c r="AC6" s="31">
        <f>IF(B6="","",N(R6)-N(X6))</f>
        <v/>
      </c>
      <c r="AD6" s="84">
        <f>IF(B6="","",IF(Z6&lt;&gt;"",Z6,IF(N(G6)&gt;0,N(N6)/G6,"")))</f>
        <v/>
      </c>
      <c r="AE6" s="17">
        <f>IF(OR(B6="",C6=""),"",WORKDAY(C6,Inputs!$C$122,Lists!$N$4:$N$30))</f>
        <v/>
      </c>
      <c r="AF6">
        <f>IF(B6="","",IF(U6="","missing",IF(U6&gt;AE6,"Y","N")))</f>
        <v/>
      </c>
    </row>
    <row r="7">
      <c r="A7" s="92" t="n"/>
      <c r="B7" s="92" t="n"/>
      <c r="C7" s="91" t="n"/>
      <c r="D7" s="92" t="n"/>
      <c r="E7" s="92" t="n"/>
      <c r="F7" s="92" t="n"/>
      <c r="G7" s="92" t="n"/>
      <c r="H7" s="92" t="n"/>
      <c r="I7" s="92" t="n"/>
      <c r="J7" s="92" t="n"/>
      <c r="K7" s="92" t="n"/>
      <c r="L7" s="92" t="n"/>
      <c r="M7" s="92" t="n"/>
      <c r="N7" s="92" t="n"/>
      <c r="O7" s="92" t="n"/>
      <c r="P7" s="92" t="n"/>
      <c r="Q7" s="92" t="n"/>
      <c r="R7" s="94" t="n"/>
      <c r="S7" s="91" t="n"/>
      <c r="T7" s="94" t="n"/>
      <c r="U7" s="91" t="n"/>
      <c r="V7" s="92" t="n"/>
      <c r="W7" s="92" t="n"/>
      <c r="X7" s="94" t="n"/>
      <c r="Y7" s="91" t="n"/>
      <c r="Z7" s="92" t="n"/>
      <c r="AB7">
        <f>IF(B7="","",IFERROR(INDEX(Schedule!$N$7:$N$18,MATCH(B7,Schedule!$A$7:$A$18,0)),"not in schedule"))</f>
        <v/>
      </c>
      <c r="AC7" s="31">
        <f>IF(B7="","",N(R7)-N(X7))</f>
        <v/>
      </c>
      <c r="AD7" s="84">
        <f>IF(B7="","",IF(Z7&lt;&gt;"",Z7,IF(N(G7)&gt;0,N(N7)/G7,"")))</f>
        <v/>
      </c>
      <c r="AE7" s="17">
        <f>IF(OR(B7="",C7=""),"",WORKDAY(C7,Inputs!$C$122,Lists!$N$4:$N$30))</f>
        <v/>
      </c>
      <c r="AF7">
        <f>IF(B7="","",IF(U7="","missing",IF(U7&gt;AE7,"Y","N")))</f>
        <v/>
      </c>
    </row>
    <row r="8">
      <c r="A8" s="92" t="n"/>
      <c r="B8" s="92" t="n"/>
      <c r="C8" s="91" t="n"/>
      <c r="D8" s="92" t="n"/>
      <c r="E8" s="92" t="n"/>
      <c r="F8" s="92" t="n"/>
      <c r="G8" s="92" t="n"/>
      <c r="H8" s="92" t="n"/>
      <c r="I8" s="92" t="n"/>
      <c r="J8" s="92" t="n"/>
      <c r="K8" s="92" t="n"/>
      <c r="L8" s="92" t="n"/>
      <c r="M8" s="92" t="n"/>
      <c r="N8" s="92" t="n"/>
      <c r="O8" s="92" t="n"/>
      <c r="P8" s="92" t="n"/>
      <c r="Q8" s="92" t="n"/>
      <c r="R8" s="94" t="n"/>
      <c r="S8" s="91" t="n"/>
      <c r="T8" s="94" t="n"/>
      <c r="U8" s="91" t="n"/>
      <c r="V8" s="92" t="n"/>
      <c r="W8" s="92" t="n"/>
      <c r="X8" s="94" t="n"/>
      <c r="Y8" s="91" t="n"/>
      <c r="Z8" s="92" t="n"/>
      <c r="AB8">
        <f>IF(B8="","",IFERROR(INDEX(Schedule!$N$7:$N$18,MATCH(B8,Schedule!$A$7:$A$18,0)),"not in schedule"))</f>
        <v/>
      </c>
      <c r="AC8" s="31">
        <f>IF(B8="","",N(R8)-N(X8))</f>
        <v/>
      </c>
      <c r="AD8" s="84">
        <f>IF(B8="","",IF(Z8&lt;&gt;"",Z8,IF(N(G8)&gt;0,N(N8)/G8,"")))</f>
        <v/>
      </c>
      <c r="AE8" s="17">
        <f>IF(OR(B8="",C8=""),"",WORKDAY(C8,Inputs!$C$122,Lists!$N$4:$N$30))</f>
        <v/>
      </c>
      <c r="AF8">
        <f>IF(B8="","",IF(U8="","missing",IF(U8&gt;AE8,"Y","N")))</f>
        <v/>
      </c>
    </row>
    <row r="9">
      <c r="A9" s="92" t="n"/>
      <c r="B9" s="92" t="n"/>
      <c r="C9" s="91" t="n"/>
      <c r="D9" s="92" t="n"/>
      <c r="E9" s="92" t="n"/>
      <c r="F9" s="92" t="n"/>
      <c r="G9" s="92" t="n"/>
      <c r="H9" s="92" t="n"/>
      <c r="I9" s="92" t="n"/>
      <c r="J9" s="92" t="n"/>
      <c r="K9" s="92" t="n"/>
      <c r="L9" s="92" t="n"/>
      <c r="M9" s="92" t="n"/>
      <c r="N9" s="92" t="n"/>
      <c r="O9" s="92" t="n"/>
      <c r="P9" s="92" t="n"/>
      <c r="Q9" s="92" t="n"/>
      <c r="R9" s="94" t="n"/>
      <c r="S9" s="91" t="n"/>
      <c r="T9" s="94" t="n"/>
      <c r="U9" s="91" t="n"/>
      <c r="V9" s="92" t="n"/>
      <c r="W9" s="92" t="n"/>
      <c r="X9" s="94" t="n"/>
      <c r="Y9" s="91" t="n"/>
      <c r="Z9" s="92" t="n"/>
      <c r="AB9">
        <f>IF(B9="","",IFERROR(INDEX(Schedule!$N$7:$N$18,MATCH(B9,Schedule!$A$7:$A$18,0)),"not in schedule"))</f>
        <v/>
      </c>
      <c r="AC9" s="31">
        <f>IF(B9="","",N(R9)-N(X9))</f>
        <v/>
      </c>
      <c r="AD9" s="84">
        <f>IF(B9="","",IF(Z9&lt;&gt;"",Z9,IF(N(G9)&gt;0,N(N9)/G9,"")))</f>
        <v/>
      </c>
      <c r="AE9" s="17">
        <f>IF(OR(B9="",C9=""),"",WORKDAY(C9,Inputs!$C$122,Lists!$N$4:$N$30))</f>
        <v/>
      </c>
      <c r="AF9">
        <f>IF(B9="","",IF(U9="","missing",IF(U9&gt;AE9,"Y","N")))</f>
        <v/>
      </c>
    </row>
    <row r="10">
      <c r="A10" s="92" t="n"/>
      <c r="B10" s="92" t="n"/>
      <c r="C10" s="91" t="n"/>
      <c r="D10" s="92" t="n"/>
      <c r="E10" s="92" t="n"/>
      <c r="F10" s="92" t="n"/>
      <c r="G10" s="92" t="n"/>
      <c r="H10" s="92" t="n"/>
      <c r="I10" s="92" t="n"/>
      <c r="J10" s="92" t="n"/>
      <c r="K10" s="92" t="n"/>
      <c r="L10" s="92" t="n"/>
      <c r="M10" s="92" t="n"/>
      <c r="N10" s="92" t="n"/>
      <c r="O10" s="92" t="n"/>
      <c r="P10" s="92" t="n"/>
      <c r="Q10" s="92" t="n"/>
      <c r="R10" s="94" t="n"/>
      <c r="S10" s="91" t="n"/>
      <c r="T10" s="94" t="n"/>
      <c r="U10" s="91" t="n"/>
      <c r="V10" s="92" t="n"/>
      <c r="W10" s="92" t="n"/>
      <c r="X10" s="94" t="n"/>
      <c r="Y10" s="91" t="n"/>
      <c r="Z10" s="92" t="n"/>
      <c r="AB10">
        <f>IF(B10="","",IFERROR(INDEX(Schedule!$N$7:$N$18,MATCH(B10,Schedule!$A$7:$A$18,0)),"not in schedule"))</f>
        <v/>
      </c>
      <c r="AC10" s="31">
        <f>IF(B10="","",N(R10)-N(X10))</f>
        <v/>
      </c>
      <c r="AD10" s="84">
        <f>IF(B10="","",IF(Z10&lt;&gt;"",Z10,IF(N(G10)&gt;0,N(N10)/G10,"")))</f>
        <v/>
      </c>
      <c r="AE10" s="17">
        <f>IF(OR(B10="",C10=""),"",WORKDAY(C10,Inputs!$C$122,Lists!$N$4:$N$30))</f>
        <v/>
      </c>
      <c r="AF10">
        <f>IF(B10="","",IF(U10="","missing",IF(U10&gt;AE10,"Y","N")))</f>
        <v/>
      </c>
    </row>
    <row r="11">
      <c r="A11" s="92" t="n"/>
      <c r="B11" s="92" t="n"/>
      <c r="C11" s="91" t="n"/>
      <c r="D11" s="92" t="n"/>
      <c r="E11" s="92" t="n"/>
      <c r="F11" s="92" t="n"/>
      <c r="G11" s="92" t="n"/>
      <c r="H11" s="92" t="n"/>
      <c r="I11" s="92" t="n"/>
      <c r="J11" s="92" t="n"/>
      <c r="K11" s="92" t="n"/>
      <c r="L11" s="92" t="n"/>
      <c r="M11" s="92" t="n"/>
      <c r="N11" s="92" t="n"/>
      <c r="O11" s="92" t="n"/>
      <c r="P11" s="92" t="n"/>
      <c r="Q11" s="92" t="n"/>
      <c r="R11" s="94" t="n"/>
      <c r="S11" s="91" t="n"/>
      <c r="T11" s="94" t="n"/>
      <c r="U11" s="91" t="n"/>
      <c r="V11" s="92" t="n"/>
      <c r="W11" s="92" t="n"/>
      <c r="X11" s="94" t="n"/>
      <c r="Y11" s="91" t="n"/>
      <c r="Z11" s="92" t="n"/>
      <c r="AB11">
        <f>IF(B11="","",IFERROR(INDEX(Schedule!$N$7:$N$18,MATCH(B11,Schedule!$A$7:$A$18,0)),"not in schedule"))</f>
        <v/>
      </c>
      <c r="AC11" s="31">
        <f>IF(B11="","",N(R11)-N(X11))</f>
        <v/>
      </c>
      <c r="AD11" s="84">
        <f>IF(B11="","",IF(Z11&lt;&gt;"",Z11,IF(N(G11)&gt;0,N(N11)/G11,"")))</f>
        <v/>
      </c>
      <c r="AE11" s="17">
        <f>IF(OR(B11="",C11=""),"",WORKDAY(C11,Inputs!$C$122,Lists!$N$4:$N$30))</f>
        <v/>
      </c>
      <c r="AF11">
        <f>IF(B11="","",IF(U11="","missing",IF(U11&gt;AE11,"Y","N")))</f>
        <v/>
      </c>
    </row>
    <row r="12">
      <c r="A12" s="92" t="n"/>
      <c r="B12" s="92" t="n"/>
      <c r="C12" s="91" t="n"/>
      <c r="D12" s="92" t="n"/>
      <c r="E12" s="92" t="n"/>
      <c r="F12" s="92" t="n"/>
      <c r="G12" s="92" t="n"/>
      <c r="H12" s="92" t="n"/>
      <c r="I12" s="92" t="n"/>
      <c r="J12" s="92" t="n"/>
      <c r="K12" s="92" t="n"/>
      <c r="L12" s="92" t="n"/>
      <c r="M12" s="92" t="n"/>
      <c r="N12" s="92" t="n"/>
      <c r="O12" s="92" t="n"/>
      <c r="P12" s="92" t="n"/>
      <c r="Q12" s="92" t="n"/>
      <c r="R12" s="94" t="n"/>
      <c r="S12" s="91" t="n"/>
      <c r="T12" s="94" t="n"/>
      <c r="U12" s="91" t="n"/>
      <c r="V12" s="92" t="n"/>
      <c r="W12" s="92" t="n"/>
      <c r="X12" s="94" t="n"/>
      <c r="Y12" s="91" t="n"/>
      <c r="Z12" s="92" t="n"/>
      <c r="AB12">
        <f>IF(B12="","",IFERROR(INDEX(Schedule!$N$7:$N$18,MATCH(B12,Schedule!$A$7:$A$18,0)),"not in schedule"))</f>
        <v/>
      </c>
      <c r="AC12" s="31">
        <f>IF(B12="","",N(R12)-N(X12))</f>
        <v/>
      </c>
      <c r="AD12" s="84">
        <f>IF(B12="","",IF(Z12&lt;&gt;"",Z12,IF(N(G12)&gt;0,N(N12)/G12,"")))</f>
        <v/>
      </c>
      <c r="AE12" s="17">
        <f>IF(OR(B12="",C12=""),"",WORKDAY(C12,Inputs!$C$122,Lists!$N$4:$N$30))</f>
        <v/>
      </c>
      <c r="AF12">
        <f>IF(B12="","",IF(U12="","missing",IF(U12&gt;AE12,"Y","N")))</f>
        <v/>
      </c>
    </row>
    <row r="13">
      <c r="A13" s="92" t="n"/>
      <c r="B13" s="92" t="n"/>
      <c r="C13" s="91" t="n"/>
      <c r="D13" s="92" t="n"/>
      <c r="E13" s="92" t="n"/>
      <c r="F13" s="92" t="n"/>
      <c r="G13" s="92" t="n"/>
      <c r="H13" s="92" t="n"/>
      <c r="I13" s="92" t="n"/>
      <c r="J13" s="92" t="n"/>
      <c r="K13" s="92" t="n"/>
      <c r="L13" s="92" t="n"/>
      <c r="M13" s="92" t="n"/>
      <c r="N13" s="92" t="n"/>
      <c r="O13" s="92" t="n"/>
      <c r="P13" s="92" t="n"/>
      <c r="Q13" s="92" t="n"/>
      <c r="R13" s="94" t="n"/>
      <c r="S13" s="91" t="n"/>
      <c r="T13" s="94" t="n"/>
      <c r="U13" s="91" t="n"/>
      <c r="V13" s="92" t="n"/>
      <c r="W13" s="92" t="n"/>
      <c r="X13" s="94" t="n"/>
      <c r="Y13" s="91" t="n"/>
      <c r="Z13" s="92" t="n"/>
      <c r="AB13">
        <f>IF(B13="","",IFERROR(INDEX(Schedule!$N$7:$N$18,MATCH(B13,Schedule!$A$7:$A$18,0)),"not in schedule"))</f>
        <v/>
      </c>
      <c r="AC13" s="31">
        <f>IF(B13="","",N(R13)-N(X13))</f>
        <v/>
      </c>
      <c r="AD13" s="84">
        <f>IF(B13="","",IF(Z13&lt;&gt;"",Z13,IF(N(G13)&gt;0,N(N13)/G13,"")))</f>
        <v/>
      </c>
      <c r="AE13" s="17">
        <f>IF(OR(B13="",C13=""),"",WORKDAY(C13,Inputs!$C$122,Lists!$N$4:$N$30))</f>
        <v/>
      </c>
      <c r="AF13">
        <f>IF(B13="","",IF(U13="","missing",IF(U13&gt;AE13,"Y","N")))</f>
        <v/>
      </c>
    </row>
    <row r="14">
      <c r="A14" s="92" t="n"/>
      <c r="B14" s="92" t="n"/>
      <c r="C14" s="91" t="n"/>
      <c r="D14" s="92" t="n"/>
      <c r="E14" s="92" t="n"/>
      <c r="F14" s="92" t="n"/>
      <c r="G14" s="92" t="n"/>
      <c r="H14" s="92" t="n"/>
      <c r="I14" s="92" t="n"/>
      <c r="J14" s="92" t="n"/>
      <c r="K14" s="92" t="n"/>
      <c r="L14" s="92" t="n"/>
      <c r="M14" s="92" t="n"/>
      <c r="N14" s="92" t="n"/>
      <c r="O14" s="92" t="n"/>
      <c r="P14" s="92" t="n"/>
      <c r="Q14" s="92" t="n"/>
      <c r="R14" s="94" t="n"/>
      <c r="S14" s="91" t="n"/>
      <c r="T14" s="94" t="n"/>
      <c r="U14" s="91" t="n"/>
      <c r="V14" s="92" t="n"/>
      <c r="W14" s="92" t="n"/>
      <c r="X14" s="94" t="n"/>
      <c r="Y14" s="91" t="n"/>
      <c r="Z14" s="92" t="n"/>
      <c r="AB14">
        <f>IF(B14="","",IFERROR(INDEX(Schedule!$N$7:$N$18,MATCH(B14,Schedule!$A$7:$A$18,0)),"not in schedule"))</f>
        <v/>
      </c>
      <c r="AC14" s="31">
        <f>IF(B14="","",N(R14)-N(X14))</f>
        <v/>
      </c>
      <c r="AD14" s="84">
        <f>IF(B14="","",IF(Z14&lt;&gt;"",Z14,IF(N(G14)&gt;0,N(N14)/G14,"")))</f>
        <v/>
      </c>
      <c r="AE14" s="17">
        <f>IF(OR(B14="",C14=""),"",WORKDAY(C14,Inputs!$C$122,Lists!$N$4:$N$30))</f>
        <v/>
      </c>
      <c r="AF14">
        <f>IF(B14="","",IF(U14="","missing",IF(U14&gt;AE14,"Y","N")))</f>
        <v/>
      </c>
    </row>
    <row r="15">
      <c r="A15" s="92" t="n"/>
      <c r="B15" s="92" t="n"/>
      <c r="C15" s="91" t="n"/>
      <c r="D15" s="92" t="n"/>
      <c r="E15" s="92" t="n"/>
      <c r="F15" s="92" t="n"/>
      <c r="G15" s="92" t="n"/>
      <c r="H15" s="92" t="n"/>
      <c r="I15" s="92" t="n"/>
      <c r="J15" s="92" t="n"/>
      <c r="K15" s="92" t="n"/>
      <c r="L15" s="92" t="n"/>
      <c r="M15" s="92" t="n"/>
      <c r="N15" s="92" t="n"/>
      <c r="O15" s="92" t="n"/>
      <c r="P15" s="92" t="n"/>
      <c r="Q15" s="92" t="n"/>
      <c r="R15" s="94" t="n"/>
      <c r="S15" s="91" t="n"/>
      <c r="T15" s="94" t="n"/>
      <c r="U15" s="91" t="n"/>
      <c r="V15" s="92" t="n"/>
      <c r="W15" s="92" t="n"/>
      <c r="X15" s="94" t="n"/>
      <c r="Y15" s="91" t="n"/>
      <c r="Z15" s="92" t="n"/>
      <c r="AB15">
        <f>IF(B15="","",IFERROR(INDEX(Schedule!$N$7:$N$18,MATCH(B15,Schedule!$A$7:$A$18,0)),"not in schedule"))</f>
        <v/>
      </c>
      <c r="AC15" s="31">
        <f>IF(B15="","",N(R15)-N(X15))</f>
        <v/>
      </c>
      <c r="AD15" s="84">
        <f>IF(B15="","",IF(Z15&lt;&gt;"",Z15,IF(N(G15)&gt;0,N(N15)/G15,"")))</f>
        <v/>
      </c>
      <c r="AE15" s="17">
        <f>IF(OR(B15="",C15=""),"",WORKDAY(C15,Inputs!$C$122,Lists!$N$4:$N$30))</f>
        <v/>
      </c>
      <c r="AF15">
        <f>IF(B15="","",IF(U15="","missing",IF(U15&gt;AE15,"Y","N")))</f>
        <v/>
      </c>
    </row>
    <row r="16">
      <c r="A16" s="92" t="n"/>
      <c r="B16" s="92" t="n"/>
      <c r="C16" s="91" t="n"/>
      <c r="D16" s="92" t="n"/>
      <c r="E16" s="92" t="n"/>
      <c r="F16" s="92" t="n"/>
      <c r="G16" s="92" t="n"/>
      <c r="H16" s="92" t="n"/>
      <c r="I16" s="92" t="n"/>
      <c r="J16" s="92" t="n"/>
      <c r="K16" s="92" t="n"/>
      <c r="L16" s="92" t="n"/>
      <c r="M16" s="92" t="n"/>
      <c r="N16" s="92" t="n"/>
      <c r="O16" s="92" t="n"/>
      <c r="P16" s="92" t="n"/>
      <c r="Q16" s="92" t="n"/>
      <c r="R16" s="94" t="n"/>
      <c r="S16" s="91" t="n"/>
      <c r="T16" s="94" t="n"/>
      <c r="U16" s="91" t="n"/>
      <c r="V16" s="92" t="n"/>
      <c r="W16" s="92" t="n"/>
      <c r="X16" s="94" t="n"/>
      <c r="Y16" s="91" t="n"/>
      <c r="Z16" s="92" t="n"/>
      <c r="AB16">
        <f>IF(B16="","",IFERROR(INDEX(Schedule!$N$7:$N$18,MATCH(B16,Schedule!$A$7:$A$18,0)),"not in schedule"))</f>
        <v/>
      </c>
      <c r="AC16" s="31">
        <f>IF(B16="","",N(R16)-N(X16))</f>
        <v/>
      </c>
      <c r="AD16" s="84">
        <f>IF(B16="","",IF(Z16&lt;&gt;"",Z16,IF(N(G16)&gt;0,N(N16)/G16,"")))</f>
        <v/>
      </c>
      <c r="AE16" s="17">
        <f>IF(OR(B16="",C16=""),"",WORKDAY(C16,Inputs!$C$122,Lists!$N$4:$N$30))</f>
        <v/>
      </c>
      <c r="AF16">
        <f>IF(B16="","",IF(U16="","missing",IF(U16&gt;AE16,"Y","N")))</f>
        <v/>
      </c>
    </row>
    <row r="17">
      <c r="A17" s="92" t="n"/>
      <c r="B17" s="92" t="n"/>
      <c r="C17" s="91" t="n"/>
      <c r="D17" s="92" t="n"/>
      <c r="E17" s="92" t="n"/>
      <c r="F17" s="92" t="n"/>
      <c r="G17" s="92" t="n"/>
      <c r="H17" s="92" t="n"/>
      <c r="I17" s="92" t="n"/>
      <c r="J17" s="92" t="n"/>
      <c r="K17" s="92" t="n"/>
      <c r="L17" s="92" t="n"/>
      <c r="M17" s="92" t="n"/>
      <c r="N17" s="92" t="n"/>
      <c r="O17" s="92" t="n"/>
      <c r="P17" s="92" t="n"/>
      <c r="Q17" s="92" t="n"/>
      <c r="R17" s="94" t="n"/>
      <c r="S17" s="91" t="n"/>
      <c r="T17" s="94" t="n"/>
      <c r="U17" s="91" t="n"/>
      <c r="V17" s="92" t="n"/>
      <c r="W17" s="92" t="n"/>
      <c r="X17" s="94" t="n"/>
      <c r="Y17" s="91" t="n"/>
      <c r="Z17" s="92" t="n"/>
      <c r="AB17">
        <f>IF(B17="","",IFERROR(INDEX(Schedule!$N$7:$N$18,MATCH(B17,Schedule!$A$7:$A$18,0)),"not in schedule"))</f>
        <v/>
      </c>
      <c r="AC17" s="31">
        <f>IF(B17="","",N(R17)-N(X17))</f>
        <v/>
      </c>
      <c r="AD17" s="84">
        <f>IF(B17="","",IF(Z17&lt;&gt;"",Z17,IF(N(G17)&gt;0,N(N17)/G17,"")))</f>
        <v/>
      </c>
      <c r="AE17" s="17">
        <f>IF(OR(B17="",C17=""),"",WORKDAY(C17,Inputs!$C$122,Lists!$N$4:$N$30))</f>
        <v/>
      </c>
      <c r="AF17">
        <f>IF(B17="","",IF(U17="","missing",IF(U17&gt;AE17,"Y","N")))</f>
        <v/>
      </c>
    </row>
    <row r="18">
      <c r="A18" s="92" t="n"/>
      <c r="B18" s="92" t="n"/>
      <c r="C18" s="91" t="n"/>
      <c r="D18" s="92" t="n"/>
      <c r="E18" s="92" t="n"/>
      <c r="F18" s="92" t="n"/>
      <c r="G18" s="92" t="n"/>
      <c r="H18" s="92" t="n"/>
      <c r="I18" s="92" t="n"/>
      <c r="J18" s="92" t="n"/>
      <c r="K18" s="92" t="n"/>
      <c r="L18" s="92" t="n"/>
      <c r="M18" s="92" t="n"/>
      <c r="N18" s="92" t="n"/>
      <c r="O18" s="92" t="n"/>
      <c r="P18" s="92" t="n"/>
      <c r="Q18" s="92" t="n"/>
      <c r="R18" s="94" t="n"/>
      <c r="S18" s="91" t="n"/>
      <c r="T18" s="94" t="n"/>
      <c r="U18" s="91" t="n"/>
      <c r="V18" s="92" t="n"/>
      <c r="W18" s="92" t="n"/>
      <c r="X18" s="94" t="n"/>
      <c r="Y18" s="91" t="n"/>
      <c r="Z18" s="92" t="n"/>
      <c r="AB18">
        <f>IF(B18="","",IFERROR(INDEX(Schedule!$N$7:$N$18,MATCH(B18,Schedule!$A$7:$A$18,0)),"not in schedule"))</f>
        <v/>
      </c>
      <c r="AC18" s="31">
        <f>IF(B18="","",N(R18)-N(X18))</f>
        <v/>
      </c>
      <c r="AD18" s="84">
        <f>IF(B18="","",IF(Z18&lt;&gt;"",Z18,IF(N(G18)&gt;0,N(N18)/G18,"")))</f>
        <v/>
      </c>
      <c r="AE18" s="17">
        <f>IF(OR(B18="",C18=""),"",WORKDAY(C18,Inputs!$C$122,Lists!$N$4:$N$30))</f>
        <v/>
      </c>
      <c r="AF18">
        <f>IF(B18="","",IF(U18="","missing",IF(U18&gt;AE18,"Y","N")))</f>
        <v/>
      </c>
    </row>
    <row r="19">
      <c r="A19" s="92" t="n"/>
      <c r="B19" s="92" t="n"/>
      <c r="C19" s="91" t="n"/>
      <c r="D19" s="92" t="n"/>
      <c r="E19" s="92" t="n"/>
      <c r="F19" s="92" t="n"/>
      <c r="G19" s="92" t="n"/>
      <c r="H19" s="92" t="n"/>
      <c r="I19" s="92" t="n"/>
      <c r="J19" s="92" t="n"/>
      <c r="K19" s="92" t="n"/>
      <c r="L19" s="92" t="n"/>
      <c r="M19" s="92" t="n"/>
      <c r="N19" s="92" t="n"/>
      <c r="O19" s="92" t="n"/>
      <c r="P19" s="92" t="n"/>
      <c r="Q19" s="92" t="n"/>
      <c r="R19" s="94" t="n"/>
      <c r="S19" s="91" t="n"/>
      <c r="T19" s="94" t="n"/>
      <c r="U19" s="91" t="n"/>
      <c r="V19" s="92" t="n"/>
      <c r="W19" s="92" t="n"/>
      <c r="X19" s="94" t="n"/>
      <c r="Y19" s="91" t="n"/>
      <c r="Z19" s="92" t="n"/>
      <c r="AB19">
        <f>IF(B19="","",IFERROR(INDEX(Schedule!$N$7:$N$18,MATCH(B19,Schedule!$A$7:$A$18,0)),"not in schedule"))</f>
        <v/>
      </c>
      <c r="AC19" s="31">
        <f>IF(B19="","",N(R19)-N(X19))</f>
        <v/>
      </c>
      <c r="AD19" s="84">
        <f>IF(B19="","",IF(Z19&lt;&gt;"",Z19,IF(N(G19)&gt;0,N(N19)/G19,"")))</f>
        <v/>
      </c>
      <c r="AE19" s="17">
        <f>IF(OR(B19="",C19=""),"",WORKDAY(C19,Inputs!$C$122,Lists!$N$4:$N$30))</f>
        <v/>
      </c>
      <c r="AF19">
        <f>IF(B19="","",IF(U19="","missing",IF(U19&gt;AE19,"Y","N")))</f>
        <v/>
      </c>
    </row>
    <row r="20">
      <c r="A20" s="92" t="n"/>
      <c r="B20" s="92" t="n"/>
      <c r="C20" s="91" t="n"/>
      <c r="D20" s="92" t="n"/>
      <c r="E20" s="92" t="n"/>
      <c r="F20" s="92" t="n"/>
      <c r="G20" s="92" t="n"/>
      <c r="H20" s="92" t="n"/>
      <c r="I20" s="92" t="n"/>
      <c r="J20" s="92" t="n"/>
      <c r="K20" s="92" t="n"/>
      <c r="L20" s="92" t="n"/>
      <c r="M20" s="92" t="n"/>
      <c r="N20" s="92" t="n"/>
      <c r="O20" s="92" t="n"/>
      <c r="P20" s="92" t="n"/>
      <c r="Q20" s="92" t="n"/>
      <c r="R20" s="94" t="n"/>
      <c r="S20" s="91" t="n"/>
      <c r="T20" s="94" t="n"/>
      <c r="U20" s="91" t="n"/>
      <c r="V20" s="92" t="n"/>
      <c r="W20" s="92" t="n"/>
      <c r="X20" s="94" t="n"/>
      <c r="Y20" s="91" t="n"/>
      <c r="Z20" s="92" t="n"/>
      <c r="AB20">
        <f>IF(B20="","",IFERROR(INDEX(Schedule!$N$7:$N$18,MATCH(B20,Schedule!$A$7:$A$18,0)),"not in schedule"))</f>
        <v/>
      </c>
      <c r="AC20" s="31">
        <f>IF(B20="","",N(R20)-N(X20))</f>
        <v/>
      </c>
      <c r="AD20" s="84">
        <f>IF(B20="","",IF(Z20&lt;&gt;"",Z20,IF(N(G20)&gt;0,N(N20)/G20,"")))</f>
        <v/>
      </c>
      <c r="AE20" s="17">
        <f>IF(OR(B20="",C20=""),"",WORKDAY(C20,Inputs!$C$122,Lists!$N$4:$N$30))</f>
        <v/>
      </c>
      <c r="AF20">
        <f>IF(B20="","",IF(U20="","missing",IF(U20&gt;AE20,"Y","N")))</f>
        <v/>
      </c>
    </row>
    <row r="21">
      <c r="A21" s="92" t="n"/>
      <c r="B21" s="92" t="n"/>
      <c r="C21" s="91" t="n"/>
      <c r="D21" s="92" t="n"/>
      <c r="E21" s="92" t="n"/>
      <c r="F21" s="92" t="n"/>
      <c r="G21" s="92" t="n"/>
      <c r="H21" s="92" t="n"/>
      <c r="I21" s="92" t="n"/>
      <c r="J21" s="92" t="n"/>
      <c r="K21" s="92" t="n"/>
      <c r="L21" s="92" t="n"/>
      <c r="M21" s="92" t="n"/>
      <c r="N21" s="92" t="n"/>
      <c r="O21" s="92" t="n"/>
      <c r="P21" s="92" t="n"/>
      <c r="Q21" s="92" t="n"/>
      <c r="R21" s="94" t="n"/>
      <c r="S21" s="91" t="n"/>
      <c r="T21" s="94" t="n"/>
      <c r="U21" s="91" t="n"/>
      <c r="V21" s="92" t="n"/>
      <c r="W21" s="92" t="n"/>
      <c r="X21" s="94" t="n"/>
      <c r="Y21" s="91" t="n"/>
      <c r="Z21" s="92" t="n"/>
      <c r="AB21">
        <f>IF(B21="","",IFERROR(INDEX(Schedule!$N$7:$N$18,MATCH(B21,Schedule!$A$7:$A$18,0)),"not in schedule"))</f>
        <v/>
      </c>
      <c r="AC21" s="31">
        <f>IF(B21="","",N(R21)-N(X21))</f>
        <v/>
      </c>
      <c r="AD21" s="84">
        <f>IF(B21="","",IF(Z21&lt;&gt;"",Z21,IF(N(G21)&gt;0,N(N21)/G21,"")))</f>
        <v/>
      </c>
      <c r="AE21" s="17">
        <f>IF(OR(B21="",C21=""),"",WORKDAY(C21,Inputs!$C$122,Lists!$N$4:$N$30))</f>
        <v/>
      </c>
      <c r="AF21">
        <f>IF(B21="","",IF(U21="","missing",IF(U21&gt;AE21,"Y","N")))</f>
        <v/>
      </c>
    </row>
    <row r="22">
      <c r="A22" s="92" t="n"/>
      <c r="B22" s="92" t="n"/>
      <c r="C22" s="91" t="n"/>
      <c r="D22" s="92" t="n"/>
      <c r="E22" s="92" t="n"/>
      <c r="F22" s="92" t="n"/>
      <c r="G22" s="92" t="n"/>
      <c r="H22" s="92" t="n"/>
      <c r="I22" s="92" t="n"/>
      <c r="J22" s="92" t="n"/>
      <c r="K22" s="92" t="n"/>
      <c r="L22" s="92" t="n"/>
      <c r="M22" s="92" t="n"/>
      <c r="N22" s="92" t="n"/>
      <c r="O22" s="92" t="n"/>
      <c r="P22" s="92" t="n"/>
      <c r="Q22" s="92" t="n"/>
      <c r="R22" s="94" t="n"/>
      <c r="S22" s="91" t="n"/>
      <c r="T22" s="94" t="n"/>
      <c r="U22" s="91" t="n"/>
      <c r="V22" s="92" t="n"/>
      <c r="W22" s="92" t="n"/>
      <c r="X22" s="94" t="n"/>
      <c r="Y22" s="91" t="n"/>
      <c r="Z22" s="92" t="n"/>
      <c r="AB22">
        <f>IF(B22="","",IFERROR(INDEX(Schedule!$N$7:$N$18,MATCH(B22,Schedule!$A$7:$A$18,0)),"not in schedule"))</f>
        <v/>
      </c>
      <c r="AC22" s="31">
        <f>IF(B22="","",N(R22)-N(X22))</f>
        <v/>
      </c>
      <c r="AD22" s="84">
        <f>IF(B22="","",IF(Z22&lt;&gt;"",Z22,IF(N(G22)&gt;0,N(N22)/G22,"")))</f>
        <v/>
      </c>
      <c r="AE22" s="17">
        <f>IF(OR(B22="",C22=""),"",WORKDAY(C22,Inputs!$C$122,Lists!$N$4:$N$30))</f>
        <v/>
      </c>
      <c r="AF22">
        <f>IF(B22="","",IF(U22="","missing",IF(U22&gt;AE22,"Y","N")))</f>
        <v/>
      </c>
    </row>
    <row r="23">
      <c r="A23" s="92" t="n"/>
      <c r="B23" s="92" t="n"/>
      <c r="C23" s="91" t="n"/>
      <c r="D23" s="92" t="n"/>
      <c r="E23" s="92" t="n"/>
      <c r="F23" s="92" t="n"/>
      <c r="G23" s="92" t="n"/>
      <c r="H23" s="92" t="n"/>
      <c r="I23" s="92" t="n"/>
      <c r="J23" s="92" t="n"/>
      <c r="K23" s="92" t="n"/>
      <c r="L23" s="92" t="n"/>
      <c r="M23" s="92" t="n"/>
      <c r="N23" s="92" t="n"/>
      <c r="O23" s="92" t="n"/>
      <c r="P23" s="92" t="n"/>
      <c r="Q23" s="92" t="n"/>
      <c r="R23" s="94" t="n"/>
      <c r="S23" s="91" t="n"/>
      <c r="T23" s="94" t="n"/>
      <c r="U23" s="91" t="n"/>
      <c r="V23" s="92" t="n"/>
      <c r="W23" s="92" t="n"/>
      <c r="X23" s="94" t="n"/>
      <c r="Y23" s="91" t="n"/>
      <c r="Z23" s="92" t="n"/>
      <c r="AB23">
        <f>IF(B23="","",IFERROR(INDEX(Schedule!$N$7:$N$18,MATCH(B23,Schedule!$A$7:$A$18,0)),"not in schedule"))</f>
        <v/>
      </c>
      <c r="AC23" s="31">
        <f>IF(B23="","",N(R23)-N(X23))</f>
        <v/>
      </c>
      <c r="AD23" s="84">
        <f>IF(B23="","",IF(Z23&lt;&gt;"",Z23,IF(N(G23)&gt;0,N(N23)/G23,"")))</f>
        <v/>
      </c>
      <c r="AE23" s="17">
        <f>IF(OR(B23="",C23=""),"",WORKDAY(C23,Inputs!$C$122,Lists!$N$4:$N$30))</f>
        <v/>
      </c>
      <c r="AF23">
        <f>IF(B23="","",IF(U23="","missing",IF(U23&gt;AE23,"Y","N")))</f>
        <v/>
      </c>
    </row>
    <row r="24">
      <c r="A24" s="92" t="n"/>
      <c r="B24" s="92" t="n"/>
      <c r="C24" s="91" t="n"/>
      <c r="D24" s="92" t="n"/>
      <c r="E24" s="92" t="n"/>
      <c r="F24" s="92" t="n"/>
      <c r="G24" s="92" t="n"/>
      <c r="H24" s="92" t="n"/>
      <c r="I24" s="92" t="n"/>
      <c r="J24" s="92" t="n"/>
      <c r="K24" s="92" t="n"/>
      <c r="L24" s="92" t="n"/>
      <c r="M24" s="92" t="n"/>
      <c r="N24" s="92" t="n"/>
      <c r="O24" s="92" t="n"/>
      <c r="P24" s="92" t="n"/>
      <c r="Q24" s="92" t="n"/>
      <c r="R24" s="94" t="n"/>
      <c r="S24" s="91" t="n"/>
      <c r="T24" s="94" t="n"/>
      <c r="U24" s="91" t="n"/>
      <c r="V24" s="92" t="n"/>
      <c r="W24" s="92" t="n"/>
      <c r="X24" s="94" t="n"/>
      <c r="Y24" s="91" t="n"/>
      <c r="Z24" s="92" t="n"/>
      <c r="AB24">
        <f>IF(B24="","",IFERROR(INDEX(Schedule!$N$7:$N$18,MATCH(B24,Schedule!$A$7:$A$18,0)),"not in schedule"))</f>
        <v/>
      </c>
      <c r="AC24" s="31">
        <f>IF(B24="","",N(R24)-N(X24))</f>
        <v/>
      </c>
      <c r="AD24" s="84">
        <f>IF(B24="","",IF(Z24&lt;&gt;"",Z24,IF(N(G24)&gt;0,N(N24)/G24,"")))</f>
        <v/>
      </c>
      <c r="AE24" s="17">
        <f>IF(OR(B24="",C24=""),"",WORKDAY(C24,Inputs!$C$122,Lists!$N$4:$N$30))</f>
        <v/>
      </c>
      <c r="AF24">
        <f>IF(B24="","",IF(U24="","missing",IF(U24&gt;AE24,"Y","N")))</f>
        <v/>
      </c>
    </row>
    <row r="25">
      <c r="A25" s="92" t="n"/>
      <c r="B25" s="92" t="n"/>
      <c r="C25" s="91" t="n"/>
      <c r="D25" s="92" t="n"/>
      <c r="E25" s="92" t="n"/>
      <c r="F25" s="92" t="n"/>
      <c r="G25" s="92" t="n"/>
      <c r="H25" s="92" t="n"/>
      <c r="I25" s="92" t="n"/>
      <c r="J25" s="92" t="n"/>
      <c r="K25" s="92" t="n"/>
      <c r="L25" s="92" t="n"/>
      <c r="M25" s="92" t="n"/>
      <c r="N25" s="92" t="n"/>
      <c r="O25" s="92" t="n"/>
      <c r="P25" s="92" t="n"/>
      <c r="Q25" s="92" t="n"/>
      <c r="R25" s="94" t="n"/>
      <c r="S25" s="91" t="n"/>
      <c r="T25" s="94" t="n"/>
      <c r="U25" s="91" t="n"/>
      <c r="V25" s="92" t="n"/>
      <c r="W25" s="92" t="n"/>
      <c r="X25" s="94" t="n"/>
      <c r="Y25" s="91" t="n"/>
      <c r="Z25" s="92" t="n"/>
      <c r="AB25">
        <f>IF(B25="","",IFERROR(INDEX(Schedule!$N$7:$N$18,MATCH(B25,Schedule!$A$7:$A$18,0)),"not in schedule"))</f>
        <v/>
      </c>
      <c r="AC25" s="31">
        <f>IF(B25="","",N(R25)-N(X25))</f>
        <v/>
      </c>
      <c r="AD25" s="84">
        <f>IF(B25="","",IF(Z25&lt;&gt;"",Z25,IF(N(G25)&gt;0,N(N25)/G25,"")))</f>
        <v/>
      </c>
      <c r="AE25" s="17">
        <f>IF(OR(B25="",C25=""),"",WORKDAY(C25,Inputs!$C$122,Lists!$N$4:$N$30))</f>
        <v/>
      </c>
      <c r="AF25">
        <f>IF(B25="","",IF(U25="","missing",IF(U25&gt;AE25,"Y","N")))</f>
        <v/>
      </c>
    </row>
    <row r="26">
      <c r="A26" s="92" t="n"/>
      <c r="B26" s="92" t="n"/>
      <c r="C26" s="91" t="n"/>
      <c r="D26" s="92" t="n"/>
      <c r="E26" s="92" t="n"/>
      <c r="F26" s="92" t="n"/>
      <c r="G26" s="92" t="n"/>
      <c r="H26" s="92" t="n"/>
      <c r="I26" s="92" t="n"/>
      <c r="J26" s="92" t="n"/>
      <c r="K26" s="92" t="n"/>
      <c r="L26" s="92" t="n"/>
      <c r="M26" s="92" t="n"/>
      <c r="N26" s="92" t="n"/>
      <c r="O26" s="92" t="n"/>
      <c r="P26" s="92" t="n"/>
      <c r="Q26" s="92" t="n"/>
      <c r="R26" s="94" t="n"/>
      <c r="S26" s="91" t="n"/>
      <c r="T26" s="94" t="n"/>
      <c r="U26" s="91" t="n"/>
      <c r="V26" s="92" t="n"/>
      <c r="W26" s="92" t="n"/>
      <c r="X26" s="94" t="n"/>
      <c r="Y26" s="91" t="n"/>
      <c r="Z26" s="92" t="n"/>
      <c r="AB26">
        <f>IF(B26="","",IFERROR(INDEX(Schedule!$N$7:$N$18,MATCH(B26,Schedule!$A$7:$A$18,0)),"not in schedule"))</f>
        <v/>
      </c>
      <c r="AC26" s="31">
        <f>IF(B26="","",N(R26)-N(X26))</f>
        <v/>
      </c>
      <c r="AD26" s="84">
        <f>IF(B26="","",IF(Z26&lt;&gt;"",Z26,IF(N(G26)&gt;0,N(N26)/G26,"")))</f>
        <v/>
      </c>
      <c r="AE26" s="17">
        <f>IF(OR(B26="",C26=""),"",WORKDAY(C26,Inputs!$C$122,Lists!$N$4:$N$30))</f>
        <v/>
      </c>
      <c r="AF26">
        <f>IF(B26="","",IF(U26="","missing",IF(U26&gt;AE26,"Y","N")))</f>
        <v/>
      </c>
    </row>
    <row r="27">
      <c r="A27" s="92" t="n"/>
      <c r="B27" s="92" t="n"/>
      <c r="C27" s="91" t="n"/>
      <c r="D27" s="92" t="n"/>
      <c r="E27" s="92" t="n"/>
      <c r="F27" s="92" t="n"/>
      <c r="G27" s="92" t="n"/>
      <c r="H27" s="92" t="n"/>
      <c r="I27" s="92" t="n"/>
      <c r="J27" s="92" t="n"/>
      <c r="K27" s="92" t="n"/>
      <c r="L27" s="92" t="n"/>
      <c r="M27" s="92" t="n"/>
      <c r="N27" s="92" t="n"/>
      <c r="O27" s="92" t="n"/>
      <c r="P27" s="92" t="n"/>
      <c r="Q27" s="92" t="n"/>
      <c r="R27" s="94" t="n"/>
      <c r="S27" s="91" t="n"/>
      <c r="T27" s="94" t="n"/>
      <c r="U27" s="91" t="n"/>
      <c r="V27" s="92" t="n"/>
      <c r="W27" s="92" t="n"/>
      <c r="X27" s="94" t="n"/>
      <c r="Y27" s="91" t="n"/>
      <c r="Z27" s="92" t="n"/>
      <c r="AB27">
        <f>IF(B27="","",IFERROR(INDEX(Schedule!$N$7:$N$18,MATCH(B27,Schedule!$A$7:$A$18,0)),"not in schedule"))</f>
        <v/>
      </c>
      <c r="AC27" s="31">
        <f>IF(B27="","",N(R27)-N(X27))</f>
        <v/>
      </c>
      <c r="AD27" s="84">
        <f>IF(B27="","",IF(Z27&lt;&gt;"",Z27,IF(N(G27)&gt;0,N(N27)/G27,"")))</f>
        <v/>
      </c>
      <c r="AE27" s="17">
        <f>IF(OR(B27="",C27=""),"",WORKDAY(C27,Inputs!$C$122,Lists!$N$4:$N$30))</f>
        <v/>
      </c>
      <c r="AF27">
        <f>IF(B27="","",IF(U27="","missing",IF(U27&gt;AE27,"Y","N")))</f>
        <v/>
      </c>
    </row>
    <row r="28">
      <c r="A28" s="92" t="n"/>
      <c r="B28" s="92" t="n"/>
      <c r="C28" s="91" t="n"/>
      <c r="D28" s="92" t="n"/>
      <c r="E28" s="92" t="n"/>
      <c r="F28" s="92" t="n"/>
      <c r="G28" s="92" t="n"/>
      <c r="H28" s="92" t="n"/>
      <c r="I28" s="92" t="n"/>
      <c r="J28" s="92" t="n"/>
      <c r="K28" s="92" t="n"/>
      <c r="L28" s="92" t="n"/>
      <c r="M28" s="92" t="n"/>
      <c r="N28" s="92" t="n"/>
      <c r="O28" s="92" t="n"/>
      <c r="P28" s="92" t="n"/>
      <c r="Q28" s="92" t="n"/>
      <c r="R28" s="94" t="n"/>
      <c r="S28" s="91" t="n"/>
      <c r="T28" s="94" t="n"/>
      <c r="U28" s="91" t="n"/>
      <c r="V28" s="92" t="n"/>
      <c r="W28" s="92" t="n"/>
      <c r="X28" s="94" t="n"/>
      <c r="Y28" s="91" t="n"/>
      <c r="Z28" s="92" t="n"/>
      <c r="AB28">
        <f>IF(B28="","",IFERROR(INDEX(Schedule!$N$7:$N$18,MATCH(B28,Schedule!$A$7:$A$18,0)),"not in schedule"))</f>
        <v/>
      </c>
      <c r="AC28" s="31">
        <f>IF(B28="","",N(R28)-N(X28))</f>
        <v/>
      </c>
      <c r="AD28" s="84">
        <f>IF(B28="","",IF(Z28&lt;&gt;"",Z28,IF(N(G28)&gt;0,N(N28)/G28,"")))</f>
        <v/>
      </c>
      <c r="AE28" s="17">
        <f>IF(OR(B28="",C28=""),"",WORKDAY(C28,Inputs!$C$122,Lists!$N$4:$N$30))</f>
        <v/>
      </c>
      <c r="AF28">
        <f>IF(B28="","",IF(U28="","missing",IF(U28&gt;AE28,"Y","N")))</f>
        <v/>
      </c>
    </row>
    <row r="29">
      <c r="A29" s="92" t="n"/>
      <c r="B29" s="92" t="n"/>
      <c r="C29" s="91" t="n"/>
      <c r="D29" s="92" t="n"/>
      <c r="E29" s="92" t="n"/>
      <c r="F29" s="92" t="n"/>
      <c r="G29" s="92" t="n"/>
      <c r="H29" s="92" t="n"/>
      <c r="I29" s="92" t="n"/>
      <c r="J29" s="92" t="n"/>
      <c r="K29" s="92" t="n"/>
      <c r="L29" s="92" t="n"/>
      <c r="M29" s="92" t="n"/>
      <c r="N29" s="92" t="n"/>
      <c r="O29" s="92" t="n"/>
      <c r="P29" s="92" t="n"/>
      <c r="Q29" s="92" t="n"/>
      <c r="R29" s="94" t="n"/>
      <c r="S29" s="91" t="n"/>
      <c r="T29" s="94" t="n"/>
      <c r="U29" s="91" t="n"/>
      <c r="V29" s="92" t="n"/>
      <c r="W29" s="92" t="n"/>
      <c r="X29" s="94" t="n"/>
      <c r="Y29" s="91" t="n"/>
      <c r="Z29" s="92" t="n"/>
      <c r="AB29">
        <f>IF(B29="","",IFERROR(INDEX(Schedule!$N$7:$N$18,MATCH(B29,Schedule!$A$7:$A$18,0)),"not in schedule"))</f>
        <v/>
      </c>
      <c r="AC29" s="31">
        <f>IF(B29="","",N(R29)-N(X29))</f>
        <v/>
      </c>
      <c r="AD29" s="84">
        <f>IF(B29="","",IF(Z29&lt;&gt;"",Z29,IF(N(G29)&gt;0,N(N29)/G29,"")))</f>
        <v/>
      </c>
      <c r="AE29" s="17">
        <f>IF(OR(B29="",C29=""),"",WORKDAY(C29,Inputs!$C$122,Lists!$N$4:$N$30))</f>
        <v/>
      </c>
      <c r="AF29">
        <f>IF(B29="","",IF(U29="","missing",IF(U29&gt;AE29,"Y","N")))</f>
        <v/>
      </c>
    </row>
    <row r="30">
      <c r="A30" s="92" t="n"/>
      <c r="B30" s="92" t="n"/>
      <c r="C30" s="91" t="n"/>
      <c r="D30" s="92" t="n"/>
      <c r="E30" s="92" t="n"/>
      <c r="F30" s="92" t="n"/>
      <c r="G30" s="92" t="n"/>
      <c r="H30" s="92" t="n"/>
      <c r="I30" s="92" t="n"/>
      <c r="J30" s="92" t="n"/>
      <c r="K30" s="92" t="n"/>
      <c r="L30" s="92" t="n"/>
      <c r="M30" s="92" t="n"/>
      <c r="N30" s="92" t="n"/>
      <c r="O30" s="92" t="n"/>
      <c r="P30" s="92" t="n"/>
      <c r="Q30" s="92" t="n"/>
      <c r="R30" s="94" t="n"/>
      <c r="S30" s="91" t="n"/>
      <c r="T30" s="94" t="n"/>
      <c r="U30" s="91" t="n"/>
      <c r="V30" s="92" t="n"/>
      <c r="W30" s="92" t="n"/>
      <c r="X30" s="94" t="n"/>
      <c r="Y30" s="91" t="n"/>
      <c r="Z30" s="92" t="n"/>
      <c r="AB30">
        <f>IF(B30="","",IFERROR(INDEX(Schedule!$N$7:$N$18,MATCH(B30,Schedule!$A$7:$A$18,0)),"not in schedule"))</f>
        <v/>
      </c>
      <c r="AC30" s="31">
        <f>IF(B30="","",N(R30)-N(X30))</f>
        <v/>
      </c>
      <c r="AD30" s="84">
        <f>IF(B30="","",IF(Z30&lt;&gt;"",Z30,IF(N(G30)&gt;0,N(N30)/G30,"")))</f>
        <v/>
      </c>
      <c r="AE30" s="17">
        <f>IF(OR(B30="",C30=""),"",WORKDAY(C30,Inputs!$C$122,Lists!$N$4:$N$30))</f>
        <v/>
      </c>
      <c r="AF30">
        <f>IF(B30="","",IF(U30="","missing",IF(U30&gt;AE30,"Y","N")))</f>
        <v/>
      </c>
    </row>
    <row r="31">
      <c r="A31" s="92" t="n"/>
      <c r="B31" s="92" t="n"/>
      <c r="C31" s="91" t="n"/>
      <c r="D31" s="92" t="n"/>
      <c r="E31" s="92" t="n"/>
      <c r="F31" s="92" t="n"/>
      <c r="G31" s="92" t="n"/>
      <c r="H31" s="92" t="n"/>
      <c r="I31" s="92" t="n"/>
      <c r="J31" s="92" t="n"/>
      <c r="K31" s="92" t="n"/>
      <c r="L31" s="92" t="n"/>
      <c r="M31" s="92" t="n"/>
      <c r="N31" s="92" t="n"/>
      <c r="O31" s="92" t="n"/>
      <c r="P31" s="92" t="n"/>
      <c r="Q31" s="92" t="n"/>
      <c r="R31" s="94" t="n"/>
      <c r="S31" s="91" t="n"/>
      <c r="T31" s="94" t="n"/>
      <c r="U31" s="91" t="n"/>
      <c r="V31" s="92" t="n"/>
      <c r="W31" s="92" t="n"/>
      <c r="X31" s="94" t="n"/>
      <c r="Y31" s="91" t="n"/>
      <c r="Z31" s="92" t="n"/>
      <c r="AB31">
        <f>IF(B31="","",IFERROR(INDEX(Schedule!$N$7:$N$18,MATCH(B31,Schedule!$A$7:$A$18,0)),"not in schedule"))</f>
        <v/>
      </c>
      <c r="AC31" s="31">
        <f>IF(B31="","",N(R31)-N(X31))</f>
        <v/>
      </c>
      <c r="AD31" s="84">
        <f>IF(B31="","",IF(Z31&lt;&gt;"",Z31,IF(N(G31)&gt;0,N(N31)/G31,"")))</f>
        <v/>
      </c>
      <c r="AE31" s="17">
        <f>IF(OR(B31="",C31=""),"",WORKDAY(C31,Inputs!$C$122,Lists!$N$4:$N$30))</f>
        <v/>
      </c>
      <c r="AF31">
        <f>IF(B31="","",IF(U31="","missing",IF(U31&gt;AE31,"Y","N")))</f>
        <v/>
      </c>
    </row>
    <row r="32">
      <c r="A32" s="92" t="n"/>
      <c r="B32" s="92" t="n"/>
      <c r="C32" s="91" t="n"/>
      <c r="D32" s="92" t="n"/>
      <c r="E32" s="92" t="n"/>
      <c r="F32" s="92" t="n"/>
      <c r="G32" s="92" t="n"/>
      <c r="H32" s="92" t="n"/>
      <c r="I32" s="92" t="n"/>
      <c r="J32" s="92" t="n"/>
      <c r="K32" s="92" t="n"/>
      <c r="L32" s="92" t="n"/>
      <c r="M32" s="92" t="n"/>
      <c r="N32" s="92" t="n"/>
      <c r="O32" s="92" t="n"/>
      <c r="P32" s="92" t="n"/>
      <c r="Q32" s="92" t="n"/>
      <c r="R32" s="94" t="n"/>
      <c r="S32" s="91" t="n"/>
      <c r="T32" s="94" t="n"/>
      <c r="U32" s="91" t="n"/>
      <c r="V32" s="92" t="n"/>
      <c r="W32" s="92" t="n"/>
      <c r="X32" s="94" t="n"/>
      <c r="Y32" s="91" t="n"/>
      <c r="Z32" s="92" t="n"/>
      <c r="AB32">
        <f>IF(B32="","",IFERROR(INDEX(Schedule!$N$7:$N$18,MATCH(B32,Schedule!$A$7:$A$18,0)),"not in schedule"))</f>
        <v/>
      </c>
      <c r="AC32" s="31">
        <f>IF(B32="","",N(R32)-N(X32))</f>
        <v/>
      </c>
      <c r="AD32" s="84">
        <f>IF(B32="","",IF(Z32&lt;&gt;"",Z32,IF(N(G32)&gt;0,N(N32)/G32,"")))</f>
        <v/>
      </c>
      <c r="AE32" s="17">
        <f>IF(OR(B32="",C32=""),"",WORKDAY(C32,Inputs!$C$122,Lists!$N$4:$N$30))</f>
        <v/>
      </c>
      <c r="AF32">
        <f>IF(B32="","",IF(U32="","missing",IF(U32&gt;AE32,"Y","N")))</f>
        <v/>
      </c>
    </row>
    <row r="33">
      <c r="A33" s="92" t="n"/>
      <c r="B33" s="92" t="n"/>
      <c r="C33" s="91" t="n"/>
      <c r="D33" s="92" t="n"/>
      <c r="E33" s="92" t="n"/>
      <c r="F33" s="92" t="n"/>
      <c r="G33" s="92" t="n"/>
      <c r="H33" s="92" t="n"/>
      <c r="I33" s="92" t="n"/>
      <c r="J33" s="92" t="n"/>
      <c r="K33" s="92" t="n"/>
      <c r="L33" s="92" t="n"/>
      <c r="M33" s="92" t="n"/>
      <c r="N33" s="92" t="n"/>
      <c r="O33" s="92" t="n"/>
      <c r="P33" s="92" t="n"/>
      <c r="Q33" s="92" t="n"/>
      <c r="R33" s="94" t="n"/>
      <c r="S33" s="91" t="n"/>
      <c r="T33" s="94" t="n"/>
      <c r="U33" s="91" t="n"/>
      <c r="V33" s="92" t="n"/>
      <c r="W33" s="92" t="n"/>
      <c r="X33" s="94" t="n"/>
      <c r="Y33" s="91" t="n"/>
      <c r="Z33" s="92" t="n"/>
      <c r="AB33">
        <f>IF(B33="","",IFERROR(INDEX(Schedule!$N$7:$N$18,MATCH(B33,Schedule!$A$7:$A$18,0)),"not in schedule"))</f>
        <v/>
      </c>
      <c r="AC33" s="31">
        <f>IF(B33="","",N(R33)-N(X33))</f>
        <v/>
      </c>
      <c r="AD33" s="84">
        <f>IF(B33="","",IF(Z33&lt;&gt;"",Z33,IF(N(G33)&gt;0,N(N33)/G33,"")))</f>
        <v/>
      </c>
      <c r="AE33" s="17">
        <f>IF(OR(B33="",C33=""),"",WORKDAY(C33,Inputs!$C$122,Lists!$N$4:$N$30))</f>
        <v/>
      </c>
      <c r="AF33">
        <f>IF(B33="","",IF(U33="","missing",IF(U33&gt;AE33,"Y","N")))</f>
        <v/>
      </c>
    </row>
    <row r="34">
      <c r="A34" s="92" t="n"/>
      <c r="B34" s="92" t="n"/>
      <c r="C34" s="91" t="n"/>
      <c r="D34" s="92" t="n"/>
      <c r="E34" s="92" t="n"/>
      <c r="F34" s="92" t="n"/>
      <c r="G34" s="92" t="n"/>
      <c r="H34" s="92" t="n"/>
      <c r="I34" s="92" t="n"/>
      <c r="J34" s="92" t="n"/>
      <c r="K34" s="92" t="n"/>
      <c r="L34" s="92" t="n"/>
      <c r="M34" s="92" t="n"/>
      <c r="N34" s="92" t="n"/>
      <c r="O34" s="92" t="n"/>
      <c r="P34" s="92" t="n"/>
      <c r="Q34" s="92" t="n"/>
      <c r="R34" s="94" t="n"/>
      <c r="S34" s="91" t="n"/>
      <c r="T34" s="94" t="n"/>
      <c r="U34" s="91" t="n"/>
      <c r="V34" s="92" t="n"/>
      <c r="W34" s="92" t="n"/>
      <c r="X34" s="94" t="n"/>
      <c r="Y34" s="91" t="n"/>
      <c r="Z34" s="92" t="n"/>
      <c r="AB34">
        <f>IF(B34="","",IFERROR(INDEX(Schedule!$N$7:$N$18,MATCH(B34,Schedule!$A$7:$A$18,0)),"not in schedule"))</f>
        <v/>
      </c>
      <c r="AC34" s="31">
        <f>IF(B34="","",N(R34)-N(X34))</f>
        <v/>
      </c>
      <c r="AD34" s="84">
        <f>IF(B34="","",IF(Z34&lt;&gt;"",Z34,IF(N(G34)&gt;0,N(N34)/G34,"")))</f>
        <v/>
      </c>
      <c r="AE34" s="17">
        <f>IF(OR(B34="",C34=""),"",WORKDAY(C34,Inputs!$C$122,Lists!$N$4:$N$30))</f>
        <v/>
      </c>
      <c r="AF34">
        <f>IF(B34="","",IF(U34="","missing",IF(U34&gt;AE34,"Y","N")))</f>
        <v/>
      </c>
    </row>
    <row r="35">
      <c r="A35" s="92" t="n"/>
      <c r="B35" s="92" t="n"/>
      <c r="C35" s="91" t="n"/>
      <c r="D35" s="92" t="n"/>
      <c r="E35" s="92" t="n"/>
      <c r="F35" s="92" t="n"/>
      <c r="G35" s="92" t="n"/>
      <c r="H35" s="92" t="n"/>
      <c r="I35" s="92" t="n"/>
      <c r="J35" s="92" t="n"/>
      <c r="K35" s="92" t="n"/>
      <c r="L35" s="92" t="n"/>
      <c r="M35" s="92" t="n"/>
      <c r="N35" s="92" t="n"/>
      <c r="O35" s="92" t="n"/>
      <c r="P35" s="92" t="n"/>
      <c r="Q35" s="92" t="n"/>
      <c r="R35" s="94" t="n"/>
      <c r="S35" s="91" t="n"/>
      <c r="T35" s="94" t="n"/>
      <c r="U35" s="91" t="n"/>
      <c r="V35" s="92" t="n"/>
      <c r="W35" s="92" t="n"/>
      <c r="X35" s="94" t="n"/>
      <c r="Y35" s="91" t="n"/>
      <c r="Z35" s="92" t="n"/>
      <c r="AB35">
        <f>IF(B35="","",IFERROR(INDEX(Schedule!$N$7:$N$18,MATCH(B35,Schedule!$A$7:$A$18,0)),"not in schedule"))</f>
        <v/>
      </c>
      <c r="AC35" s="31">
        <f>IF(B35="","",N(R35)-N(X35))</f>
        <v/>
      </c>
      <c r="AD35" s="84">
        <f>IF(B35="","",IF(Z35&lt;&gt;"",Z35,IF(N(G35)&gt;0,N(N35)/G35,"")))</f>
        <v/>
      </c>
      <c r="AE35" s="17">
        <f>IF(OR(B35="",C35=""),"",WORKDAY(C35,Inputs!$C$122,Lists!$N$4:$N$30))</f>
        <v/>
      </c>
      <c r="AF35">
        <f>IF(B35="","",IF(U35="","missing",IF(U35&gt;AE35,"Y","N")))</f>
        <v/>
      </c>
    </row>
    <row r="36">
      <c r="A36" s="92" t="n"/>
      <c r="B36" s="92" t="n"/>
      <c r="C36" s="91" t="n"/>
      <c r="D36" s="92" t="n"/>
      <c r="E36" s="92" t="n"/>
      <c r="F36" s="92" t="n"/>
      <c r="G36" s="92" t="n"/>
      <c r="H36" s="92" t="n"/>
      <c r="I36" s="92" t="n"/>
      <c r="J36" s="92" t="n"/>
      <c r="K36" s="92" t="n"/>
      <c r="L36" s="92" t="n"/>
      <c r="M36" s="92" t="n"/>
      <c r="N36" s="92" t="n"/>
      <c r="O36" s="92" t="n"/>
      <c r="P36" s="92" t="n"/>
      <c r="Q36" s="92" t="n"/>
      <c r="R36" s="94" t="n"/>
      <c r="S36" s="91" t="n"/>
      <c r="T36" s="94" t="n"/>
      <c r="U36" s="91" t="n"/>
      <c r="V36" s="92" t="n"/>
      <c r="W36" s="92" t="n"/>
      <c r="X36" s="94" t="n"/>
      <c r="Y36" s="91" t="n"/>
      <c r="Z36" s="92" t="n"/>
      <c r="AB36">
        <f>IF(B36="","",IFERROR(INDEX(Schedule!$N$7:$N$18,MATCH(B36,Schedule!$A$7:$A$18,0)),"not in schedule"))</f>
        <v/>
      </c>
      <c r="AC36" s="31">
        <f>IF(B36="","",N(R36)-N(X36))</f>
        <v/>
      </c>
      <c r="AD36" s="84">
        <f>IF(B36="","",IF(Z36&lt;&gt;"",Z36,IF(N(G36)&gt;0,N(N36)/G36,"")))</f>
        <v/>
      </c>
      <c r="AE36" s="17">
        <f>IF(OR(B36="",C36=""),"",WORKDAY(C36,Inputs!$C$122,Lists!$N$4:$N$30))</f>
        <v/>
      </c>
      <c r="AF36">
        <f>IF(B36="","",IF(U36="","missing",IF(U36&gt;AE36,"Y","N")))</f>
        <v/>
      </c>
    </row>
    <row r="37">
      <c r="A37" s="92" t="n"/>
      <c r="B37" s="92" t="n"/>
      <c r="C37" s="91" t="n"/>
      <c r="D37" s="92" t="n"/>
      <c r="E37" s="92" t="n"/>
      <c r="F37" s="92" t="n"/>
      <c r="G37" s="92" t="n"/>
      <c r="H37" s="92" t="n"/>
      <c r="I37" s="92" t="n"/>
      <c r="J37" s="92" t="n"/>
      <c r="K37" s="92" t="n"/>
      <c r="L37" s="92" t="n"/>
      <c r="M37" s="92" t="n"/>
      <c r="N37" s="92" t="n"/>
      <c r="O37" s="92" t="n"/>
      <c r="P37" s="92" t="n"/>
      <c r="Q37" s="92" t="n"/>
      <c r="R37" s="94" t="n"/>
      <c r="S37" s="91" t="n"/>
      <c r="T37" s="94" t="n"/>
      <c r="U37" s="91" t="n"/>
      <c r="V37" s="92" t="n"/>
      <c r="W37" s="92" t="n"/>
      <c r="X37" s="94" t="n"/>
      <c r="Y37" s="91" t="n"/>
      <c r="Z37" s="92" t="n"/>
      <c r="AB37">
        <f>IF(B37="","",IFERROR(INDEX(Schedule!$N$7:$N$18,MATCH(B37,Schedule!$A$7:$A$18,0)),"not in schedule"))</f>
        <v/>
      </c>
      <c r="AC37" s="31">
        <f>IF(B37="","",N(R37)-N(X37))</f>
        <v/>
      </c>
      <c r="AD37" s="84">
        <f>IF(B37="","",IF(Z37&lt;&gt;"",Z37,IF(N(G37)&gt;0,N(N37)/G37,"")))</f>
        <v/>
      </c>
      <c r="AE37" s="17">
        <f>IF(OR(B37="",C37=""),"",WORKDAY(C37,Inputs!$C$122,Lists!$N$4:$N$30))</f>
        <v/>
      </c>
      <c r="AF37">
        <f>IF(B37="","",IF(U37="","missing",IF(U37&gt;AE37,"Y","N")))</f>
        <v/>
      </c>
    </row>
    <row r="38">
      <c r="A38" s="92" t="n"/>
      <c r="B38" s="92" t="n"/>
      <c r="C38" s="91" t="n"/>
      <c r="D38" s="92" t="n"/>
      <c r="E38" s="92" t="n"/>
      <c r="F38" s="92" t="n"/>
      <c r="G38" s="92" t="n"/>
      <c r="H38" s="92" t="n"/>
      <c r="I38" s="92" t="n"/>
      <c r="J38" s="92" t="n"/>
      <c r="K38" s="92" t="n"/>
      <c r="L38" s="92" t="n"/>
      <c r="M38" s="92" t="n"/>
      <c r="N38" s="92" t="n"/>
      <c r="O38" s="92" t="n"/>
      <c r="P38" s="92" t="n"/>
      <c r="Q38" s="92" t="n"/>
      <c r="R38" s="94" t="n"/>
      <c r="S38" s="91" t="n"/>
      <c r="T38" s="94" t="n"/>
      <c r="U38" s="91" t="n"/>
      <c r="V38" s="92" t="n"/>
      <c r="W38" s="92" t="n"/>
      <c r="X38" s="94" t="n"/>
      <c r="Y38" s="91" t="n"/>
      <c r="Z38" s="92" t="n"/>
      <c r="AB38">
        <f>IF(B38="","",IFERROR(INDEX(Schedule!$N$7:$N$18,MATCH(B38,Schedule!$A$7:$A$18,0)),"not in schedule"))</f>
        <v/>
      </c>
      <c r="AC38" s="31">
        <f>IF(B38="","",N(R38)-N(X38))</f>
        <v/>
      </c>
      <c r="AD38" s="84">
        <f>IF(B38="","",IF(Z38&lt;&gt;"",Z38,IF(N(G38)&gt;0,N(N38)/G38,"")))</f>
        <v/>
      </c>
      <c r="AE38" s="17">
        <f>IF(OR(B38="",C38=""),"",WORKDAY(C38,Inputs!$C$122,Lists!$N$4:$N$30))</f>
        <v/>
      </c>
      <c r="AF38">
        <f>IF(B38="","",IF(U38="","missing",IF(U38&gt;AE38,"Y","N")))</f>
        <v/>
      </c>
    </row>
    <row r="39">
      <c r="A39" s="92" t="n"/>
      <c r="B39" s="92" t="n"/>
      <c r="C39" s="91" t="n"/>
      <c r="D39" s="92" t="n"/>
      <c r="E39" s="92" t="n"/>
      <c r="F39" s="92" t="n"/>
      <c r="G39" s="92" t="n"/>
      <c r="H39" s="92" t="n"/>
      <c r="I39" s="92" t="n"/>
      <c r="J39" s="92" t="n"/>
      <c r="K39" s="92" t="n"/>
      <c r="L39" s="92" t="n"/>
      <c r="M39" s="92" t="n"/>
      <c r="N39" s="92" t="n"/>
      <c r="O39" s="92" t="n"/>
      <c r="P39" s="92" t="n"/>
      <c r="Q39" s="92" t="n"/>
      <c r="R39" s="94" t="n"/>
      <c r="S39" s="91" t="n"/>
      <c r="T39" s="94" t="n"/>
      <c r="U39" s="91" t="n"/>
      <c r="V39" s="92" t="n"/>
      <c r="W39" s="92" t="n"/>
      <c r="X39" s="94" t="n"/>
      <c r="Y39" s="91" t="n"/>
      <c r="Z39" s="92" t="n"/>
      <c r="AB39">
        <f>IF(B39="","",IFERROR(INDEX(Schedule!$N$7:$N$18,MATCH(B39,Schedule!$A$7:$A$18,0)),"not in schedule"))</f>
        <v/>
      </c>
      <c r="AC39" s="31">
        <f>IF(B39="","",N(R39)-N(X39))</f>
        <v/>
      </c>
      <c r="AD39" s="84">
        <f>IF(B39="","",IF(Z39&lt;&gt;"",Z39,IF(N(G39)&gt;0,N(N39)/G39,"")))</f>
        <v/>
      </c>
      <c r="AE39" s="17">
        <f>IF(OR(B39="",C39=""),"",WORKDAY(C39,Inputs!$C$122,Lists!$N$4:$N$30))</f>
        <v/>
      </c>
      <c r="AF39">
        <f>IF(B39="","",IF(U39="","missing",IF(U39&gt;AE39,"Y","N")))</f>
        <v/>
      </c>
    </row>
    <row r="40">
      <c r="A40" s="92" t="n"/>
      <c r="B40" s="92" t="n"/>
      <c r="C40" s="91" t="n"/>
      <c r="D40" s="92" t="n"/>
      <c r="E40" s="92" t="n"/>
      <c r="F40" s="92" t="n"/>
      <c r="G40" s="92" t="n"/>
      <c r="H40" s="92" t="n"/>
      <c r="I40" s="92" t="n"/>
      <c r="J40" s="92" t="n"/>
      <c r="K40" s="92" t="n"/>
      <c r="L40" s="92" t="n"/>
      <c r="M40" s="92" t="n"/>
      <c r="N40" s="92" t="n"/>
      <c r="O40" s="92" t="n"/>
      <c r="P40" s="92" t="n"/>
      <c r="Q40" s="92" t="n"/>
      <c r="R40" s="94" t="n"/>
      <c r="S40" s="91" t="n"/>
      <c r="T40" s="94" t="n"/>
      <c r="U40" s="91" t="n"/>
      <c r="V40" s="92" t="n"/>
      <c r="W40" s="92" t="n"/>
      <c r="X40" s="94" t="n"/>
      <c r="Y40" s="91" t="n"/>
      <c r="Z40" s="92" t="n"/>
      <c r="AB40">
        <f>IF(B40="","",IFERROR(INDEX(Schedule!$N$7:$N$18,MATCH(B40,Schedule!$A$7:$A$18,0)),"not in schedule"))</f>
        <v/>
      </c>
      <c r="AC40" s="31">
        <f>IF(B40="","",N(R40)-N(X40))</f>
        <v/>
      </c>
      <c r="AD40" s="84">
        <f>IF(B40="","",IF(Z40&lt;&gt;"",Z40,IF(N(G40)&gt;0,N(N40)/G40,"")))</f>
        <v/>
      </c>
      <c r="AE40" s="17">
        <f>IF(OR(B40="",C40=""),"",WORKDAY(C40,Inputs!$C$122,Lists!$N$4:$N$30))</f>
        <v/>
      </c>
      <c r="AF40">
        <f>IF(B40="","",IF(U40="","missing",IF(U40&gt;AE40,"Y","N")))</f>
        <v/>
      </c>
    </row>
    <row r="41">
      <c r="A41" s="92" t="n"/>
      <c r="B41" s="92" t="n"/>
      <c r="C41" s="91" t="n"/>
      <c r="D41" s="92" t="n"/>
      <c r="E41" s="92" t="n"/>
      <c r="F41" s="92" t="n"/>
      <c r="G41" s="92" t="n"/>
      <c r="H41" s="92" t="n"/>
      <c r="I41" s="92" t="n"/>
      <c r="J41" s="92" t="n"/>
      <c r="K41" s="92" t="n"/>
      <c r="L41" s="92" t="n"/>
      <c r="M41" s="92" t="n"/>
      <c r="N41" s="92" t="n"/>
      <c r="O41" s="92" t="n"/>
      <c r="P41" s="92" t="n"/>
      <c r="Q41" s="92" t="n"/>
      <c r="R41" s="94" t="n"/>
      <c r="S41" s="91" t="n"/>
      <c r="T41" s="94" t="n"/>
      <c r="U41" s="91" t="n"/>
      <c r="V41" s="92" t="n"/>
      <c r="W41" s="92" t="n"/>
      <c r="X41" s="94" t="n"/>
      <c r="Y41" s="91" t="n"/>
      <c r="Z41" s="92" t="n"/>
      <c r="AB41">
        <f>IF(B41="","",IFERROR(INDEX(Schedule!$N$7:$N$18,MATCH(B41,Schedule!$A$7:$A$18,0)),"not in schedule"))</f>
        <v/>
      </c>
      <c r="AC41" s="31">
        <f>IF(B41="","",N(R41)-N(X41))</f>
        <v/>
      </c>
      <c r="AD41" s="84">
        <f>IF(B41="","",IF(Z41&lt;&gt;"",Z41,IF(N(G41)&gt;0,N(N41)/G41,"")))</f>
        <v/>
      </c>
      <c r="AE41" s="17">
        <f>IF(OR(B41="",C41=""),"",WORKDAY(C41,Inputs!$C$122,Lists!$N$4:$N$30))</f>
        <v/>
      </c>
      <c r="AF41">
        <f>IF(B41="","",IF(U41="","missing",IF(U41&gt;AE41,"Y","N")))</f>
        <v/>
      </c>
    </row>
    <row r="42">
      <c r="A42" s="92" t="n"/>
      <c r="B42" s="92" t="n"/>
      <c r="C42" s="91" t="n"/>
      <c r="D42" s="92" t="n"/>
      <c r="E42" s="92" t="n"/>
      <c r="F42" s="92" t="n"/>
      <c r="G42" s="92" t="n"/>
      <c r="H42" s="92" t="n"/>
      <c r="I42" s="92" t="n"/>
      <c r="J42" s="92" t="n"/>
      <c r="K42" s="92" t="n"/>
      <c r="L42" s="92" t="n"/>
      <c r="M42" s="92" t="n"/>
      <c r="N42" s="92" t="n"/>
      <c r="O42" s="92" t="n"/>
      <c r="P42" s="92" t="n"/>
      <c r="Q42" s="92" t="n"/>
      <c r="R42" s="94" t="n"/>
      <c r="S42" s="91" t="n"/>
      <c r="T42" s="94" t="n"/>
      <c r="U42" s="91" t="n"/>
      <c r="V42" s="92" t="n"/>
      <c r="W42" s="92" t="n"/>
      <c r="X42" s="94" t="n"/>
      <c r="Y42" s="91" t="n"/>
      <c r="Z42" s="92" t="n"/>
      <c r="AB42">
        <f>IF(B42="","",IFERROR(INDEX(Schedule!$N$7:$N$18,MATCH(B42,Schedule!$A$7:$A$18,0)),"not in schedule"))</f>
        <v/>
      </c>
      <c r="AC42" s="31">
        <f>IF(B42="","",N(R42)-N(X42))</f>
        <v/>
      </c>
      <c r="AD42" s="84">
        <f>IF(B42="","",IF(Z42&lt;&gt;"",Z42,IF(N(G42)&gt;0,N(N42)/G42,"")))</f>
        <v/>
      </c>
      <c r="AE42" s="17">
        <f>IF(OR(B42="",C42=""),"",WORKDAY(C42,Inputs!$C$122,Lists!$N$4:$N$30))</f>
        <v/>
      </c>
      <c r="AF42">
        <f>IF(B42="","",IF(U42="","missing",IF(U42&gt;AE42,"Y","N")))</f>
        <v/>
      </c>
    </row>
    <row r="43">
      <c r="A43" s="92" t="n"/>
      <c r="B43" s="92" t="n"/>
      <c r="C43" s="91" t="n"/>
      <c r="D43" s="92" t="n"/>
      <c r="E43" s="92" t="n"/>
      <c r="F43" s="92" t="n"/>
      <c r="G43" s="92" t="n"/>
      <c r="H43" s="92" t="n"/>
      <c r="I43" s="92" t="n"/>
      <c r="J43" s="92" t="n"/>
      <c r="K43" s="92" t="n"/>
      <c r="L43" s="92" t="n"/>
      <c r="M43" s="92" t="n"/>
      <c r="N43" s="92" t="n"/>
      <c r="O43" s="92" t="n"/>
      <c r="P43" s="92" t="n"/>
      <c r="Q43" s="92" t="n"/>
      <c r="R43" s="94" t="n"/>
      <c r="S43" s="91" t="n"/>
      <c r="T43" s="94" t="n"/>
      <c r="U43" s="91" t="n"/>
      <c r="V43" s="92" t="n"/>
      <c r="W43" s="92" t="n"/>
      <c r="X43" s="94" t="n"/>
      <c r="Y43" s="91" t="n"/>
      <c r="Z43" s="92" t="n"/>
      <c r="AB43">
        <f>IF(B43="","",IFERROR(INDEX(Schedule!$N$7:$N$18,MATCH(B43,Schedule!$A$7:$A$18,0)),"not in schedule"))</f>
        <v/>
      </c>
      <c r="AC43" s="31">
        <f>IF(B43="","",N(R43)-N(X43))</f>
        <v/>
      </c>
      <c r="AD43" s="84">
        <f>IF(B43="","",IF(Z43&lt;&gt;"",Z43,IF(N(G43)&gt;0,N(N43)/G43,"")))</f>
        <v/>
      </c>
      <c r="AE43" s="17">
        <f>IF(OR(B43="",C43=""),"",WORKDAY(C43,Inputs!$C$122,Lists!$N$4:$N$30))</f>
        <v/>
      </c>
      <c r="AF43">
        <f>IF(B43="","",IF(U43="","missing",IF(U43&gt;AE43,"Y","N")))</f>
        <v/>
      </c>
    </row>
    <row r="44">
      <c r="A44" s="92" t="n"/>
      <c r="B44" s="92" t="n"/>
      <c r="C44" s="91" t="n"/>
      <c r="D44" s="92" t="n"/>
      <c r="E44" s="92" t="n"/>
      <c r="F44" s="92" t="n"/>
      <c r="G44" s="92" t="n"/>
      <c r="H44" s="92" t="n"/>
      <c r="I44" s="92" t="n"/>
      <c r="J44" s="92" t="n"/>
      <c r="K44" s="92" t="n"/>
      <c r="L44" s="92" t="n"/>
      <c r="M44" s="92" t="n"/>
      <c r="N44" s="92" t="n"/>
      <c r="O44" s="92" t="n"/>
      <c r="P44" s="92" t="n"/>
      <c r="Q44" s="92" t="n"/>
      <c r="R44" s="94" t="n"/>
      <c r="S44" s="91" t="n"/>
      <c r="T44" s="94" t="n"/>
      <c r="U44" s="91" t="n"/>
      <c r="V44" s="92" t="n"/>
      <c r="W44" s="92" t="n"/>
      <c r="X44" s="94" t="n"/>
      <c r="Y44" s="91" t="n"/>
      <c r="Z44" s="92" t="n"/>
      <c r="AB44">
        <f>IF(B44="","",IFERROR(INDEX(Schedule!$N$7:$N$18,MATCH(B44,Schedule!$A$7:$A$18,0)),"not in schedule"))</f>
        <v/>
      </c>
      <c r="AC44" s="31">
        <f>IF(B44="","",N(R44)-N(X44))</f>
        <v/>
      </c>
      <c r="AD44" s="84">
        <f>IF(B44="","",IF(Z44&lt;&gt;"",Z44,IF(N(G44)&gt;0,N(N44)/G44,"")))</f>
        <v/>
      </c>
      <c r="AE44" s="17">
        <f>IF(OR(B44="",C44=""),"",WORKDAY(C44,Inputs!$C$122,Lists!$N$4:$N$30))</f>
        <v/>
      </c>
      <c r="AF44">
        <f>IF(B44="","",IF(U44="","missing",IF(U44&gt;AE44,"Y","N")))</f>
        <v/>
      </c>
    </row>
    <row r="45">
      <c r="A45" s="92" t="n"/>
      <c r="B45" s="92" t="n"/>
      <c r="C45" s="91" t="n"/>
      <c r="D45" s="92" t="n"/>
      <c r="E45" s="92" t="n"/>
      <c r="F45" s="92" t="n"/>
      <c r="G45" s="92" t="n"/>
      <c r="H45" s="92" t="n"/>
      <c r="I45" s="92" t="n"/>
      <c r="J45" s="92" t="n"/>
      <c r="K45" s="92" t="n"/>
      <c r="L45" s="92" t="n"/>
      <c r="M45" s="92" t="n"/>
      <c r="N45" s="92" t="n"/>
      <c r="O45" s="92" t="n"/>
      <c r="P45" s="92" t="n"/>
      <c r="Q45" s="92" t="n"/>
      <c r="R45" s="94" t="n"/>
      <c r="S45" s="91" t="n"/>
      <c r="T45" s="94" t="n"/>
      <c r="U45" s="91" t="n"/>
      <c r="V45" s="92" t="n"/>
      <c r="W45" s="92" t="n"/>
      <c r="X45" s="94" t="n"/>
      <c r="Y45" s="91" t="n"/>
      <c r="Z45" s="92" t="n"/>
      <c r="AB45">
        <f>IF(B45="","",IFERROR(INDEX(Schedule!$N$7:$N$18,MATCH(B45,Schedule!$A$7:$A$18,0)),"not in schedule"))</f>
        <v/>
      </c>
      <c r="AC45" s="31">
        <f>IF(B45="","",N(R45)-N(X45))</f>
        <v/>
      </c>
      <c r="AD45" s="84">
        <f>IF(B45="","",IF(Z45&lt;&gt;"",Z45,IF(N(G45)&gt;0,N(N45)/G45,"")))</f>
        <v/>
      </c>
      <c r="AE45" s="17">
        <f>IF(OR(B45="",C45=""),"",WORKDAY(C45,Inputs!$C$122,Lists!$N$4:$N$30))</f>
        <v/>
      </c>
      <c r="AF45">
        <f>IF(B45="","",IF(U45="","missing",IF(U45&gt;AE45,"Y","N")))</f>
        <v/>
      </c>
    </row>
    <row r="46">
      <c r="A46" s="92" t="n"/>
      <c r="B46" s="92" t="n"/>
      <c r="C46" s="91" t="n"/>
      <c r="D46" s="92" t="n"/>
      <c r="E46" s="92" t="n"/>
      <c r="F46" s="92" t="n"/>
      <c r="G46" s="92" t="n"/>
      <c r="H46" s="92" t="n"/>
      <c r="I46" s="92" t="n"/>
      <c r="J46" s="92" t="n"/>
      <c r="K46" s="92" t="n"/>
      <c r="L46" s="92" t="n"/>
      <c r="M46" s="92" t="n"/>
      <c r="N46" s="92" t="n"/>
      <c r="O46" s="92" t="n"/>
      <c r="P46" s="92" t="n"/>
      <c r="Q46" s="92" t="n"/>
      <c r="R46" s="94" t="n"/>
      <c r="S46" s="91" t="n"/>
      <c r="T46" s="94" t="n"/>
      <c r="U46" s="91" t="n"/>
      <c r="V46" s="92" t="n"/>
      <c r="W46" s="92" t="n"/>
      <c r="X46" s="94" t="n"/>
      <c r="Y46" s="91" t="n"/>
      <c r="Z46" s="92" t="n"/>
      <c r="AB46">
        <f>IF(B46="","",IFERROR(INDEX(Schedule!$N$7:$N$18,MATCH(B46,Schedule!$A$7:$A$18,0)),"not in schedule"))</f>
        <v/>
      </c>
      <c r="AC46" s="31">
        <f>IF(B46="","",N(R46)-N(X46))</f>
        <v/>
      </c>
      <c r="AD46" s="84">
        <f>IF(B46="","",IF(Z46&lt;&gt;"",Z46,IF(N(G46)&gt;0,N(N46)/G46,"")))</f>
        <v/>
      </c>
      <c r="AE46" s="17">
        <f>IF(OR(B46="",C46=""),"",WORKDAY(C46,Inputs!$C$122,Lists!$N$4:$N$30))</f>
        <v/>
      </c>
      <c r="AF46">
        <f>IF(B46="","",IF(U46="","missing",IF(U46&gt;AE46,"Y","N")))</f>
        <v/>
      </c>
    </row>
    <row r="47">
      <c r="A47" s="92" t="n"/>
      <c r="B47" s="92" t="n"/>
      <c r="C47" s="91" t="n"/>
      <c r="D47" s="92" t="n"/>
      <c r="E47" s="92" t="n"/>
      <c r="F47" s="92" t="n"/>
      <c r="G47" s="92" t="n"/>
      <c r="H47" s="92" t="n"/>
      <c r="I47" s="92" t="n"/>
      <c r="J47" s="92" t="n"/>
      <c r="K47" s="92" t="n"/>
      <c r="L47" s="92" t="n"/>
      <c r="M47" s="92" t="n"/>
      <c r="N47" s="92" t="n"/>
      <c r="O47" s="92" t="n"/>
      <c r="P47" s="92" t="n"/>
      <c r="Q47" s="92" t="n"/>
      <c r="R47" s="94" t="n"/>
      <c r="S47" s="91" t="n"/>
      <c r="T47" s="94" t="n"/>
      <c r="U47" s="91" t="n"/>
      <c r="V47" s="92" t="n"/>
      <c r="W47" s="92" t="n"/>
      <c r="X47" s="94" t="n"/>
      <c r="Y47" s="91" t="n"/>
      <c r="Z47" s="92" t="n"/>
      <c r="AB47">
        <f>IF(B47="","",IFERROR(INDEX(Schedule!$N$7:$N$18,MATCH(B47,Schedule!$A$7:$A$18,0)),"not in schedule"))</f>
        <v/>
      </c>
      <c r="AC47" s="31">
        <f>IF(B47="","",N(R47)-N(X47))</f>
        <v/>
      </c>
      <c r="AD47" s="84">
        <f>IF(B47="","",IF(Z47&lt;&gt;"",Z47,IF(N(G47)&gt;0,N(N47)/G47,"")))</f>
        <v/>
      </c>
      <c r="AE47" s="17">
        <f>IF(OR(B47="",C47=""),"",WORKDAY(C47,Inputs!$C$122,Lists!$N$4:$N$30))</f>
        <v/>
      </c>
      <c r="AF47">
        <f>IF(B47="","",IF(U47="","missing",IF(U47&gt;AE47,"Y","N")))</f>
        <v/>
      </c>
    </row>
    <row r="48">
      <c r="A48" s="92" t="n"/>
      <c r="B48" s="92" t="n"/>
      <c r="C48" s="91" t="n"/>
      <c r="D48" s="92" t="n"/>
      <c r="E48" s="92" t="n"/>
      <c r="F48" s="92" t="n"/>
      <c r="G48" s="92" t="n"/>
      <c r="H48" s="92" t="n"/>
      <c r="I48" s="92" t="n"/>
      <c r="J48" s="92" t="n"/>
      <c r="K48" s="92" t="n"/>
      <c r="L48" s="92" t="n"/>
      <c r="M48" s="92" t="n"/>
      <c r="N48" s="92" t="n"/>
      <c r="O48" s="92" t="n"/>
      <c r="P48" s="92" t="n"/>
      <c r="Q48" s="92" t="n"/>
      <c r="R48" s="94" t="n"/>
      <c r="S48" s="91" t="n"/>
      <c r="T48" s="94" t="n"/>
      <c r="U48" s="91" t="n"/>
      <c r="V48" s="92" t="n"/>
      <c r="W48" s="92" t="n"/>
      <c r="X48" s="94" t="n"/>
      <c r="Y48" s="91" t="n"/>
      <c r="Z48" s="92" t="n"/>
      <c r="AB48">
        <f>IF(B48="","",IFERROR(INDEX(Schedule!$N$7:$N$18,MATCH(B48,Schedule!$A$7:$A$18,0)),"not in schedule"))</f>
        <v/>
      </c>
      <c r="AC48" s="31">
        <f>IF(B48="","",N(R48)-N(X48))</f>
        <v/>
      </c>
      <c r="AD48" s="84">
        <f>IF(B48="","",IF(Z48&lt;&gt;"",Z48,IF(N(G48)&gt;0,N(N48)/G48,"")))</f>
        <v/>
      </c>
      <c r="AE48" s="17">
        <f>IF(OR(B48="",C48=""),"",WORKDAY(C48,Inputs!$C$122,Lists!$N$4:$N$30))</f>
        <v/>
      </c>
      <c r="AF48">
        <f>IF(B48="","",IF(U48="","missing",IF(U48&gt;AE48,"Y","N")))</f>
        <v/>
      </c>
    </row>
    <row r="49">
      <c r="A49" s="92" t="n"/>
      <c r="B49" s="92" t="n"/>
      <c r="C49" s="91" t="n"/>
      <c r="D49" s="92" t="n"/>
      <c r="E49" s="92" t="n"/>
      <c r="F49" s="92" t="n"/>
      <c r="G49" s="92" t="n"/>
      <c r="H49" s="92" t="n"/>
      <c r="I49" s="92" t="n"/>
      <c r="J49" s="92" t="n"/>
      <c r="K49" s="92" t="n"/>
      <c r="L49" s="92" t="n"/>
      <c r="M49" s="92" t="n"/>
      <c r="N49" s="92" t="n"/>
      <c r="O49" s="92" t="n"/>
      <c r="P49" s="92" t="n"/>
      <c r="Q49" s="92" t="n"/>
      <c r="R49" s="94" t="n"/>
      <c r="S49" s="91" t="n"/>
      <c r="T49" s="94" t="n"/>
      <c r="U49" s="91" t="n"/>
      <c r="V49" s="92" t="n"/>
      <c r="W49" s="92" t="n"/>
      <c r="X49" s="94" t="n"/>
      <c r="Y49" s="91" t="n"/>
      <c r="Z49" s="92" t="n"/>
      <c r="AB49">
        <f>IF(B49="","",IFERROR(INDEX(Schedule!$N$7:$N$18,MATCH(B49,Schedule!$A$7:$A$18,0)),"not in schedule"))</f>
        <v/>
      </c>
      <c r="AC49" s="31">
        <f>IF(B49="","",N(R49)-N(X49))</f>
        <v/>
      </c>
      <c r="AD49" s="84">
        <f>IF(B49="","",IF(Z49&lt;&gt;"",Z49,IF(N(G49)&gt;0,N(N49)/G49,"")))</f>
        <v/>
      </c>
      <c r="AE49" s="17">
        <f>IF(OR(B49="",C49=""),"",WORKDAY(C49,Inputs!$C$122,Lists!$N$4:$N$30))</f>
        <v/>
      </c>
      <c r="AF49">
        <f>IF(B49="","",IF(U49="","missing",IF(U49&gt;AE49,"Y","N")))</f>
        <v/>
      </c>
    </row>
    <row r="50">
      <c r="A50" s="92" t="n"/>
      <c r="B50" s="92" t="n"/>
      <c r="C50" s="91" t="n"/>
      <c r="D50" s="92" t="n"/>
      <c r="E50" s="92" t="n"/>
      <c r="F50" s="92" t="n"/>
      <c r="G50" s="92" t="n"/>
      <c r="H50" s="92" t="n"/>
      <c r="I50" s="92" t="n"/>
      <c r="J50" s="92" t="n"/>
      <c r="K50" s="92" t="n"/>
      <c r="L50" s="92" t="n"/>
      <c r="M50" s="92" t="n"/>
      <c r="N50" s="92" t="n"/>
      <c r="O50" s="92" t="n"/>
      <c r="P50" s="92" t="n"/>
      <c r="Q50" s="92" t="n"/>
      <c r="R50" s="94" t="n"/>
      <c r="S50" s="91" t="n"/>
      <c r="T50" s="94" t="n"/>
      <c r="U50" s="91" t="n"/>
      <c r="V50" s="92" t="n"/>
      <c r="W50" s="92" t="n"/>
      <c r="X50" s="94" t="n"/>
      <c r="Y50" s="91" t="n"/>
      <c r="Z50" s="92" t="n"/>
      <c r="AB50">
        <f>IF(B50="","",IFERROR(INDEX(Schedule!$N$7:$N$18,MATCH(B50,Schedule!$A$7:$A$18,0)),"not in schedule"))</f>
        <v/>
      </c>
      <c r="AC50" s="31">
        <f>IF(B50="","",N(R50)-N(X50))</f>
        <v/>
      </c>
      <c r="AD50" s="84">
        <f>IF(B50="","",IF(Z50&lt;&gt;"",Z50,IF(N(G50)&gt;0,N(N50)/G50,"")))</f>
        <v/>
      </c>
      <c r="AE50" s="17">
        <f>IF(OR(B50="",C50=""),"",WORKDAY(C50,Inputs!$C$122,Lists!$N$4:$N$30))</f>
        <v/>
      </c>
      <c r="AF50">
        <f>IF(B50="","",IF(U50="","missing",IF(U50&gt;AE50,"Y","N")))</f>
        <v/>
      </c>
    </row>
    <row r="51">
      <c r="A51" s="92" t="n"/>
      <c r="B51" s="92" t="n"/>
      <c r="C51" s="91" t="n"/>
      <c r="D51" s="92" t="n"/>
      <c r="E51" s="92" t="n"/>
      <c r="F51" s="92" t="n"/>
      <c r="G51" s="92" t="n"/>
      <c r="H51" s="92" t="n"/>
      <c r="I51" s="92" t="n"/>
      <c r="J51" s="92" t="n"/>
      <c r="K51" s="92" t="n"/>
      <c r="L51" s="92" t="n"/>
      <c r="M51" s="92" t="n"/>
      <c r="N51" s="92" t="n"/>
      <c r="O51" s="92" t="n"/>
      <c r="P51" s="92" t="n"/>
      <c r="Q51" s="92" t="n"/>
      <c r="R51" s="94" t="n"/>
      <c r="S51" s="91" t="n"/>
      <c r="T51" s="94" t="n"/>
      <c r="U51" s="91" t="n"/>
      <c r="V51" s="92" t="n"/>
      <c r="W51" s="92" t="n"/>
      <c r="X51" s="94" t="n"/>
      <c r="Y51" s="91" t="n"/>
      <c r="Z51" s="92" t="n"/>
      <c r="AB51">
        <f>IF(B51="","",IFERROR(INDEX(Schedule!$N$7:$N$18,MATCH(B51,Schedule!$A$7:$A$18,0)),"not in schedule"))</f>
        <v/>
      </c>
      <c r="AC51" s="31">
        <f>IF(B51="","",N(R51)-N(X51))</f>
        <v/>
      </c>
      <c r="AD51" s="84">
        <f>IF(B51="","",IF(Z51&lt;&gt;"",Z51,IF(N(G51)&gt;0,N(N51)/G51,"")))</f>
        <v/>
      </c>
      <c r="AE51" s="17">
        <f>IF(OR(B51="",C51=""),"",WORKDAY(C51,Inputs!$C$122,Lists!$N$4:$N$30))</f>
        <v/>
      </c>
      <c r="AF51">
        <f>IF(B51="","",IF(U51="","missing",IF(U51&gt;AE51,"Y","N")))</f>
        <v/>
      </c>
    </row>
    <row r="52">
      <c r="A52" s="92" t="n"/>
      <c r="B52" s="92" t="n"/>
      <c r="C52" s="91" t="n"/>
      <c r="D52" s="92" t="n"/>
      <c r="E52" s="92" t="n"/>
      <c r="F52" s="92" t="n"/>
      <c r="G52" s="92" t="n"/>
      <c r="H52" s="92" t="n"/>
      <c r="I52" s="92" t="n"/>
      <c r="J52" s="92" t="n"/>
      <c r="K52" s="92" t="n"/>
      <c r="L52" s="92" t="n"/>
      <c r="M52" s="92" t="n"/>
      <c r="N52" s="92" t="n"/>
      <c r="O52" s="92" t="n"/>
      <c r="P52" s="92" t="n"/>
      <c r="Q52" s="92" t="n"/>
      <c r="R52" s="94" t="n"/>
      <c r="S52" s="91" t="n"/>
      <c r="T52" s="94" t="n"/>
      <c r="U52" s="91" t="n"/>
      <c r="V52" s="92" t="n"/>
      <c r="W52" s="92" t="n"/>
      <c r="X52" s="94" t="n"/>
      <c r="Y52" s="91" t="n"/>
      <c r="Z52" s="92" t="n"/>
      <c r="AB52">
        <f>IF(B52="","",IFERROR(INDEX(Schedule!$N$7:$N$18,MATCH(B52,Schedule!$A$7:$A$18,0)),"not in schedule"))</f>
        <v/>
      </c>
      <c r="AC52" s="31">
        <f>IF(B52="","",N(R52)-N(X52))</f>
        <v/>
      </c>
      <c r="AD52" s="84">
        <f>IF(B52="","",IF(Z52&lt;&gt;"",Z52,IF(N(G52)&gt;0,N(N52)/G52,"")))</f>
        <v/>
      </c>
      <c r="AE52" s="17">
        <f>IF(OR(B52="",C52=""),"",WORKDAY(C52,Inputs!$C$122,Lists!$N$4:$N$30))</f>
        <v/>
      </c>
      <c r="AF52">
        <f>IF(B52="","",IF(U52="","missing",IF(U52&gt;AE52,"Y","N")))</f>
        <v/>
      </c>
    </row>
    <row r="53">
      <c r="A53" s="92" t="n"/>
      <c r="B53" s="92" t="n"/>
      <c r="C53" s="91" t="n"/>
      <c r="D53" s="92" t="n"/>
      <c r="E53" s="92" t="n"/>
      <c r="F53" s="92" t="n"/>
      <c r="G53" s="92" t="n"/>
      <c r="H53" s="92" t="n"/>
      <c r="I53" s="92" t="n"/>
      <c r="J53" s="92" t="n"/>
      <c r="K53" s="92" t="n"/>
      <c r="L53" s="92" t="n"/>
      <c r="M53" s="92" t="n"/>
      <c r="N53" s="92" t="n"/>
      <c r="O53" s="92" t="n"/>
      <c r="P53" s="92" t="n"/>
      <c r="Q53" s="92" t="n"/>
      <c r="R53" s="94" t="n"/>
      <c r="S53" s="91" t="n"/>
      <c r="T53" s="94" t="n"/>
      <c r="U53" s="91" t="n"/>
      <c r="V53" s="92" t="n"/>
      <c r="W53" s="92" t="n"/>
      <c r="X53" s="94" t="n"/>
      <c r="Y53" s="91" t="n"/>
      <c r="Z53" s="92" t="n"/>
      <c r="AB53">
        <f>IF(B53="","",IFERROR(INDEX(Schedule!$N$7:$N$18,MATCH(B53,Schedule!$A$7:$A$18,0)),"not in schedule"))</f>
        <v/>
      </c>
      <c r="AC53" s="31">
        <f>IF(B53="","",N(R53)-N(X53))</f>
        <v/>
      </c>
      <c r="AD53" s="84">
        <f>IF(B53="","",IF(Z53&lt;&gt;"",Z53,IF(N(G53)&gt;0,N(N53)/G53,"")))</f>
        <v/>
      </c>
      <c r="AE53" s="17">
        <f>IF(OR(B53="",C53=""),"",WORKDAY(C53,Inputs!$C$122,Lists!$N$4:$N$30))</f>
        <v/>
      </c>
      <c r="AF53">
        <f>IF(B53="","",IF(U53="","missing",IF(U53&gt;AE53,"Y","N")))</f>
        <v/>
      </c>
    </row>
    <row r="54">
      <c r="A54" s="92" t="n"/>
      <c r="B54" s="92" t="n"/>
      <c r="C54" s="91" t="n"/>
      <c r="D54" s="92" t="n"/>
      <c r="E54" s="92" t="n"/>
      <c r="F54" s="92" t="n"/>
      <c r="G54" s="92" t="n"/>
      <c r="H54" s="92" t="n"/>
      <c r="I54" s="92" t="n"/>
      <c r="J54" s="92" t="n"/>
      <c r="K54" s="92" t="n"/>
      <c r="L54" s="92" t="n"/>
      <c r="M54" s="92" t="n"/>
      <c r="N54" s="92" t="n"/>
      <c r="O54" s="92" t="n"/>
      <c r="P54" s="92" t="n"/>
      <c r="Q54" s="92" t="n"/>
      <c r="R54" s="94" t="n"/>
      <c r="S54" s="91" t="n"/>
      <c r="T54" s="94" t="n"/>
      <c r="U54" s="91" t="n"/>
      <c r="V54" s="92" t="n"/>
      <c r="W54" s="92" t="n"/>
      <c r="X54" s="94" t="n"/>
      <c r="Y54" s="91" t="n"/>
      <c r="Z54" s="92" t="n"/>
      <c r="AB54">
        <f>IF(B54="","",IFERROR(INDEX(Schedule!$N$7:$N$18,MATCH(B54,Schedule!$A$7:$A$18,0)),"not in schedule"))</f>
        <v/>
      </c>
      <c r="AC54" s="31">
        <f>IF(B54="","",N(R54)-N(X54))</f>
        <v/>
      </c>
      <c r="AD54" s="84">
        <f>IF(B54="","",IF(Z54&lt;&gt;"",Z54,IF(N(G54)&gt;0,N(N54)/G54,"")))</f>
        <v/>
      </c>
      <c r="AE54" s="17">
        <f>IF(OR(B54="",C54=""),"",WORKDAY(C54,Inputs!$C$122,Lists!$N$4:$N$30))</f>
        <v/>
      </c>
      <c r="AF54">
        <f>IF(B54="","",IF(U54="","missing",IF(U54&gt;AE54,"Y","N")))</f>
        <v/>
      </c>
    </row>
    <row r="55">
      <c r="A55" s="92" t="n"/>
      <c r="B55" s="92" t="n"/>
      <c r="C55" s="91" t="n"/>
      <c r="D55" s="92" t="n"/>
      <c r="E55" s="92" t="n"/>
      <c r="F55" s="92" t="n"/>
      <c r="G55" s="92" t="n"/>
      <c r="H55" s="92" t="n"/>
      <c r="I55" s="92" t="n"/>
      <c r="J55" s="92" t="n"/>
      <c r="K55" s="92" t="n"/>
      <c r="L55" s="92" t="n"/>
      <c r="M55" s="92" t="n"/>
      <c r="N55" s="92" t="n"/>
      <c r="O55" s="92" t="n"/>
      <c r="P55" s="92" t="n"/>
      <c r="Q55" s="92" t="n"/>
      <c r="R55" s="94" t="n"/>
      <c r="S55" s="91" t="n"/>
      <c r="T55" s="94" t="n"/>
      <c r="U55" s="91" t="n"/>
      <c r="V55" s="92" t="n"/>
      <c r="W55" s="92" t="n"/>
      <c r="X55" s="94" t="n"/>
      <c r="Y55" s="91" t="n"/>
      <c r="Z55" s="92" t="n"/>
      <c r="AB55">
        <f>IF(B55="","",IFERROR(INDEX(Schedule!$N$7:$N$18,MATCH(B55,Schedule!$A$7:$A$18,0)),"not in schedule"))</f>
        <v/>
      </c>
      <c r="AC55" s="31">
        <f>IF(B55="","",N(R55)-N(X55))</f>
        <v/>
      </c>
      <c r="AD55" s="84">
        <f>IF(B55="","",IF(Z55&lt;&gt;"",Z55,IF(N(G55)&gt;0,N(N55)/G55,"")))</f>
        <v/>
      </c>
      <c r="AE55" s="17">
        <f>IF(OR(B55="",C55=""),"",WORKDAY(C55,Inputs!$C$122,Lists!$N$4:$N$30))</f>
        <v/>
      </c>
      <c r="AF55">
        <f>IF(B55="","",IF(U55="","missing",IF(U55&gt;AE55,"Y","N")))</f>
        <v/>
      </c>
    </row>
    <row r="56">
      <c r="A56" s="92" t="n"/>
      <c r="B56" s="92" t="n"/>
      <c r="C56" s="91" t="n"/>
      <c r="D56" s="92" t="n"/>
      <c r="E56" s="92" t="n"/>
      <c r="F56" s="92" t="n"/>
      <c r="G56" s="92" t="n"/>
      <c r="H56" s="92" t="n"/>
      <c r="I56" s="92" t="n"/>
      <c r="J56" s="92" t="n"/>
      <c r="K56" s="92" t="n"/>
      <c r="L56" s="92" t="n"/>
      <c r="M56" s="92" t="n"/>
      <c r="N56" s="92" t="n"/>
      <c r="O56" s="92" t="n"/>
      <c r="P56" s="92" t="n"/>
      <c r="Q56" s="92" t="n"/>
      <c r="R56" s="94" t="n"/>
      <c r="S56" s="91" t="n"/>
      <c r="T56" s="94" t="n"/>
      <c r="U56" s="91" t="n"/>
      <c r="V56" s="92" t="n"/>
      <c r="W56" s="92" t="n"/>
      <c r="X56" s="94" t="n"/>
      <c r="Y56" s="91" t="n"/>
      <c r="Z56" s="92" t="n"/>
      <c r="AB56">
        <f>IF(B56="","",IFERROR(INDEX(Schedule!$N$7:$N$18,MATCH(B56,Schedule!$A$7:$A$18,0)),"not in schedule"))</f>
        <v/>
      </c>
      <c r="AC56" s="31">
        <f>IF(B56="","",N(R56)-N(X56))</f>
        <v/>
      </c>
      <c r="AD56" s="84">
        <f>IF(B56="","",IF(Z56&lt;&gt;"",Z56,IF(N(G56)&gt;0,N(N56)/G56,"")))</f>
        <v/>
      </c>
      <c r="AE56" s="17">
        <f>IF(OR(B56="",C56=""),"",WORKDAY(C56,Inputs!$C$122,Lists!$N$4:$N$30))</f>
        <v/>
      </c>
      <c r="AF56">
        <f>IF(B56="","",IF(U56="","missing",IF(U56&gt;AE56,"Y","N")))</f>
        <v/>
      </c>
    </row>
    <row r="57">
      <c r="A57" s="92" t="n"/>
      <c r="B57" s="92" t="n"/>
      <c r="C57" s="91" t="n"/>
      <c r="D57" s="92" t="n"/>
      <c r="E57" s="92" t="n"/>
      <c r="F57" s="92" t="n"/>
      <c r="G57" s="92" t="n"/>
      <c r="H57" s="92" t="n"/>
      <c r="I57" s="92" t="n"/>
      <c r="J57" s="92" t="n"/>
      <c r="K57" s="92" t="n"/>
      <c r="L57" s="92" t="n"/>
      <c r="M57" s="92" t="n"/>
      <c r="N57" s="92" t="n"/>
      <c r="O57" s="92" t="n"/>
      <c r="P57" s="92" t="n"/>
      <c r="Q57" s="92" t="n"/>
      <c r="R57" s="94" t="n"/>
      <c r="S57" s="91" t="n"/>
      <c r="T57" s="94" t="n"/>
      <c r="U57" s="91" t="n"/>
      <c r="V57" s="92" t="n"/>
      <c r="W57" s="92" t="n"/>
      <c r="X57" s="94" t="n"/>
      <c r="Y57" s="91" t="n"/>
      <c r="Z57" s="92" t="n"/>
      <c r="AB57">
        <f>IF(B57="","",IFERROR(INDEX(Schedule!$N$7:$N$18,MATCH(B57,Schedule!$A$7:$A$18,0)),"not in schedule"))</f>
        <v/>
      </c>
      <c r="AC57" s="31">
        <f>IF(B57="","",N(R57)-N(X57))</f>
        <v/>
      </c>
      <c r="AD57" s="84">
        <f>IF(B57="","",IF(Z57&lt;&gt;"",Z57,IF(N(G57)&gt;0,N(N57)/G57,"")))</f>
        <v/>
      </c>
      <c r="AE57" s="17">
        <f>IF(OR(B57="",C57=""),"",WORKDAY(C57,Inputs!$C$122,Lists!$N$4:$N$30))</f>
        <v/>
      </c>
      <c r="AF57">
        <f>IF(B57="","",IF(U57="","missing",IF(U57&gt;AE57,"Y","N")))</f>
        <v/>
      </c>
    </row>
    <row r="58">
      <c r="A58" s="92" t="n"/>
      <c r="B58" s="92" t="n"/>
      <c r="C58" s="91" t="n"/>
      <c r="D58" s="92" t="n"/>
      <c r="E58" s="92" t="n"/>
      <c r="F58" s="92" t="n"/>
      <c r="G58" s="92" t="n"/>
      <c r="H58" s="92" t="n"/>
      <c r="I58" s="92" t="n"/>
      <c r="J58" s="92" t="n"/>
      <c r="K58" s="92" t="n"/>
      <c r="L58" s="92" t="n"/>
      <c r="M58" s="92" t="n"/>
      <c r="N58" s="92" t="n"/>
      <c r="O58" s="92" t="n"/>
      <c r="P58" s="92" t="n"/>
      <c r="Q58" s="92" t="n"/>
      <c r="R58" s="94" t="n"/>
      <c r="S58" s="91" t="n"/>
      <c r="T58" s="94" t="n"/>
      <c r="U58" s="91" t="n"/>
      <c r="V58" s="92" t="n"/>
      <c r="W58" s="92" t="n"/>
      <c r="X58" s="94" t="n"/>
      <c r="Y58" s="91" t="n"/>
      <c r="Z58" s="92" t="n"/>
      <c r="AB58">
        <f>IF(B58="","",IFERROR(INDEX(Schedule!$N$7:$N$18,MATCH(B58,Schedule!$A$7:$A$18,0)),"not in schedule"))</f>
        <v/>
      </c>
      <c r="AC58" s="31">
        <f>IF(B58="","",N(R58)-N(X58))</f>
        <v/>
      </c>
      <c r="AD58" s="84">
        <f>IF(B58="","",IF(Z58&lt;&gt;"",Z58,IF(N(G58)&gt;0,N(N58)/G58,"")))</f>
        <v/>
      </c>
      <c r="AE58" s="17">
        <f>IF(OR(B58="",C58=""),"",WORKDAY(C58,Inputs!$C$122,Lists!$N$4:$N$30))</f>
        <v/>
      </c>
      <c r="AF58">
        <f>IF(B58="","",IF(U58="","missing",IF(U58&gt;AE58,"Y","N")))</f>
        <v/>
      </c>
    </row>
    <row r="59">
      <c r="A59" s="92" t="n"/>
      <c r="B59" s="92" t="n"/>
      <c r="C59" s="91" t="n"/>
      <c r="D59" s="92" t="n"/>
      <c r="E59" s="92" t="n"/>
      <c r="F59" s="92" t="n"/>
      <c r="G59" s="92" t="n"/>
      <c r="H59" s="92" t="n"/>
      <c r="I59" s="92" t="n"/>
      <c r="J59" s="92" t="n"/>
      <c r="K59" s="92" t="n"/>
      <c r="L59" s="92" t="n"/>
      <c r="M59" s="92" t="n"/>
      <c r="N59" s="92" t="n"/>
      <c r="O59" s="92" t="n"/>
      <c r="P59" s="92" t="n"/>
      <c r="Q59" s="92" t="n"/>
      <c r="R59" s="94" t="n"/>
      <c r="S59" s="91" t="n"/>
      <c r="T59" s="94" t="n"/>
      <c r="U59" s="91" t="n"/>
      <c r="V59" s="92" t="n"/>
      <c r="W59" s="92" t="n"/>
      <c r="X59" s="94" t="n"/>
      <c r="Y59" s="91" t="n"/>
      <c r="Z59" s="92" t="n"/>
      <c r="AB59">
        <f>IF(B59="","",IFERROR(INDEX(Schedule!$N$7:$N$18,MATCH(B59,Schedule!$A$7:$A$18,0)),"not in schedule"))</f>
        <v/>
      </c>
      <c r="AC59" s="31">
        <f>IF(B59="","",N(R59)-N(X59))</f>
        <v/>
      </c>
      <c r="AD59" s="84">
        <f>IF(B59="","",IF(Z59&lt;&gt;"",Z59,IF(N(G59)&gt;0,N(N59)/G59,"")))</f>
        <v/>
      </c>
      <c r="AE59" s="17">
        <f>IF(OR(B59="",C59=""),"",WORKDAY(C59,Inputs!$C$122,Lists!$N$4:$N$30))</f>
        <v/>
      </c>
      <c r="AF59">
        <f>IF(B59="","",IF(U59="","missing",IF(U59&gt;AE59,"Y","N")))</f>
        <v/>
      </c>
    </row>
    <row r="60">
      <c r="A60" s="92" t="n"/>
      <c r="B60" s="92" t="n"/>
      <c r="C60" s="91" t="n"/>
      <c r="D60" s="92" t="n"/>
      <c r="E60" s="92" t="n"/>
      <c r="F60" s="92" t="n"/>
      <c r="G60" s="92" t="n"/>
      <c r="H60" s="92" t="n"/>
      <c r="I60" s="92" t="n"/>
      <c r="J60" s="92" t="n"/>
      <c r="K60" s="92" t="n"/>
      <c r="L60" s="92" t="n"/>
      <c r="M60" s="92" t="n"/>
      <c r="N60" s="92" t="n"/>
      <c r="O60" s="92" t="n"/>
      <c r="P60" s="92" t="n"/>
      <c r="Q60" s="92" t="n"/>
      <c r="R60" s="94" t="n"/>
      <c r="S60" s="91" t="n"/>
      <c r="T60" s="94" t="n"/>
      <c r="U60" s="91" t="n"/>
      <c r="V60" s="92" t="n"/>
      <c r="W60" s="92" t="n"/>
      <c r="X60" s="94" t="n"/>
      <c r="Y60" s="91" t="n"/>
      <c r="Z60" s="92" t="n"/>
      <c r="AB60">
        <f>IF(B60="","",IFERROR(INDEX(Schedule!$N$7:$N$18,MATCH(B60,Schedule!$A$7:$A$18,0)),"not in schedule"))</f>
        <v/>
      </c>
      <c r="AC60" s="31">
        <f>IF(B60="","",N(R60)-N(X60))</f>
        <v/>
      </c>
      <c r="AD60" s="84">
        <f>IF(B60="","",IF(Z60&lt;&gt;"",Z60,IF(N(G60)&gt;0,N(N60)/G60,"")))</f>
        <v/>
      </c>
      <c r="AE60" s="17">
        <f>IF(OR(B60="",C60=""),"",WORKDAY(C60,Inputs!$C$122,Lists!$N$4:$N$30))</f>
        <v/>
      </c>
      <c r="AF60">
        <f>IF(B60="","",IF(U60="","missing",IF(U60&gt;AE60,"Y","N")))</f>
        <v/>
      </c>
    </row>
    <row r="61">
      <c r="A61" s="92" t="n"/>
      <c r="B61" s="92" t="n"/>
      <c r="C61" s="91" t="n"/>
      <c r="D61" s="92" t="n"/>
      <c r="E61" s="92" t="n"/>
      <c r="F61" s="92" t="n"/>
      <c r="G61" s="92" t="n"/>
      <c r="H61" s="92" t="n"/>
      <c r="I61" s="92" t="n"/>
      <c r="J61" s="92" t="n"/>
      <c r="K61" s="92" t="n"/>
      <c r="L61" s="92" t="n"/>
      <c r="M61" s="92" t="n"/>
      <c r="N61" s="92" t="n"/>
      <c r="O61" s="92" t="n"/>
      <c r="P61" s="92" t="n"/>
      <c r="Q61" s="92" t="n"/>
      <c r="R61" s="94" t="n"/>
      <c r="S61" s="91" t="n"/>
      <c r="T61" s="94" t="n"/>
      <c r="U61" s="91" t="n"/>
      <c r="V61" s="92" t="n"/>
      <c r="W61" s="92" t="n"/>
      <c r="X61" s="94" t="n"/>
      <c r="Y61" s="91" t="n"/>
      <c r="Z61" s="92" t="n"/>
      <c r="AB61">
        <f>IF(B61="","",IFERROR(INDEX(Schedule!$N$7:$N$18,MATCH(B61,Schedule!$A$7:$A$18,0)),"not in schedule"))</f>
        <v/>
      </c>
      <c r="AC61" s="31">
        <f>IF(B61="","",N(R61)-N(X61))</f>
        <v/>
      </c>
      <c r="AD61" s="84">
        <f>IF(B61="","",IF(Z61&lt;&gt;"",Z61,IF(N(G61)&gt;0,N(N61)/G61,"")))</f>
        <v/>
      </c>
      <c r="AE61" s="17">
        <f>IF(OR(B61="",C61=""),"",WORKDAY(C61,Inputs!$C$122,Lists!$N$4:$N$30))</f>
        <v/>
      </c>
      <c r="AF61">
        <f>IF(B61="","",IF(U61="","missing",IF(U61&gt;AE61,"Y","N")))</f>
        <v/>
      </c>
    </row>
    <row r="62">
      <c r="A62" s="92" t="n"/>
      <c r="B62" s="92" t="n"/>
      <c r="C62" s="91" t="n"/>
      <c r="D62" s="92" t="n"/>
      <c r="E62" s="92" t="n"/>
      <c r="F62" s="92" t="n"/>
      <c r="G62" s="92" t="n"/>
      <c r="H62" s="92" t="n"/>
      <c r="I62" s="92" t="n"/>
      <c r="J62" s="92" t="n"/>
      <c r="K62" s="92" t="n"/>
      <c r="L62" s="92" t="n"/>
      <c r="M62" s="92" t="n"/>
      <c r="N62" s="92" t="n"/>
      <c r="O62" s="92" t="n"/>
      <c r="P62" s="92" t="n"/>
      <c r="Q62" s="92" t="n"/>
      <c r="R62" s="94" t="n"/>
      <c r="S62" s="91" t="n"/>
      <c r="T62" s="94" t="n"/>
      <c r="U62" s="91" t="n"/>
      <c r="V62" s="92" t="n"/>
      <c r="W62" s="92" t="n"/>
      <c r="X62" s="94" t="n"/>
      <c r="Y62" s="91" t="n"/>
      <c r="Z62" s="92" t="n"/>
      <c r="AB62">
        <f>IF(B62="","",IFERROR(INDEX(Schedule!$N$7:$N$18,MATCH(B62,Schedule!$A$7:$A$18,0)),"not in schedule"))</f>
        <v/>
      </c>
      <c r="AC62" s="31">
        <f>IF(B62="","",N(R62)-N(X62))</f>
        <v/>
      </c>
      <c r="AD62" s="84">
        <f>IF(B62="","",IF(Z62&lt;&gt;"",Z62,IF(N(G62)&gt;0,N(N62)/G62,"")))</f>
        <v/>
      </c>
      <c r="AE62" s="17">
        <f>IF(OR(B62="",C62=""),"",WORKDAY(C62,Inputs!$C$122,Lists!$N$4:$N$30))</f>
        <v/>
      </c>
      <c r="AF62">
        <f>IF(B62="","",IF(U62="","missing",IF(U62&gt;AE62,"Y","N")))</f>
        <v/>
      </c>
    </row>
    <row r="63">
      <c r="A63" s="92" t="n"/>
      <c r="B63" s="92" t="n"/>
      <c r="C63" s="91" t="n"/>
      <c r="D63" s="92" t="n"/>
      <c r="E63" s="92" t="n"/>
      <c r="F63" s="92" t="n"/>
      <c r="G63" s="92" t="n"/>
      <c r="H63" s="92" t="n"/>
      <c r="I63" s="92" t="n"/>
      <c r="J63" s="92" t="n"/>
      <c r="K63" s="92" t="n"/>
      <c r="L63" s="92" t="n"/>
      <c r="M63" s="92" t="n"/>
      <c r="N63" s="92" t="n"/>
      <c r="O63" s="92" t="n"/>
      <c r="P63" s="92" t="n"/>
      <c r="Q63" s="92" t="n"/>
      <c r="R63" s="94" t="n"/>
      <c r="S63" s="91" t="n"/>
      <c r="T63" s="94" t="n"/>
      <c r="U63" s="91" t="n"/>
      <c r="V63" s="92" t="n"/>
      <c r="W63" s="92" t="n"/>
      <c r="X63" s="94" t="n"/>
      <c r="Y63" s="91" t="n"/>
      <c r="Z63" s="92" t="n"/>
      <c r="AB63">
        <f>IF(B63="","",IFERROR(INDEX(Schedule!$N$7:$N$18,MATCH(B63,Schedule!$A$7:$A$18,0)),"not in schedule"))</f>
        <v/>
      </c>
      <c r="AC63" s="31">
        <f>IF(B63="","",N(R63)-N(X63))</f>
        <v/>
      </c>
      <c r="AD63" s="84">
        <f>IF(B63="","",IF(Z63&lt;&gt;"",Z63,IF(N(G63)&gt;0,N(N63)/G63,"")))</f>
        <v/>
      </c>
      <c r="AE63" s="17">
        <f>IF(OR(B63="",C63=""),"",WORKDAY(C63,Inputs!$C$122,Lists!$N$4:$N$30))</f>
        <v/>
      </c>
      <c r="AF63">
        <f>IF(B63="","",IF(U63="","missing",IF(U63&gt;AE63,"Y","N")))</f>
        <v/>
      </c>
    </row>
    <row r="64">
      <c r="A64" s="92" t="n"/>
      <c r="B64" s="92" t="n"/>
      <c r="C64" s="91" t="n"/>
      <c r="D64" s="92" t="n"/>
      <c r="E64" s="92" t="n"/>
      <c r="F64" s="92" t="n"/>
      <c r="G64" s="92" t="n"/>
      <c r="H64" s="92" t="n"/>
      <c r="I64" s="92" t="n"/>
      <c r="J64" s="92" t="n"/>
      <c r="K64" s="92" t="n"/>
      <c r="L64" s="92" t="n"/>
      <c r="M64" s="92" t="n"/>
      <c r="N64" s="92" t="n"/>
      <c r="O64" s="92" t="n"/>
      <c r="P64" s="92" t="n"/>
      <c r="Q64" s="92" t="n"/>
      <c r="R64" s="94" t="n"/>
      <c r="S64" s="91" t="n"/>
      <c r="T64" s="94" t="n"/>
      <c r="U64" s="91" t="n"/>
      <c r="V64" s="92" t="n"/>
      <c r="W64" s="92" t="n"/>
      <c r="X64" s="94" t="n"/>
      <c r="Y64" s="91" t="n"/>
      <c r="Z64" s="92" t="n"/>
      <c r="AB64">
        <f>IF(B64="","",IFERROR(INDEX(Schedule!$N$7:$N$18,MATCH(B64,Schedule!$A$7:$A$18,0)),"not in schedule"))</f>
        <v/>
      </c>
      <c r="AC64" s="31">
        <f>IF(B64="","",N(R64)-N(X64))</f>
        <v/>
      </c>
      <c r="AD64" s="84">
        <f>IF(B64="","",IF(Z64&lt;&gt;"",Z64,IF(N(G64)&gt;0,N(N64)/G64,"")))</f>
        <v/>
      </c>
      <c r="AE64" s="17">
        <f>IF(OR(B64="",C64=""),"",WORKDAY(C64,Inputs!$C$122,Lists!$N$4:$N$30))</f>
        <v/>
      </c>
      <c r="AF64">
        <f>IF(B64="","",IF(U64="","missing",IF(U64&gt;AE64,"Y","N")))</f>
        <v/>
      </c>
    </row>
    <row r="65">
      <c r="A65" s="92" t="n"/>
      <c r="B65" s="92" t="n"/>
      <c r="C65" s="91" t="n"/>
      <c r="D65" s="92" t="n"/>
      <c r="E65" s="92" t="n"/>
      <c r="F65" s="92" t="n"/>
      <c r="G65" s="92" t="n"/>
      <c r="H65" s="92" t="n"/>
      <c r="I65" s="92" t="n"/>
      <c r="J65" s="92" t="n"/>
      <c r="K65" s="92" t="n"/>
      <c r="L65" s="92" t="n"/>
      <c r="M65" s="92" t="n"/>
      <c r="N65" s="92" t="n"/>
      <c r="O65" s="92" t="n"/>
      <c r="P65" s="92" t="n"/>
      <c r="Q65" s="92" t="n"/>
      <c r="R65" s="94" t="n"/>
      <c r="S65" s="91" t="n"/>
      <c r="T65" s="94" t="n"/>
      <c r="U65" s="91" t="n"/>
      <c r="V65" s="92" t="n"/>
      <c r="W65" s="92" t="n"/>
      <c r="X65" s="94" t="n"/>
      <c r="Y65" s="91" t="n"/>
      <c r="Z65" s="92" t="n"/>
      <c r="AB65">
        <f>IF(B65="","",IFERROR(INDEX(Schedule!$N$7:$N$18,MATCH(B65,Schedule!$A$7:$A$18,0)),"not in schedule"))</f>
        <v/>
      </c>
      <c r="AC65" s="31">
        <f>IF(B65="","",N(R65)-N(X65))</f>
        <v/>
      </c>
      <c r="AD65" s="84">
        <f>IF(B65="","",IF(Z65&lt;&gt;"",Z65,IF(N(G65)&gt;0,N(N65)/G65,"")))</f>
        <v/>
      </c>
      <c r="AE65" s="17">
        <f>IF(OR(B65="",C65=""),"",WORKDAY(C65,Inputs!$C$122,Lists!$N$4:$N$30))</f>
        <v/>
      </c>
      <c r="AF65">
        <f>IF(B65="","",IF(U65="","missing",IF(U65&gt;AE65,"Y","N")))</f>
        <v/>
      </c>
    </row>
    <row r="66">
      <c r="A66" s="92" t="n"/>
      <c r="B66" s="92" t="n"/>
      <c r="C66" s="91" t="n"/>
      <c r="D66" s="92" t="n"/>
      <c r="E66" s="92" t="n"/>
      <c r="F66" s="92" t="n"/>
      <c r="G66" s="92" t="n"/>
      <c r="H66" s="92" t="n"/>
      <c r="I66" s="92" t="n"/>
      <c r="J66" s="92" t="n"/>
      <c r="K66" s="92" t="n"/>
      <c r="L66" s="92" t="n"/>
      <c r="M66" s="92" t="n"/>
      <c r="N66" s="92" t="n"/>
      <c r="O66" s="92" t="n"/>
      <c r="P66" s="92" t="n"/>
      <c r="Q66" s="92" t="n"/>
      <c r="R66" s="94" t="n"/>
      <c r="S66" s="91" t="n"/>
      <c r="T66" s="94" t="n"/>
      <c r="U66" s="91" t="n"/>
      <c r="V66" s="92" t="n"/>
      <c r="W66" s="92" t="n"/>
      <c r="X66" s="94" t="n"/>
      <c r="Y66" s="91" t="n"/>
      <c r="Z66" s="92" t="n"/>
      <c r="AB66">
        <f>IF(B66="","",IFERROR(INDEX(Schedule!$N$7:$N$18,MATCH(B66,Schedule!$A$7:$A$18,0)),"not in schedule"))</f>
        <v/>
      </c>
      <c r="AC66" s="31">
        <f>IF(B66="","",N(R66)-N(X66))</f>
        <v/>
      </c>
      <c r="AD66" s="84">
        <f>IF(B66="","",IF(Z66&lt;&gt;"",Z66,IF(N(G66)&gt;0,N(N66)/G66,"")))</f>
        <v/>
      </c>
      <c r="AE66" s="17">
        <f>IF(OR(B66="",C66=""),"",WORKDAY(C66,Inputs!$C$122,Lists!$N$4:$N$30))</f>
        <v/>
      </c>
      <c r="AF66">
        <f>IF(B66="","",IF(U66="","missing",IF(U66&gt;AE66,"Y","N")))</f>
        <v/>
      </c>
    </row>
    <row r="67">
      <c r="A67" s="92" t="n"/>
      <c r="B67" s="92" t="n"/>
      <c r="C67" s="91" t="n"/>
      <c r="D67" s="92" t="n"/>
      <c r="E67" s="92" t="n"/>
      <c r="F67" s="92" t="n"/>
      <c r="G67" s="92" t="n"/>
      <c r="H67" s="92" t="n"/>
      <c r="I67" s="92" t="n"/>
      <c r="J67" s="92" t="n"/>
      <c r="K67" s="92" t="n"/>
      <c r="L67" s="92" t="n"/>
      <c r="M67" s="92" t="n"/>
      <c r="N67" s="92" t="n"/>
      <c r="O67" s="92" t="n"/>
      <c r="P67" s="92" t="n"/>
      <c r="Q67" s="92" t="n"/>
      <c r="R67" s="94" t="n"/>
      <c r="S67" s="91" t="n"/>
      <c r="T67" s="94" t="n"/>
      <c r="U67" s="91" t="n"/>
      <c r="V67" s="92" t="n"/>
      <c r="W67" s="92" t="n"/>
      <c r="X67" s="94" t="n"/>
      <c r="Y67" s="91" t="n"/>
      <c r="Z67" s="92" t="n"/>
      <c r="AB67">
        <f>IF(B67="","",IFERROR(INDEX(Schedule!$N$7:$N$18,MATCH(B67,Schedule!$A$7:$A$18,0)),"not in schedule"))</f>
        <v/>
      </c>
      <c r="AC67" s="31">
        <f>IF(B67="","",N(R67)-N(X67))</f>
        <v/>
      </c>
      <c r="AD67" s="84">
        <f>IF(B67="","",IF(Z67&lt;&gt;"",Z67,IF(N(G67)&gt;0,N(N67)/G67,"")))</f>
        <v/>
      </c>
      <c r="AE67" s="17">
        <f>IF(OR(B67="",C67=""),"",WORKDAY(C67,Inputs!$C$122,Lists!$N$4:$N$30))</f>
        <v/>
      </c>
      <c r="AF67">
        <f>IF(B67="","",IF(U67="","missing",IF(U67&gt;AE67,"Y","N")))</f>
        <v/>
      </c>
    </row>
    <row r="68">
      <c r="A68" s="92" t="n"/>
      <c r="B68" s="92" t="n"/>
      <c r="C68" s="91" t="n"/>
      <c r="D68" s="92" t="n"/>
      <c r="E68" s="92" t="n"/>
      <c r="F68" s="92" t="n"/>
      <c r="G68" s="92" t="n"/>
      <c r="H68" s="92" t="n"/>
      <c r="I68" s="92" t="n"/>
      <c r="J68" s="92" t="n"/>
      <c r="K68" s="92" t="n"/>
      <c r="L68" s="92" t="n"/>
      <c r="M68" s="92" t="n"/>
      <c r="N68" s="92" t="n"/>
      <c r="O68" s="92" t="n"/>
      <c r="P68" s="92" t="n"/>
      <c r="Q68" s="92" t="n"/>
      <c r="R68" s="94" t="n"/>
      <c r="S68" s="91" t="n"/>
      <c r="T68" s="94" t="n"/>
      <c r="U68" s="91" t="n"/>
      <c r="V68" s="92" t="n"/>
      <c r="W68" s="92" t="n"/>
      <c r="X68" s="94" t="n"/>
      <c r="Y68" s="91" t="n"/>
      <c r="Z68" s="92" t="n"/>
      <c r="AB68">
        <f>IF(B68="","",IFERROR(INDEX(Schedule!$N$7:$N$18,MATCH(B68,Schedule!$A$7:$A$18,0)),"not in schedule"))</f>
        <v/>
      </c>
      <c r="AC68" s="31">
        <f>IF(B68="","",N(R68)-N(X68))</f>
        <v/>
      </c>
      <c r="AD68" s="84">
        <f>IF(B68="","",IF(Z68&lt;&gt;"",Z68,IF(N(G68)&gt;0,N(N68)/G68,"")))</f>
        <v/>
      </c>
      <c r="AE68" s="17">
        <f>IF(OR(B68="",C68=""),"",WORKDAY(C68,Inputs!$C$122,Lists!$N$4:$N$30))</f>
        <v/>
      </c>
      <c r="AF68">
        <f>IF(B68="","",IF(U68="","missing",IF(U68&gt;AE68,"Y","N")))</f>
        <v/>
      </c>
    </row>
    <row r="69">
      <c r="A69" s="92" t="n"/>
      <c r="B69" s="92" t="n"/>
      <c r="C69" s="91" t="n"/>
      <c r="D69" s="92" t="n"/>
      <c r="E69" s="92" t="n"/>
      <c r="F69" s="92" t="n"/>
      <c r="G69" s="92" t="n"/>
      <c r="H69" s="92" t="n"/>
      <c r="I69" s="92" t="n"/>
      <c r="J69" s="92" t="n"/>
      <c r="K69" s="92" t="n"/>
      <c r="L69" s="92" t="n"/>
      <c r="M69" s="92" t="n"/>
      <c r="N69" s="92" t="n"/>
      <c r="O69" s="92" t="n"/>
      <c r="P69" s="92" t="n"/>
      <c r="Q69" s="92" t="n"/>
      <c r="R69" s="94" t="n"/>
      <c r="S69" s="91" t="n"/>
      <c r="T69" s="94" t="n"/>
      <c r="U69" s="91" t="n"/>
      <c r="V69" s="92" t="n"/>
      <c r="W69" s="92" t="n"/>
      <c r="X69" s="94" t="n"/>
      <c r="Y69" s="91" t="n"/>
      <c r="Z69" s="92" t="n"/>
      <c r="AB69">
        <f>IF(B69="","",IFERROR(INDEX(Schedule!$N$7:$N$18,MATCH(B69,Schedule!$A$7:$A$18,0)),"not in schedule"))</f>
        <v/>
      </c>
      <c r="AC69" s="31">
        <f>IF(B69="","",N(R69)-N(X69))</f>
        <v/>
      </c>
      <c r="AD69" s="84">
        <f>IF(B69="","",IF(Z69&lt;&gt;"",Z69,IF(N(G69)&gt;0,N(N69)/G69,"")))</f>
        <v/>
      </c>
      <c r="AE69" s="17">
        <f>IF(OR(B69="",C69=""),"",WORKDAY(C69,Inputs!$C$122,Lists!$N$4:$N$30))</f>
        <v/>
      </c>
      <c r="AF69">
        <f>IF(B69="","",IF(U69="","missing",IF(U69&gt;AE69,"Y","N")))</f>
        <v/>
      </c>
    </row>
    <row r="70">
      <c r="A70" s="92" t="n"/>
      <c r="B70" s="92" t="n"/>
      <c r="C70" s="91" t="n"/>
      <c r="D70" s="92" t="n"/>
      <c r="E70" s="92" t="n"/>
      <c r="F70" s="92" t="n"/>
      <c r="G70" s="92" t="n"/>
      <c r="H70" s="92" t="n"/>
      <c r="I70" s="92" t="n"/>
      <c r="J70" s="92" t="n"/>
      <c r="K70" s="92" t="n"/>
      <c r="L70" s="92" t="n"/>
      <c r="M70" s="92" t="n"/>
      <c r="N70" s="92" t="n"/>
      <c r="O70" s="92" t="n"/>
      <c r="P70" s="92" t="n"/>
      <c r="Q70" s="92" t="n"/>
      <c r="R70" s="94" t="n"/>
      <c r="S70" s="91" t="n"/>
      <c r="T70" s="94" t="n"/>
      <c r="U70" s="91" t="n"/>
      <c r="V70" s="92" t="n"/>
      <c r="W70" s="92" t="n"/>
      <c r="X70" s="94" t="n"/>
      <c r="Y70" s="91" t="n"/>
      <c r="Z70" s="92" t="n"/>
      <c r="AB70">
        <f>IF(B70="","",IFERROR(INDEX(Schedule!$N$7:$N$18,MATCH(B70,Schedule!$A$7:$A$18,0)),"not in schedule"))</f>
        <v/>
      </c>
      <c r="AC70" s="31">
        <f>IF(B70="","",N(R70)-N(X70))</f>
        <v/>
      </c>
      <c r="AD70" s="84">
        <f>IF(B70="","",IF(Z70&lt;&gt;"",Z70,IF(N(G70)&gt;0,N(N70)/G70,"")))</f>
        <v/>
      </c>
      <c r="AE70" s="17">
        <f>IF(OR(B70="",C70=""),"",WORKDAY(C70,Inputs!$C$122,Lists!$N$4:$N$30))</f>
        <v/>
      </c>
      <c r="AF70">
        <f>IF(B70="","",IF(U70="","missing",IF(U70&gt;AE70,"Y","N")))</f>
        <v/>
      </c>
    </row>
    <row r="71">
      <c r="A71" s="92" t="n"/>
      <c r="B71" s="92" t="n"/>
      <c r="C71" s="91" t="n"/>
      <c r="D71" s="92" t="n"/>
      <c r="E71" s="92" t="n"/>
      <c r="F71" s="92" t="n"/>
      <c r="G71" s="92" t="n"/>
      <c r="H71" s="92" t="n"/>
      <c r="I71" s="92" t="n"/>
      <c r="J71" s="92" t="n"/>
      <c r="K71" s="92" t="n"/>
      <c r="L71" s="92" t="n"/>
      <c r="M71" s="92" t="n"/>
      <c r="N71" s="92" t="n"/>
      <c r="O71" s="92" t="n"/>
      <c r="P71" s="92" t="n"/>
      <c r="Q71" s="92" t="n"/>
      <c r="R71" s="94" t="n"/>
      <c r="S71" s="91" t="n"/>
      <c r="T71" s="94" t="n"/>
      <c r="U71" s="91" t="n"/>
      <c r="V71" s="92" t="n"/>
      <c r="W71" s="92" t="n"/>
      <c r="X71" s="94" t="n"/>
      <c r="Y71" s="91" t="n"/>
      <c r="Z71" s="92" t="n"/>
      <c r="AB71">
        <f>IF(B71="","",IFERROR(INDEX(Schedule!$N$7:$N$18,MATCH(B71,Schedule!$A$7:$A$18,0)),"not in schedule"))</f>
        <v/>
      </c>
      <c r="AC71" s="31">
        <f>IF(B71="","",N(R71)-N(X71))</f>
        <v/>
      </c>
      <c r="AD71" s="84">
        <f>IF(B71="","",IF(Z71&lt;&gt;"",Z71,IF(N(G71)&gt;0,N(N71)/G71,"")))</f>
        <v/>
      </c>
      <c r="AE71" s="17">
        <f>IF(OR(B71="",C71=""),"",WORKDAY(C71,Inputs!$C$122,Lists!$N$4:$N$30))</f>
        <v/>
      </c>
      <c r="AF71">
        <f>IF(B71="","",IF(U71="","missing",IF(U71&gt;AE71,"Y","N")))</f>
        <v/>
      </c>
    </row>
    <row r="72">
      <c r="A72" s="92" t="n"/>
      <c r="B72" s="92" t="n"/>
      <c r="C72" s="91" t="n"/>
      <c r="D72" s="92" t="n"/>
      <c r="E72" s="92" t="n"/>
      <c r="F72" s="92" t="n"/>
      <c r="G72" s="92" t="n"/>
      <c r="H72" s="92" t="n"/>
      <c r="I72" s="92" t="n"/>
      <c r="J72" s="92" t="n"/>
      <c r="K72" s="92" t="n"/>
      <c r="L72" s="92" t="n"/>
      <c r="M72" s="92" t="n"/>
      <c r="N72" s="92" t="n"/>
      <c r="O72" s="92" t="n"/>
      <c r="P72" s="92" t="n"/>
      <c r="Q72" s="92" t="n"/>
      <c r="R72" s="94" t="n"/>
      <c r="S72" s="91" t="n"/>
      <c r="T72" s="94" t="n"/>
      <c r="U72" s="91" t="n"/>
      <c r="V72" s="92" t="n"/>
      <c r="W72" s="92" t="n"/>
      <c r="X72" s="94" t="n"/>
      <c r="Y72" s="91" t="n"/>
      <c r="Z72" s="92" t="n"/>
      <c r="AB72">
        <f>IF(B72="","",IFERROR(INDEX(Schedule!$N$7:$N$18,MATCH(B72,Schedule!$A$7:$A$18,0)),"not in schedule"))</f>
        <v/>
      </c>
      <c r="AC72" s="31">
        <f>IF(B72="","",N(R72)-N(X72))</f>
        <v/>
      </c>
      <c r="AD72" s="84">
        <f>IF(B72="","",IF(Z72&lt;&gt;"",Z72,IF(N(G72)&gt;0,N(N72)/G72,"")))</f>
        <v/>
      </c>
      <c r="AE72" s="17">
        <f>IF(OR(B72="",C72=""),"",WORKDAY(C72,Inputs!$C$122,Lists!$N$4:$N$30))</f>
        <v/>
      </c>
      <c r="AF72">
        <f>IF(B72="","",IF(U72="","missing",IF(U72&gt;AE72,"Y","N")))</f>
        <v/>
      </c>
    </row>
    <row r="73">
      <c r="A73" s="92" t="n"/>
      <c r="B73" s="92" t="n"/>
      <c r="C73" s="91" t="n"/>
      <c r="D73" s="92" t="n"/>
      <c r="E73" s="92" t="n"/>
      <c r="F73" s="92" t="n"/>
      <c r="G73" s="92" t="n"/>
      <c r="H73" s="92" t="n"/>
      <c r="I73" s="92" t="n"/>
      <c r="J73" s="92" t="n"/>
      <c r="K73" s="92" t="n"/>
      <c r="L73" s="92" t="n"/>
      <c r="M73" s="92" t="n"/>
      <c r="N73" s="92" t="n"/>
      <c r="O73" s="92" t="n"/>
      <c r="P73" s="92" t="n"/>
      <c r="Q73" s="92" t="n"/>
      <c r="R73" s="94" t="n"/>
      <c r="S73" s="91" t="n"/>
      <c r="T73" s="94" t="n"/>
      <c r="U73" s="91" t="n"/>
      <c r="V73" s="92" t="n"/>
      <c r="W73" s="92" t="n"/>
      <c r="X73" s="94" t="n"/>
      <c r="Y73" s="91" t="n"/>
      <c r="Z73" s="92" t="n"/>
      <c r="AB73">
        <f>IF(B73="","",IFERROR(INDEX(Schedule!$N$7:$N$18,MATCH(B73,Schedule!$A$7:$A$18,0)),"not in schedule"))</f>
        <v/>
      </c>
      <c r="AC73" s="31">
        <f>IF(B73="","",N(R73)-N(X73))</f>
        <v/>
      </c>
      <c r="AD73" s="84">
        <f>IF(B73="","",IF(Z73&lt;&gt;"",Z73,IF(N(G73)&gt;0,N(N73)/G73,"")))</f>
        <v/>
      </c>
      <c r="AE73" s="17">
        <f>IF(OR(B73="",C73=""),"",WORKDAY(C73,Inputs!$C$122,Lists!$N$4:$N$30))</f>
        <v/>
      </c>
      <c r="AF73">
        <f>IF(B73="","",IF(U73="","missing",IF(U73&gt;AE73,"Y","N")))</f>
        <v/>
      </c>
    </row>
    <row r="74">
      <c r="A74" s="92" t="n"/>
      <c r="B74" s="92" t="n"/>
      <c r="C74" s="91" t="n"/>
      <c r="D74" s="92" t="n"/>
      <c r="E74" s="92" t="n"/>
      <c r="F74" s="92" t="n"/>
      <c r="G74" s="92" t="n"/>
      <c r="H74" s="92" t="n"/>
      <c r="I74" s="92" t="n"/>
      <c r="J74" s="92" t="n"/>
      <c r="K74" s="92" t="n"/>
      <c r="L74" s="92" t="n"/>
      <c r="M74" s="92" t="n"/>
      <c r="N74" s="92" t="n"/>
      <c r="O74" s="92" t="n"/>
      <c r="P74" s="92" t="n"/>
      <c r="Q74" s="92" t="n"/>
      <c r="R74" s="94" t="n"/>
      <c r="S74" s="91" t="n"/>
      <c r="T74" s="94" t="n"/>
      <c r="U74" s="91" t="n"/>
      <c r="V74" s="92" t="n"/>
      <c r="W74" s="92" t="n"/>
      <c r="X74" s="94" t="n"/>
      <c r="Y74" s="91" t="n"/>
      <c r="Z74" s="92" t="n"/>
      <c r="AB74">
        <f>IF(B74="","",IFERROR(INDEX(Schedule!$N$7:$N$18,MATCH(B74,Schedule!$A$7:$A$18,0)),"not in schedule"))</f>
        <v/>
      </c>
      <c r="AC74" s="31">
        <f>IF(B74="","",N(R74)-N(X74))</f>
        <v/>
      </c>
      <c r="AD74" s="84">
        <f>IF(B74="","",IF(Z74&lt;&gt;"",Z74,IF(N(G74)&gt;0,N(N74)/G74,"")))</f>
        <v/>
      </c>
      <c r="AE74" s="17">
        <f>IF(OR(B74="",C74=""),"",WORKDAY(C74,Inputs!$C$122,Lists!$N$4:$N$30))</f>
        <v/>
      </c>
      <c r="AF74">
        <f>IF(B74="","",IF(U74="","missing",IF(U74&gt;AE74,"Y","N")))</f>
        <v/>
      </c>
    </row>
    <row r="75">
      <c r="A75" s="92" t="n"/>
      <c r="B75" s="92" t="n"/>
      <c r="C75" s="91" t="n"/>
      <c r="D75" s="92" t="n"/>
      <c r="E75" s="92" t="n"/>
      <c r="F75" s="92" t="n"/>
      <c r="G75" s="92" t="n"/>
      <c r="H75" s="92" t="n"/>
      <c r="I75" s="92" t="n"/>
      <c r="J75" s="92" t="n"/>
      <c r="K75" s="92" t="n"/>
      <c r="L75" s="92" t="n"/>
      <c r="M75" s="92" t="n"/>
      <c r="N75" s="92" t="n"/>
      <c r="O75" s="92" t="n"/>
      <c r="P75" s="92" t="n"/>
      <c r="Q75" s="92" t="n"/>
      <c r="R75" s="94" t="n"/>
      <c r="S75" s="91" t="n"/>
      <c r="T75" s="94" t="n"/>
      <c r="U75" s="91" t="n"/>
      <c r="V75" s="92" t="n"/>
      <c r="W75" s="92" t="n"/>
      <c r="X75" s="94" t="n"/>
      <c r="Y75" s="91" t="n"/>
      <c r="Z75" s="92" t="n"/>
      <c r="AB75">
        <f>IF(B75="","",IFERROR(INDEX(Schedule!$N$7:$N$18,MATCH(B75,Schedule!$A$7:$A$18,0)),"not in schedule"))</f>
        <v/>
      </c>
      <c r="AC75" s="31">
        <f>IF(B75="","",N(R75)-N(X75))</f>
        <v/>
      </c>
      <c r="AD75" s="84">
        <f>IF(B75="","",IF(Z75&lt;&gt;"",Z75,IF(N(G75)&gt;0,N(N75)/G75,"")))</f>
        <v/>
      </c>
      <c r="AE75" s="17">
        <f>IF(OR(B75="",C75=""),"",WORKDAY(C75,Inputs!$C$122,Lists!$N$4:$N$30))</f>
        <v/>
      </c>
      <c r="AF75">
        <f>IF(B75="","",IF(U75="","missing",IF(U75&gt;AE75,"Y","N")))</f>
        <v/>
      </c>
    </row>
    <row r="76">
      <c r="A76" s="92" t="n"/>
      <c r="B76" s="92" t="n"/>
      <c r="C76" s="91" t="n"/>
      <c r="D76" s="92" t="n"/>
      <c r="E76" s="92" t="n"/>
      <c r="F76" s="92" t="n"/>
      <c r="G76" s="92" t="n"/>
      <c r="H76" s="92" t="n"/>
      <c r="I76" s="92" t="n"/>
      <c r="J76" s="92" t="n"/>
      <c r="K76" s="92" t="n"/>
      <c r="L76" s="92" t="n"/>
      <c r="M76" s="92" t="n"/>
      <c r="N76" s="92" t="n"/>
      <c r="O76" s="92" t="n"/>
      <c r="P76" s="92" t="n"/>
      <c r="Q76" s="92" t="n"/>
      <c r="R76" s="94" t="n"/>
      <c r="S76" s="91" t="n"/>
      <c r="T76" s="94" t="n"/>
      <c r="U76" s="91" t="n"/>
      <c r="V76" s="92" t="n"/>
      <c r="W76" s="92" t="n"/>
      <c r="X76" s="94" t="n"/>
      <c r="Y76" s="91" t="n"/>
      <c r="Z76" s="92" t="n"/>
      <c r="AB76">
        <f>IF(B76="","",IFERROR(INDEX(Schedule!$N$7:$N$18,MATCH(B76,Schedule!$A$7:$A$18,0)),"not in schedule"))</f>
        <v/>
      </c>
      <c r="AC76" s="31">
        <f>IF(B76="","",N(R76)-N(X76))</f>
        <v/>
      </c>
      <c r="AD76" s="84">
        <f>IF(B76="","",IF(Z76&lt;&gt;"",Z76,IF(N(G76)&gt;0,N(N76)/G76,"")))</f>
        <v/>
      </c>
      <c r="AE76" s="17">
        <f>IF(OR(B76="",C76=""),"",WORKDAY(C76,Inputs!$C$122,Lists!$N$4:$N$30))</f>
        <v/>
      </c>
      <c r="AF76">
        <f>IF(B76="","",IF(U76="","missing",IF(U76&gt;AE76,"Y","N")))</f>
        <v/>
      </c>
    </row>
    <row r="77">
      <c r="A77" s="92" t="n"/>
      <c r="B77" s="92" t="n"/>
      <c r="C77" s="91" t="n"/>
      <c r="D77" s="92" t="n"/>
      <c r="E77" s="92" t="n"/>
      <c r="F77" s="92" t="n"/>
      <c r="G77" s="92" t="n"/>
      <c r="H77" s="92" t="n"/>
      <c r="I77" s="92" t="n"/>
      <c r="J77" s="92" t="n"/>
      <c r="K77" s="92" t="n"/>
      <c r="L77" s="92" t="n"/>
      <c r="M77" s="92" t="n"/>
      <c r="N77" s="92" t="n"/>
      <c r="O77" s="92" t="n"/>
      <c r="P77" s="92" t="n"/>
      <c r="Q77" s="92" t="n"/>
      <c r="R77" s="94" t="n"/>
      <c r="S77" s="91" t="n"/>
      <c r="T77" s="94" t="n"/>
      <c r="U77" s="91" t="n"/>
      <c r="V77" s="92" t="n"/>
      <c r="W77" s="92" t="n"/>
      <c r="X77" s="94" t="n"/>
      <c r="Y77" s="91" t="n"/>
      <c r="Z77" s="92" t="n"/>
      <c r="AB77">
        <f>IF(B77="","",IFERROR(INDEX(Schedule!$N$7:$N$18,MATCH(B77,Schedule!$A$7:$A$18,0)),"not in schedule"))</f>
        <v/>
      </c>
      <c r="AC77" s="31">
        <f>IF(B77="","",N(R77)-N(X77))</f>
        <v/>
      </c>
      <c r="AD77" s="84">
        <f>IF(B77="","",IF(Z77&lt;&gt;"",Z77,IF(N(G77)&gt;0,N(N77)/G77,"")))</f>
        <v/>
      </c>
      <c r="AE77" s="17">
        <f>IF(OR(B77="",C77=""),"",WORKDAY(C77,Inputs!$C$122,Lists!$N$4:$N$30))</f>
        <v/>
      </c>
      <c r="AF77">
        <f>IF(B77="","",IF(U77="","missing",IF(U77&gt;AE77,"Y","N")))</f>
        <v/>
      </c>
    </row>
    <row r="78">
      <c r="A78" s="92" t="n"/>
      <c r="B78" s="92" t="n"/>
      <c r="C78" s="91" t="n"/>
      <c r="D78" s="92" t="n"/>
      <c r="E78" s="92" t="n"/>
      <c r="F78" s="92" t="n"/>
      <c r="G78" s="92" t="n"/>
      <c r="H78" s="92" t="n"/>
      <c r="I78" s="92" t="n"/>
      <c r="J78" s="92" t="n"/>
      <c r="K78" s="92" t="n"/>
      <c r="L78" s="92" t="n"/>
      <c r="M78" s="92" t="n"/>
      <c r="N78" s="92" t="n"/>
      <c r="O78" s="92" t="n"/>
      <c r="P78" s="92" t="n"/>
      <c r="Q78" s="92" t="n"/>
      <c r="R78" s="94" t="n"/>
      <c r="S78" s="91" t="n"/>
      <c r="T78" s="94" t="n"/>
      <c r="U78" s="91" t="n"/>
      <c r="V78" s="92" t="n"/>
      <c r="W78" s="92" t="n"/>
      <c r="X78" s="94" t="n"/>
      <c r="Y78" s="91" t="n"/>
      <c r="Z78" s="92" t="n"/>
      <c r="AB78">
        <f>IF(B78="","",IFERROR(INDEX(Schedule!$N$7:$N$18,MATCH(B78,Schedule!$A$7:$A$18,0)),"not in schedule"))</f>
        <v/>
      </c>
      <c r="AC78" s="31">
        <f>IF(B78="","",N(R78)-N(X78))</f>
        <v/>
      </c>
      <c r="AD78" s="84">
        <f>IF(B78="","",IF(Z78&lt;&gt;"",Z78,IF(N(G78)&gt;0,N(N78)/G78,"")))</f>
        <v/>
      </c>
      <c r="AE78" s="17">
        <f>IF(OR(B78="",C78=""),"",WORKDAY(C78,Inputs!$C$122,Lists!$N$4:$N$30))</f>
        <v/>
      </c>
      <c r="AF78">
        <f>IF(B78="","",IF(U78="","missing",IF(U78&gt;AE78,"Y","N")))</f>
        <v/>
      </c>
    </row>
    <row r="79">
      <c r="A79" s="92" t="n"/>
      <c r="B79" s="92" t="n"/>
      <c r="C79" s="91" t="n"/>
      <c r="D79" s="92" t="n"/>
      <c r="E79" s="92" t="n"/>
      <c r="F79" s="92" t="n"/>
      <c r="G79" s="92" t="n"/>
      <c r="H79" s="92" t="n"/>
      <c r="I79" s="92" t="n"/>
      <c r="J79" s="92" t="n"/>
      <c r="K79" s="92" t="n"/>
      <c r="L79" s="92" t="n"/>
      <c r="M79" s="92" t="n"/>
      <c r="N79" s="92" t="n"/>
      <c r="O79" s="92" t="n"/>
      <c r="P79" s="92" t="n"/>
      <c r="Q79" s="92" t="n"/>
      <c r="R79" s="94" t="n"/>
      <c r="S79" s="91" t="n"/>
      <c r="T79" s="94" t="n"/>
      <c r="U79" s="91" t="n"/>
      <c r="V79" s="92" t="n"/>
      <c r="W79" s="92" t="n"/>
      <c r="X79" s="94" t="n"/>
      <c r="Y79" s="91" t="n"/>
      <c r="Z79" s="92" t="n"/>
      <c r="AB79">
        <f>IF(B79="","",IFERROR(INDEX(Schedule!$N$7:$N$18,MATCH(B79,Schedule!$A$7:$A$18,0)),"not in schedule"))</f>
        <v/>
      </c>
      <c r="AC79" s="31">
        <f>IF(B79="","",N(R79)-N(X79))</f>
        <v/>
      </c>
      <c r="AD79" s="84">
        <f>IF(B79="","",IF(Z79&lt;&gt;"",Z79,IF(N(G79)&gt;0,N(N79)/G79,"")))</f>
        <v/>
      </c>
      <c r="AE79" s="17">
        <f>IF(OR(B79="",C79=""),"",WORKDAY(C79,Inputs!$C$122,Lists!$N$4:$N$30))</f>
        <v/>
      </c>
      <c r="AF79">
        <f>IF(B79="","",IF(U79="","missing",IF(U79&gt;AE79,"Y","N")))</f>
        <v/>
      </c>
    </row>
    <row r="80">
      <c r="A80" s="92" t="n"/>
      <c r="B80" s="92" t="n"/>
      <c r="C80" s="91" t="n"/>
      <c r="D80" s="92" t="n"/>
      <c r="E80" s="92" t="n"/>
      <c r="F80" s="92" t="n"/>
      <c r="G80" s="92" t="n"/>
      <c r="H80" s="92" t="n"/>
      <c r="I80" s="92" t="n"/>
      <c r="J80" s="92" t="n"/>
      <c r="K80" s="92" t="n"/>
      <c r="L80" s="92" t="n"/>
      <c r="M80" s="92" t="n"/>
      <c r="N80" s="92" t="n"/>
      <c r="O80" s="92" t="n"/>
      <c r="P80" s="92" t="n"/>
      <c r="Q80" s="92" t="n"/>
      <c r="R80" s="94" t="n"/>
      <c r="S80" s="91" t="n"/>
      <c r="T80" s="94" t="n"/>
      <c r="U80" s="91" t="n"/>
      <c r="V80" s="92" t="n"/>
      <c r="W80" s="92" t="n"/>
      <c r="X80" s="94" t="n"/>
      <c r="Y80" s="91" t="n"/>
      <c r="Z80" s="92" t="n"/>
      <c r="AB80">
        <f>IF(B80="","",IFERROR(INDEX(Schedule!$N$7:$N$18,MATCH(B80,Schedule!$A$7:$A$18,0)),"not in schedule"))</f>
        <v/>
      </c>
      <c r="AC80" s="31">
        <f>IF(B80="","",N(R80)-N(X80))</f>
        <v/>
      </c>
      <c r="AD80" s="84">
        <f>IF(B80="","",IF(Z80&lt;&gt;"",Z80,IF(N(G80)&gt;0,N(N80)/G80,"")))</f>
        <v/>
      </c>
      <c r="AE80" s="17">
        <f>IF(OR(B80="",C80=""),"",WORKDAY(C80,Inputs!$C$122,Lists!$N$4:$N$30))</f>
        <v/>
      </c>
      <c r="AF80">
        <f>IF(B80="","",IF(U80="","missing",IF(U80&gt;AE80,"Y","N")))</f>
        <v/>
      </c>
    </row>
    <row r="81">
      <c r="A81" s="92" t="n"/>
      <c r="B81" s="92" t="n"/>
      <c r="C81" s="91" t="n"/>
      <c r="D81" s="92" t="n"/>
      <c r="E81" s="92" t="n"/>
      <c r="F81" s="92" t="n"/>
      <c r="G81" s="92" t="n"/>
      <c r="H81" s="92" t="n"/>
      <c r="I81" s="92" t="n"/>
      <c r="J81" s="92" t="n"/>
      <c r="K81" s="92" t="n"/>
      <c r="L81" s="92" t="n"/>
      <c r="M81" s="92" t="n"/>
      <c r="N81" s="92" t="n"/>
      <c r="O81" s="92" t="n"/>
      <c r="P81" s="92" t="n"/>
      <c r="Q81" s="92" t="n"/>
      <c r="R81" s="94" t="n"/>
      <c r="S81" s="91" t="n"/>
      <c r="T81" s="94" t="n"/>
      <c r="U81" s="91" t="n"/>
      <c r="V81" s="92" t="n"/>
      <c r="W81" s="92" t="n"/>
      <c r="X81" s="94" t="n"/>
      <c r="Y81" s="91" t="n"/>
      <c r="Z81" s="92" t="n"/>
      <c r="AB81">
        <f>IF(B81="","",IFERROR(INDEX(Schedule!$N$7:$N$18,MATCH(B81,Schedule!$A$7:$A$18,0)),"not in schedule"))</f>
        <v/>
      </c>
      <c r="AC81" s="31">
        <f>IF(B81="","",N(R81)-N(X81))</f>
        <v/>
      </c>
      <c r="AD81" s="84">
        <f>IF(B81="","",IF(Z81&lt;&gt;"",Z81,IF(N(G81)&gt;0,N(N81)/G81,"")))</f>
        <v/>
      </c>
      <c r="AE81" s="17">
        <f>IF(OR(B81="",C81=""),"",WORKDAY(C81,Inputs!$C$122,Lists!$N$4:$N$30))</f>
        <v/>
      </c>
      <c r="AF81">
        <f>IF(B81="","",IF(U81="","missing",IF(U81&gt;AE81,"Y","N")))</f>
        <v/>
      </c>
    </row>
    <row r="82">
      <c r="A82" s="92" t="n"/>
      <c r="B82" s="92" t="n"/>
      <c r="C82" s="91" t="n"/>
      <c r="D82" s="92" t="n"/>
      <c r="E82" s="92" t="n"/>
      <c r="F82" s="92" t="n"/>
      <c r="G82" s="92" t="n"/>
      <c r="H82" s="92" t="n"/>
      <c r="I82" s="92" t="n"/>
      <c r="J82" s="92" t="n"/>
      <c r="K82" s="92" t="n"/>
      <c r="L82" s="92" t="n"/>
      <c r="M82" s="92" t="n"/>
      <c r="N82" s="92" t="n"/>
      <c r="O82" s="92" t="n"/>
      <c r="P82" s="92" t="n"/>
      <c r="Q82" s="92" t="n"/>
      <c r="R82" s="94" t="n"/>
      <c r="S82" s="91" t="n"/>
      <c r="T82" s="94" t="n"/>
      <c r="U82" s="91" t="n"/>
      <c r="V82" s="92" t="n"/>
      <c r="W82" s="92" t="n"/>
      <c r="X82" s="94" t="n"/>
      <c r="Y82" s="91" t="n"/>
      <c r="Z82" s="92" t="n"/>
      <c r="AB82">
        <f>IF(B82="","",IFERROR(INDEX(Schedule!$N$7:$N$18,MATCH(B82,Schedule!$A$7:$A$18,0)),"not in schedule"))</f>
        <v/>
      </c>
      <c r="AC82" s="31">
        <f>IF(B82="","",N(R82)-N(X82))</f>
        <v/>
      </c>
      <c r="AD82" s="84">
        <f>IF(B82="","",IF(Z82&lt;&gt;"",Z82,IF(N(G82)&gt;0,N(N82)/G82,"")))</f>
        <v/>
      </c>
      <c r="AE82" s="17">
        <f>IF(OR(B82="",C82=""),"",WORKDAY(C82,Inputs!$C$122,Lists!$N$4:$N$30))</f>
        <v/>
      </c>
      <c r="AF82">
        <f>IF(B82="","",IF(U82="","missing",IF(U82&gt;AE82,"Y","N")))</f>
        <v/>
      </c>
    </row>
    <row r="83">
      <c r="A83" s="92" t="n"/>
      <c r="B83" s="92" t="n"/>
      <c r="C83" s="91" t="n"/>
      <c r="D83" s="92" t="n"/>
      <c r="E83" s="92" t="n"/>
      <c r="F83" s="92" t="n"/>
      <c r="G83" s="92" t="n"/>
      <c r="H83" s="92" t="n"/>
      <c r="I83" s="92" t="n"/>
      <c r="J83" s="92" t="n"/>
      <c r="K83" s="92" t="n"/>
      <c r="L83" s="92" t="n"/>
      <c r="M83" s="92" t="n"/>
      <c r="N83" s="92" t="n"/>
      <c r="O83" s="92" t="n"/>
      <c r="P83" s="92" t="n"/>
      <c r="Q83" s="92" t="n"/>
      <c r="R83" s="94" t="n"/>
      <c r="S83" s="91" t="n"/>
      <c r="T83" s="94" t="n"/>
      <c r="U83" s="91" t="n"/>
      <c r="V83" s="92" t="n"/>
      <c r="W83" s="92" t="n"/>
      <c r="X83" s="94" t="n"/>
      <c r="Y83" s="91" t="n"/>
      <c r="Z83" s="92" t="n"/>
      <c r="AB83">
        <f>IF(B83="","",IFERROR(INDEX(Schedule!$N$7:$N$18,MATCH(B83,Schedule!$A$7:$A$18,0)),"not in schedule"))</f>
        <v/>
      </c>
      <c r="AC83" s="31">
        <f>IF(B83="","",N(R83)-N(X83))</f>
        <v/>
      </c>
      <c r="AD83" s="84">
        <f>IF(B83="","",IF(Z83&lt;&gt;"",Z83,IF(N(G83)&gt;0,N(N83)/G83,"")))</f>
        <v/>
      </c>
      <c r="AE83" s="17">
        <f>IF(OR(B83="",C83=""),"",WORKDAY(C83,Inputs!$C$122,Lists!$N$4:$N$30))</f>
        <v/>
      </c>
      <c r="AF83">
        <f>IF(B83="","",IF(U83="","missing",IF(U83&gt;AE83,"Y","N")))</f>
        <v/>
      </c>
    </row>
    <row r="84">
      <c r="A84" s="92" t="n"/>
      <c r="B84" s="92" t="n"/>
      <c r="C84" s="91" t="n"/>
      <c r="D84" s="92" t="n"/>
      <c r="E84" s="92" t="n"/>
      <c r="F84" s="92" t="n"/>
      <c r="G84" s="92" t="n"/>
      <c r="H84" s="92" t="n"/>
      <c r="I84" s="92" t="n"/>
      <c r="J84" s="92" t="n"/>
      <c r="K84" s="92" t="n"/>
      <c r="L84" s="92" t="n"/>
      <c r="M84" s="92" t="n"/>
      <c r="N84" s="92" t="n"/>
      <c r="O84" s="92" t="n"/>
      <c r="P84" s="92" t="n"/>
      <c r="Q84" s="92" t="n"/>
      <c r="R84" s="94" t="n"/>
      <c r="S84" s="91" t="n"/>
      <c r="T84" s="94" t="n"/>
      <c r="U84" s="91" t="n"/>
      <c r="V84" s="92" t="n"/>
      <c r="W84" s="92" t="n"/>
      <c r="X84" s="94" t="n"/>
      <c r="Y84" s="91" t="n"/>
      <c r="Z84" s="92" t="n"/>
      <c r="AB84">
        <f>IF(B84="","",IFERROR(INDEX(Schedule!$N$7:$N$18,MATCH(B84,Schedule!$A$7:$A$18,0)),"not in schedule"))</f>
        <v/>
      </c>
      <c r="AC84" s="31">
        <f>IF(B84="","",N(R84)-N(X84))</f>
        <v/>
      </c>
      <c r="AD84" s="84">
        <f>IF(B84="","",IF(Z84&lt;&gt;"",Z84,IF(N(G84)&gt;0,N(N84)/G84,"")))</f>
        <v/>
      </c>
      <c r="AE84" s="17">
        <f>IF(OR(B84="",C84=""),"",WORKDAY(C84,Inputs!$C$122,Lists!$N$4:$N$30))</f>
        <v/>
      </c>
      <c r="AF84">
        <f>IF(B84="","",IF(U84="","missing",IF(U84&gt;AE84,"Y","N")))</f>
        <v/>
      </c>
    </row>
    <row r="85">
      <c r="A85" s="92" t="n"/>
      <c r="B85" s="92" t="n"/>
      <c r="C85" s="91" t="n"/>
      <c r="D85" s="92" t="n"/>
      <c r="E85" s="92" t="n"/>
      <c r="F85" s="92" t="n"/>
      <c r="G85" s="92" t="n"/>
      <c r="H85" s="92" t="n"/>
      <c r="I85" s="92" t="n"/>
      <c r="J85" s="92" t="n"/>
      <c r="K85" s="92" t="n"/>
      <c r="L85" s="92" t="n"/>
      <c r="M85" s="92" t="n"/>
      <c r="N85" s="92" t="n"/>
      <c r="O85" s="92" t="n"/>
      <c r="P85" s="92" t="n"/>
      <c r="Q85" s="92" t="n"/>
      <c r="R85" s="94" t="n"/>
      <c r="S85" s="91" t="n"/>
      <c r="T85" s="94" t="n"/>
      <c r="U85" s="91" t="n"/>
      <c r="V85" s="92" t="n"/>
      <c r="W85" s="92" t="n"/>
      <c r="X85" s="94" t="n"/>
      <c r="Y85" s="91" t="n"/>
      <c r="Z85" s="92" t="n"/>
      <c r="AB85">
        <f>IF(B85="","",IFERROR(INDEX(Schedule!$N$7:$N$18,MATCH(B85,Schedule!$A$7:$A$18,0)),"not in schedule"))</f>
        <v/>
      </c>
      <c r="AC85" s="31">
        <f>IF(B85="","",N(R85)-N(X85))</f>
        <v/>
      </c>
      <c r="AD85" s="84">
        <f>IF(B85="","",IF(Z85&lt;&gt;"",Z85,IF(N(G85)&gt;0,N(N85)/G85,"")))</f>
        <v/>
      </c>
      <c r="AE85" s="17">
        <f>IF(OR(B85="",C85=""),"",WORKDAY(C85,Inputs!$C$122,Lists!$N$4:$N$30))</f>
        <v/>
      </c>
      <c r="AF85">
        <f>IF(B85="","",IF(U85="","missing",IF(U85&gt;AE85,"Y","N")))</f>
        <v/>
      </c>
    </row>
    <row r="86">
      <c r="A86" s="92" t="n"/>
      <c r="B86" s="92" t="n"/>
      <c r="C86" s="91" t="n"/>
      <c r="D86" s="92" t="n"/>
      <c r="E86" s="92" t="n"/>
      <c r="F86" s="92" t="n"/>
      <c r="G86" s="92" t="n"/>
      <c r="H86" s="92" t="n"/>
      <c r="I86" s="92" t="n"/>
      <c r="J86" s="92" t="n"/>
      <c r="K86" s="92" t="n"/>
      <c r="L86" s="92" t="n"/>
      <c r="M86" s="92" t="n"/>
      <c r="N86" s="92" t="n"/>
      <c r="O86" s="92" t="n"/>
      <c r="P86" s="92" t="n"/>
      <c r="Q86" s="92" t="n"/>
      <c r="R86" s="94" t="n"/>
      <c r="S86" s="91" t="n"/>
      <c r="T86" s="94" t="n"/>
      <c r="U86" s="91" t="n"/>
      <c r="V86" s="92" t="n"/>
      <c r="W86" s="92" t="n"/>
      <c r="X86" s="94" t="n"/>
      <c r="Y86" s="91" t="n"/>
      <c r="Z86" s="92" t="n"/>
      <c r="AB86">
        <f>IF(B86="","",IFERROR(INDEX(Schedule!$N$7:$N$18,MATCH(B86,Schedule!$A$7:$A$18,0)),"not in schedule"))</f>
        <v/>
      </c>
      <c r="AC86" s="31">
        <f>IF(B86="","",N(R86)-N(X86))</f>
        <v/>
      </c>
      <c r="AD86" s="84">
        <f>IF(B86="","",IF(Z86&lt;&gt;"",Z86,IF(N(G86)&gt;0,N(N86)/G86,"")))</f>
        <v/>
      </c>
      <c r="AE86" s="17">
        <f>IF(OR(B86="",C86=""),"",WORKDAY(C86,Inputs!$C$122,Lists!$N$4:$N$30))</f>
        <v/>
      </c>
      <c r="AF86">
        <f>IF(B86="","",IF(U86="","missing",IF(U86&gt;AE86,"Y","N")))</f>
        <v/>
      </c>
    </row>
    <row r="87">
      <c r="A87" s="92" t="n"/>
      <c r="B87" s="92" t="n"/>
      <c r="C87" s="91" t="n"/>
      <c r="D87" s="92" t="n"/>
      <c r="E87" s="92" t="n"/>
      <c r="F87" s="92" t="n"/>
      <c r="G87" s="92" t="n"/>
      <c r="H87" s="92" t="n"/>
      <c r="I87" s="92" t="n"/>
      <c r="J87" s="92" t="n"/>
      <c r="K87" s="92" t="n"/>
      <c r="L87" s="92" t="n"/>
      <c r="M87" s="92" t="n"/>
      <c r="N87" s="92" t="n"/>
      <c r="O87" s="92" t="n"/>
      <c r="P87" s="92" t="n"/>
      <c r="Q87" s="92" t="n"/>
      <c r="R87" s="94" t="n"/>
      <c r="S87" s="91" t="n"/>
      <c r="T87" s="94" t="n"/>
      <c r="U87" s="91" t="n"/>
      <c r="V87" s="92" t="n"/>
      <c r="W87" s="92" t="n"/>
      <c r="X87" s="94" t="n"/>
      <c r="Y87" s="91" t="n"/>
      <c r="Z87" s="92" t="n"/>
      <c r="AB87">
        <f>IF(B87="","",IFERROR(INDEX(Schedule!$N$7:$N$18,MATCH(B87,Schedule!$A$7:$A$18,0)),"not in schedule"))</f>
        <v/>
      </c>
      <c r="AC87" s="31">
        <f>IF(B87="","",N(R87)-N(X87))</f>
        <v/>
      </c>
      <c r="AD87" s="84">
        <f>IF(B87="","",IF(Z87&lt;&gt;"",Z87,IF(N(G87)&gt;0,N(N87)/G87,"")))</f>
        <v/>
      </c>
      <c r="AE87" s="17">
        <f>IF(OR(B87="",C87=""),"",WORKDAY(C87,Inputs!$C$122,Lists!$N$4:$N$30))</f>
        <v/>
      </c>
      <c r="AF87">
        <f>IF(B87="","",IF(U87="","missing",IF(U87&gt;AE87,"Y","N")))</f>
        <v/>
      </c>
    </row>
    <row r="88">
      <c r="A88" s="92" t="n"/>
      <c r="B88" s="92" t="n"/>
      <c r="C88" s="91" t="n"/>
      <c r="D88" s="92" t="n"/>
      <c r="E88" s="92" t="n"/>
      <c r="F88" s="92" t="n"/>
      <c r="G88" s="92" t="n"/>
      <c r="H88" s="92" t="n"/>
      <c r="I88" s="92" t="n"/>
      <c r="J88" s="92" t="n"/>
      <c r="K88" s="92" t="n"/>
      <c r="L88" s="92" t="n"/>
      <c r="M88" s="92" t="n"/>
      <c r="N88" s="92" t="n"/>
      <c r="O88" s="92" t="n"/>
      <c r="P88" s="92" t="n"/>
      <c r="Q88" s="92" t="n"/>
      <c r="R88" s="94" t="n"/>
      <c r="S88" s="91" t="n"/>
      <c r="T88" s="94" t="n"/>
      <c r="U88" s="91" t="n"/>
      <c r="V88" s="92" t="n"/>
      <c r="W88" s="92" t="n"/>
      <c r="X88" s="94" t="n"/>
      <c r="Y88" s="91" t="n"/>
      <c r="Z88" s="92" t="n"/>
      <c r="AB88">
        <f>IF(B88="","",IFERROR(INDEX(Schedule!$N$7:$N$18,MATCH(B88,Schedule!$A$7:$A$18,0)),"not in schedule"))</f>
        <v/>
      </c>
      <c r="AC88" s="31">
        <f>IF(B88="","",N(R88)-N(X88))</f>
        <v/>
      </c>
      <c r="AD88" s="84">
        <f>IF(B88="","",IF(Z88&lt;&gt;"",Z88,IF(N(G88)&gt;0,N(N88)/G88,"")))</f>
        <v/>
      </c>
      <c r="AE88" s="17">
        <f>IF(OR(B88="",C88=""),"",WORKDAY(C88,Inputs!$C$122,Lists!$N$4:$N$30))</f>
        <v/>
      </c>
      <c r="AF88">
        <f>IF(B88="","",IF(U88="","missing",IF(U88&gt;AE88,"Y","N")))</f>
        <v/>
      </c>
    </row>
    <row r="89">
      <c r="A89" s="92" t="n"/>
      <c r="B89" s="92" t="n"/>
      <c r="C89" s="91" t="n"/>
      <c r="D89" s="92" t="n"/>
      <c r="E89" s="92" t="n"/>
      <c r="F89" s="92" t="n"/>
      <c r="G89" s="92" t="n"/>
      <c r="H89" s="92" t="n"/>
      <c r="I89" s="92" t="n"/>
      <c r="J89" s="92" t="n"/>
      <c r="K89" s="92" t="n"/>
      <c r="L89" s="92" t="n"/>
      <c r="M89" s="92" t="n"/>
      <c r="N89" s="92" t="n"/>
      <c r="O89" s="92" t="n"/>
      <c r="P89" s="92" t="n"/>
      <c r="Q89" s="92" t="n"/>
      <c r="R89" s="94" t="n"/>
      <c r="S89" s="91" t="n"/>
      <c r="T89" s="94" t="n"/>
      <c r="U89" s="91" t="n"/>
      <c r="V89" s="92" t="n"/>
      <c r="W89" s="92" t="n"/>
      <c r="X89" s="94" t="n"/>
      <c r="Y89" s="91" t="n"/>
      <c r="Z89" s="92" t="n"/>
      <c r="AB89">
        <f>IF(B89="","",IFERROR(INDEX(Schedule!$N$7:$N$18,MATCH(B89,Schedule!$A$7:$A$18,0)),"not in schedule"))</f>
        <v/>
      </c>
      <c r="AC89" s="31">
        <f>IF(B89="","",N(R89)-N(X89))</f>
        <v/>
      </c>
      <c r="AD89" s="84">
        <f>IF(B89="","",IF(Z89&lt;&gt;"",Z89,IF(N(G89)&gt;0,N(N89)/G89,"")))</f>
        <v/>
      </c>
      <c r="AE89" s="17">
        <f>IF(OR(B89="",C89=""),"",WORKDAY(C89,Inputs!$C$122,Lists!$N$4:$N$30))</f>
        <v/>
      </c>
      <c r="AF89">
        <f>IF(B89="","",IF(U89="","missing",IF(U89&gt;AE89,"Y","N")))</f>
        <v/>
      </c>
    </row>
    <row r="90">
      <c r="A90" s="92" t="n"/>
      <c r="B90" s="92" t="n"/>
      <c r="C90" s="91" t="n"/>
      <c r="D90" s="92" t="n"/>
      <c r="E90" s="92" t="n"/>
      <c r="F90" s="92" t="n"/>
      <c r="G90" s="92" t="n"/>
      <c r="H90" s="92" t="n"/>
      <c r="I90" s="92" t="n"/>
      <c r="J90" s="92" t="n"/>
      <c r="K90" s="92" t="n"/>
      <c r="L90" s="92" t="n"/>
      <c r="M90" s="92" t="n"/>
      <c r="N90" s="92" t="n"/>
      <c r="O90" s="92" t="n"/>
      <c r="P90" s="92" t="n"/>
      <c r="Q90" s="92" t="n"/>
      <c r="R90" s="94" t="n"/>
      <c r="S90" s="91" t="n"/>
      <c r="T90" s="94" t="n"/>
      <c r="U90" s="91" t="n"/>
      <c r="V90" s="92" t="n"/>
      <c r="W90" s="92" t="n"/>
      <c r="X90" s="94" t="n"/>
      <c r="Y90" s="91" t="n"/>
      <c r="Z90" s="92" t="n"/>
      <c r="AB90">
        <f>IF(B90="","",IFERROR(INDEX(Schedule!$N$7:$N$18,MATCH(B90,Schedule!$A$7:$A$18,0)),"not in schedule"))</f>
        <v/>
      </c>
      <c r="AC90" s="31">
        <f>IF(B90="","",N(R90)-N(X90))</f>
        <v/>
      </c>
      <c r="AD90" s="84">
        <f>IF(B90="","",IF(Z90&lt;&gt;"",Z90,IF(N(G90)&gt;0,N(N90)/G90,"")))</f>
        <v/>
      </c>
      <c r="AE90" s="17">
        <f>IF(OR(B90="",C90=""),"",WORKDAY(C90,Inputs!$C$122,Lists!$N$4:$N$30))</f>
        <v/>
      </c>
      <c r="AF90">
        <f>IF(B90="","",IF(U90="","missing",IF(U90&gt;AE90,"Y","N")))</f>
        <v/>
      </c>
    </row>
    <row r="91">
      <c r="A91" s="92" t="n"/>
      <c r="B91" s="92" t="n"/>
      <c r="C91" s="91" t="n"/>
      <c r="D91" s="92" t="n"/>
      <c r="E91" s="92" t="n"/>
      <c r="F91" s="92" t="n"/>
      <c r="G91" s="92" t="n"/>
      <c r="H91" s="92" t="n"/>
      <c r="I91" s="92" t="n"/>
      <c r="J91" s="92" t="n"/>
      <c r="K91" s="92" t="n"/>
      <c r="L91" s="92" t="n"/>
      <c r="M91" s="92" t="n"/>
      <c r="N91" s="92" t="n"/>
      <c r="O91" s="92" t="n"/>
      <c r="P91" s="92" t="n"/>
      <c r="Q91" s="92" t="n"/>
      <c r="R91" s="94" t="n"/>
      <c r="S91" s="91" t="n"/>
      <c r="T91" s="94" t="n"/>
      <c r="U91" s="91" t="n"/>
      <c r="V91" s="92" t="n"/>
      <c r="W91" s="92" t="n"/>
      <c r="X91" s="94" t="n"/>
      <c r="Y91" s="91" t="n"/>
      <c r="Z91" s="92" t="n"/>
      <c r="AB91">
        <f>IF(B91="","",IFERROR(INDEX(Schedule!$N$7:$N$18,MATCH(B91,Schedule!$A$7:$A$18,0)),"not in schedule"))</f>
        <v/>
      </c>
      <c r="AC91" s="31">
        <f>IF(B91="","",N(R91)-N(X91))</f>
        <v/>
      </c>
      <c r="AD91" s="84">
        <f>IF(B91="","",IF(Z91&lt;&gt;"",Z91,IF(N(G91)&gt;0,N(N91)/G91,"")))</f>
        <v/>
      </c>
      <c r="AE91" s="17">
        <f>IF(OR(B91="",C91=""),"",WORKDAY(C91,Inputs!$C$122,Lists!$N$4:$N$30))</f>
        <v/>
      </c>
      <c r="AF91">
        <f>IF(B91="","",IF(U91="","missing",IF(U91&gt;AE91,"Y","N")))</f>
        <v/>
      </c>
    </row>
    <row r="92">
      <c r="A92" s="92" t="n"/>
      <c r="B92" s="92" t="n"/>
      <c r="C92" s="91" t="n"/>
      <c r="D92" s="92" t="n"/>
      <c r="E92" s="92" t="n"/>
      <c r="F92" s="92" t="n"/>
      <c r="G92" s="92" t="n"/>
      <c r="H92" s="92" t="n"/>
      <c r="I92" s="92" t="n"/>
      <c r="J92" s="92" t="n"/>
      <c r="K92" s="92" t="n"/>
      <c r="L92" s="92" t="n"/>
      <c r="M92" s="92" t="n"/>
      <c r="N92" s="92" t="n"/>
      <c r="O92" s="92" t="n"/>
      <c r="P92" s="92" t="n"/>
      <c r="Q92" s="92" t="n"/>
      <c r="R92" s="94" t="n"/>
      <c r="S92" s="91" t="n"/>
      <c r="T92" s="94" t="n"/>
      <c r="U92" s="91" t="n"/>
      <c r="V92" s="92" t="n"/>
      <c r="W92" s="92" t="n"/>
      <c r="X92" s="94" t="n"/>
      <c r="Y92" s="91" t="n"/>
      <c r="Z92" s="92" t="n"/>
      <c r="AB92">
        <f>IF(B92="","",IFERROR(INDEX(Schedule!$N$7:$N$18,MATCH(B92,Schedule!$A$7:$A$18,0)),"not in schedule"))</f>
        <v/>
      </c>
      <c r="AC92" s="31">
        <f>IF(B92="","",N(R92)-N(X92))</f>
        <v/>
      </c>
      <c r="AD92" s="84">
        <f>IF(B92="","",IF(Z92&lt;&gt;"",Z92,IF(N(G92)&gt;0,N(N92)/G92,"")))</f>
        <v/>
      </c>
      <c r="AE92" s="17">
        <f>IF(OR(B92="",C92=""),"",WORKDAY(C92,Inputs!$C$122,Lists!$N$4:$N$30))</f>
        <v/>
      </c>
      <c r="AF92">
        <f>IF(B92="","",IF(U92="","missing",IF(U92&gt;AE92,"Y","N")))</f>
        <v/>
      </c>
    </row>
    <row r="93">
      <c r="A93" s="92" t="n"/>
      <c r="B93" s="92" t="n"/>
      <c r="C93" s="91" t="n"/>
      <c r="D93" s="92" t="n"/>
      <c r="E93" s="92" t="n"/>
      <c r="F93" s="92" t="n"/>
      <c r="G93" s="92" t="n"/>
      <c r="H93" s="92" t="n"/>
      <c r="I93" s="92" t="n"/>
      <c r="J93" s="92" t="n"/>
      <c r="K93" s="92" t="n"/>
      <c r="L93" s="92" t="n"/>
      <c r="M93" s="92" t="n"/>
      <c r="N93" s="92" t="n"/>
      <c r="O93" s="92" t="n"/>
      <c r="P93" s="92" t="n"/>
      <c r="Q93" s="92" t="n"/>
      <c r="R93" s="94" t="n"/>
      <c r="S93" s="91" t="n"/>
      <c r="T93" s="94" t="n"/>
      <c r="U93" s="91" t="n"/>
      <c r="V93" s="92" t="n"/>
      <c r="W93" s="92" t="n"/>
      <c r="X93" s="94" t="n"/>
      <c r="Y93" s="91" t="n"/>
      <c r="Z93" s="92" t="n"/>
      <c r="AB93">
        <f>IF(B93="","",IFERROR(INDEX(Schedule!$N$7:$N$18,MATCH(B93,Schedule!$A$7:$A$18,0)),"not in schedule"))</f>
        <v/>
      </c>
      <c r="AC93" s="31">
        <f>IF(B93="","",N(R93)-N(X93))</f>
        <v/>
      </c>
      <c r="AD93" s="84">
        <f>IF(B93="","",IF(Z93&lt;&gt;"",Z93,IF(N(G93)&gt;0,N(N93)/G93,"")))</f>
        <v/>
      </c>
      <c r="AE93" s="17">
        <f>IF(OR(B93="",C93=""),"",WORKDAY(C93,Inputs!$C$122,Lists!$N$4:$N$30))</f>
        <v/>
      </c>
      <c r="AF93">
        <f>IF(B93="","",IF(U93="","missing",IF(U93&gt;AE93,"Y","N")))</f>
        <v/>
      </c>
    </row>
    <row r="94">
      <c r="A94" s="92" t="n"/>
      <c r="B94" s="92" t="n"/>
      <c r="C94" s="91" t="n"/>
      <c r="D94" s="92" t="n"/>
      <c r="E94" s="92" t="n"/>
      <c r="F94" s="92" t="n"/>
      <c r="G94" s="92" t="n"/>
      <c r="H94" s="92" t="n"/>
      <c r="I94" s="92" t="n"/>
      <c r="J94" s="92" t="n"/>
      <c r="K94" s="92" t="n"/>
      <c r="L94" s="92" t="n"/>
      <c r="M94" s="92" t="n"/>
      <c r="N94" s="92" t="n"/>
      <c r="O94" s="92" t="n"/>
      <c r="P94" s="92" t="n"/>
      <c r="Q94" s="92" t="n"/>
      <c r="R94" s="94" t="n"/>
      <c r="S94" s="91" t="n"/>
      <c r="T94" s="94" t="n"/>
      <c r="U94" s="91" t="n"/>
      <c r="V94" s="92" t="n"/>
      <c r="W94" s="92" t="n"/>
      <c r="X94" s="94" t="n"/>
      <c r="Y94" s="91" t="n"/>
      <c r="Z94" s="92" t="n"/>
      <c r="AB94">
        <f>IF(B94="","",IFERROR(INDEX(Schedule!$N$7:$N$18,MATCH(B94,Schedule!$A$7:$A$18,0)),"not in schedule"))</f>
        <v/>
      </c>
      <c r="AC94" s="31">
        <f>IF(B94="","",N(R94)-N(X94))</f>
        <v/>
      </c>
      <c r="AD94" s="84">
        <f>IF(B94="","",IF(Z94&lt;&gt;"",Z94,IF(N(G94)&gt;0,N(N94)/G94,"")))</f>
        <v/>
      </c>
      <c r="AE94" s="17">
        <f>IF(OR(B94="",C94=""),"",WORKDAY(C94,Inputs!$C$122,Lists!$N$4:$N$30))</f>
        <v/>
      </c>
      <c r="AF94">
        <f>IF(B94="","",IF(U94="","missing",IF(U94&gt;AE94,"Y","N")))</f>
        <v/>
      </c>
    </row>
    <row r="95">
      <c r="A95" s="92" t="n"/>
      <c r="B95" s="92" t="n"/>
      <c r="C95" s="91" t="n"/>
      <c r="D95" s="92" t="n"/>
      <c r="E95" s="92" t="n"/>
      <c r="F95" s="92" t="n"/>
      <c r="G95" s="92" t="n"/>
      <c r="H95" s="92" t="n"/>
      <c r="I95" s="92" t="n"/>
      <c r="J95" s="92" t="n"/>
      <c r="K95" s="92" t="n"/>
      <c r="L95" s="92" t="n"/>
      <c r="M95" s="92" t="n"/>
      <c r="N95" s="92" t="n"/>
      <c r="O95" s="92" t="n"/>
      <c r="P95" s="92" t="n"/>
      <c r="Q95" s="92" t="n"/>
      <c r="R95" s="94" t="n"/>
      <c r="S95" s="91" t="n"/>
      <c r="T95" s="94" t="n"/>
      <c r="U95" s="91" t="n"/>
      <c r="V95" s="92" t="n"/>
      <c r="W95" s="92" t="n"/>
      <c r="X95" s="94" t="n"/>
      <c r="Y95" s="91" t="n"/>
      <c r="Z95" s="92" t="n"/>
      <c r="AB95">
        <f>IF(B95="","",IFERROR(INDEX(Schedule!$N$7:$N$18,MATCH(B95,Schedule!$A$7:$A$18,0)),"not in schedule"))</f>
        <v/>
      </c>
      <c r="AC95" s="31">
        <f>IF(B95="","",N(R95)-N(X95))</f>
        <v/>
      </c>
      <c r="AD95" s="84">
        <f>IF(B95="","",IF(Z95&lt;&gt;"",Z95,IF(N(G95)&gt;0,N(N95)/G95,"")))</f>
        <v/>
      </c>
      <c r="AE95" s="17">
        <f>IF(OR(B95="",C95=""),"",WORKDAY(C95,Inputs!$C$122,Lists!$N$4:$N$30))</f>
        <v/>
      </c>
      <c r="AF95">
        <f>IF(B95="","",IF(U95="","missing",IF(U95&gt;AE95,"Y","N")))</f>
        <v/>
      </c>
    </row>
    <row r="96">
      <c r="A96" s="92" t="n"/>
      <c r="B96" s="92" t="n"/>
      <c r="C96" s="91" t="n"/>
      <c r="D96" s="92" t="n"/>
      <c r="E96" s="92" t="n"/>
      <c r="F96" s="92" t="n"/>
      <c r="G96" s="92" t="n"/>
      <c r="H96" s="92" t="n"/>
      <c r="I96" s="92" t="n"/>
      <c r="J96" s="92" t="n"/>
      <c r="K96" s="92" t="n"/>
      <c r="L96" s="92" t="n"/>
      <c r="M96" s="92" t="n"/>
      <c r="N96" s="92" t="n"/>
      <c r="O96" s="92" t="n"/>
      <c r="P96" s="92" t="n"/>
      <c r="Q96" s="92" t="n"/>
      <c r="R96" s="94" t="n"/>
      <c r="S96" s="91" t="n"/>
      <c r="T96" s="94" t="n"/>
      <c r="U96" s="91" t="n"/>
      <c r="V96" s="92" t="n"/>
      <c r="W96" s="92" t="n"/>
      <c r="X96" s="94" t="n"/>
      <c r="Y96" s="91" t="n"/>
      <c r="Z96" s="92" t="n"/>
      <c r="AB96">
        <f>IF(B96="","",IFERROR(INDEX(Schedule!$N$7:$N$18,MATCH(B96,Schedule!$A$7:$A$18,0)),"not in schedule"))</f>
        <v/>
      </c>
      <c r="AC96" s="31">
        <f>IF(B96="","",N(R96)-N(X96))</f>
        <v/>
      </c>
      <c r="AD96" s="84">
        <f>IF(B96="","",IF(Z96&lt;&gt;"",Z96,IF(N(G96)&gt;0,N(N96)/G96,"")))</f>
        <v/>
      </c>
      <c r="AE96" s="17">
        <f>IF(OR(B96="",C96=""),"",WORKDAY(C96,Inputs!$C$122,Lists!$N$4:$N$30))</f>
        <v/>
      </c>
      <c r="AF96">
        <f>IF(B96="","",IF(U96="","missing",IF(U96&gt;AE96,"Y","N")))</f>
        <v/>
      </c>
    </row>
    <row r="97">
      <c r="A97" s="92" t="n"/>
      <c r="B97" s="92" t="n"/>
      <c r="C97" s="91" t="n"/>
      <c r="D97" s="92" t="n"/>
      <c r="E97" s="92" t="n"/>
      <c r="F97" s="92" t="n"/>
      <c r="G97" s="92" t="n"/>
      <c r="H97" s="92" t="n"/>
      <c r="I97" s="92" t="n"/>
      <c r="J97" s="92" t="n"/>
      <c r="K97" s="92" t="n"/>
      <c r="L97" s="92" t="n"/>
      <c r="M97" s="92" t="n"/>
      <c r="N97" s="92" t="n"/>
      <c r="O97" s="92" t="n"/>
      <c r="P97" s="92" t="n"/>
      <c r="Q97" s="92" t="n"/>
      <c r="R97" s="94" t="n"/>
      <c r="S97" s="91" t="n"/>
      <c r="T97" s="94" t="n"/>
      <c r="U97" s="91" t="n"/>
      <c r="V97" s="92" t="n"/>
      <c r="W97" s="92" t="n"/>
      <c r="X97" s="94" t="n"/>
      <c r="Y97" s="91" t="n"/>
      <c r="Z97" s="92" t="n"/>
      <c r="AB97">
        <f>IF(B97="","",IFERROR(INDEX(Schedule!$N$7:$N$18,MATCH(B97,Schedule!$A$7:$A$18,0)),"not in schedule"))</f>
        <v/>
      </c>
      <c r="AC97" s="31">
        <f>IF(B97="","",N(R97)-N(X97))</f>
        <v/>
      </c>
      <c r="AD97" s="84">
        <f>IF(B97="","",IF(Z97&lt;&gt;"",Z97,IF(N(G97)&gt;0,N(N97)/G97,"")))</f>
        <v/>
      </c>
      <c r="AE97" s="17">
        <f>IF(OR(B97="",C97=""),"",WORKDAY(C97,Inputs!$C$122,Lists!$N$4:$N$30))</f>
        <v/>
      </c>
      <c r="AF97">
        <f>IF(B97="","",IF(U97="","missing",IF(U97&gt;AE97,"Y","N")))</f>
        <v/>
      </c>
    </row>
    <row r="98">
      <c r="A98" s="92" t="n"/>
      <c r="B98" s="92" t="n"/>
      <c r="C98" s="91" t="n"/>
      <c r="D98" s="92" t="n"/>
      <c r="E98" s="92" t="n"/>
      <c r="F98" s="92" t="n"/>
      <c r="G98" s="92" t="n"/>
      <c r="H98" s="92" t="n"/>
      <c r="I98" s="92" t="n"/>
      <c r="J98" s="92" t="n"/>
      <c r="K98" s="92" t="n"/>
      <c r="L98" s="92" t="n"/>
      <c r="M98" s="92" t="n"/>
      <c r="N98" s="92" t="n"/>
      <c r="O98" s="92" t="n"/>
      <c r="P98" s="92" t="n"/>
      <c r="Q98" s="92" t="n"/>
      <c r="R98" s="94" t="n"/>
      <c r="S98" s="91" t="n"/>
      <c r="T98" s="94" t="n"/>
      <c r="U98" s="91" t="n"/>
      <c r="V98" s="92" t="n"/>
      <c r="W98" s="92" t="n"/>
      <c r="X98" s="94" t="n"/>
      <c r="Y98" s="91" t="n"/>
      <c r="Z98" s="92" t="n"/>
      <c r="AB98">
        <f>IF(B98="","",IFERROR(INDEX(Schedule!$N$7:$N$18,MATCH(B98,Schedule!$A$7:$A$18,0)),"not in schedule"))</f>
        <v/>
      </c>
      <c r="AC98" s="31">
        <f>IF(B98="","",N(R98)-N(X98))</f>
        <v/>
      </c>
      <c r="AD98" s="84">
        <f>IF(B98="","",IF(Z98&lt;&gt;"",Z98,IF(N(G98)&gt;0,N(N98)/G98,"")))</f>
        <v/>
      </c>
      <c r="AE98" s="17">
        <f>IF(OR(B98="",C98=""),"",WORKDAY(C98,Inputs!$C$122,Lists!$N$4:$N$30))</f>
        <v/>
      </c>
      <c r="AF98">
        <f>IF(B98="","",IF(U98="","missing",IF(U98&gt;AE98,"Y","N")))</f>
        <v/>
      </c>
    </row>
    <row r="99">
      <c r="A99" s="92" t="n"/>
      <c r="B99" s="92" t="n"/>
      <c r="C99" s="91" t="n"/>
      <c r="D99" s="92" t="n"/>
      <c r="E99" s="92" t="n"/>
      <c r="F99" s="92" t="n"/>
      <c r="G99" s="92" t="n"/>
      <c r="H99" s="92" t="n"/>
      <c r="I99" s="92" t="n"/>
      <c r="J99" s="92" t="n"/>
      <c r="K99" s="92" t="n"/>
      <c r="L99" s="92" t="n"/>
      <c r="M99" s="92" t="n"/>
      <c r="N99" s="92" t="n"/>
      <c r="O99" s="92" t="n"/>
      <c r="P99" s="92" t="n"/>
      <c r="Q99" s="92" t="n"/>
      <c r="R99" s="94" t="n"/>
      <c r="S99" s="91" t="n"/>
      <c r="T99" s="94" t="n"/>
      <c r="U99" s="91" t="n"/>
      <c r="V99" s="92" t="n"/>
      <c r="W99" s="92" t="n"/>
      <c r="X99" s="94" t="n"/>
      <c r="Y99" s="91" t="n"/>
      <c r="Z99" s="92" t="n"/>
      <c r="AB99">
        <f>IF(B99="","",IFERROR(INDEX(Schedule!$N$7:$N$18,MATCH(B99,Schedule!$A$7:$A$18,0)),"not in schedule"))</f>
        <v/>
      </c>
      <c r="AC99" s="31">
        <f>IF(B99="","",N(R99)-N(X99))</f>
        <v/>
      </c>
      <c r="AD99" s="84">
        <f>IF(B99="","",IF(Z99&lt;&gt;"",Z99,IF(N(G99)&gt;0,N(N99)/G99,"")))</f>
        <v/>
      </c>
      <c r="AE99" s="17">
        <f>IF(OR(B99="",C99=""),"",WORKDAY(C99,Inputs!$C$122,Lists!$N$4:$N$30))</f>
        <v/>
      </c>
      <c r="AF99">
        <f>IF(B99="","",IF(U99="","missing",IF(U99&gt;AE99,"Y","N")))</f>
        <v/>
      </c>
    </row>
    <row r="100">
      <c r="A100" s="92" t="n"/>
      <c r="B100" s="92" t="n"/>
      <c r="C100" s="91" t="n"/>
      <c r="D100" s="92" t="n"/>
      <c r="E100" s="92" t="n"/>
      <c r="F100" s="92" t="n"/>
      <c r="G100" s="92" t="n"/>
      <c r="H100" s="92" t="n"/>
      <c r="I100" s="92" t="n"/>
      <c r="J100" s="92" t="n"/>
      <c r="K100" s="92" t="n"/>
      <c r="L100" s="92" t="n"/>
      <c r="M100" s="92" t="n"/>
      <c r="N100" s="92" t="n"/>
      <c r="O100" s="92" t="n"/>
      <c r="P100" s="92" t="n"/>
      <c r="Q100" s="92" t="n"/>
      <c r="R100" s="94" t="n"/>
      <c r="S100" s="91" t="n"/>
      <c r="T100" s="94" t="n"/>
      <c r="U100" s="91" t="n"/>
      <c r="V100" s="92" t="n"/>
      <c r="W100" s="92" t="n"/>
      <c r="X100" s="94" t="n"/>
      <c r="Y100" s="91" t="n"/>
      <c r="Z100" s="92" t="n"/>
      <c r="AB100">
        <f>IF(B100="","",IFERROR(INDEX(Schedule!$N$7:$N$18,MATCH(B100,Schedule!$A$7:$A$18,0)),"not in schedule"))</f>
        <v/>
      </c>
      <c r="AC100" s="31">
        <f>IF(B100="","",N(R100)-N(X100))</f>
        <v/>
      </c>
      <c r="AD100" s="84">
        <f>IF(B100="","",IF(Z100&lt;&gt;"",Z100,IF(N(G100)&gt;0,N(N100)/G100,"")))</f>
        <v/>
      </c>
      <c r="AE100" s="17">
        <f>IF(OR(B100="",C100=""),"",WORKDAY(C100,Inputs!$C$122,Lists!$N$4:$N$30))</f>
        <v/>
      </c>
      <c r="AF100">
        <f>IF(B100="","",IF(U100="","missing",IF(U100&gt;AE100,"Y","N")))</f>
        <v/>
      </c>
    </row>
    <row r="101">
      <c r="A101" s="92" t="n"/>
      <c r="B101" s="92" t="n"/>
      <c r="C101" s="91" t="n"/>
      <c r="D101" s="92" t="n"/>
      <c r="E101" s="92" t="n"/>
      <c r="F101" s="92" t="n"/>
      <c r="G101" s="92" t="n"/>
      <c r="H101" s="92" t="n"/>
      <c r="I101" s="92" t="n"/>
      <c r="J101" s="92" t="n"/>
      <c r="K101" s="92" t="n"/>
      <c r="L101" s="92" t="n"/>
      <c r="M101" s="92" t="n"/>
      <c r="N101" s="92" t="n"/>
      <c r="O101" s="92" t="n"/>
      <c r="P101" s="92" t="n"/>
      <c r="Q101" s="92" t="n"/>
      <c r="R101" s="94" t="n"/>
      <c r="S101" s="91" t="n"/>
      <c r="T101" s="94" t="n"/>
      <c r="U101" s="91" t="n"/>
      <c r="V101" s="92" t="n"/>
      <c r="W101" s="92" t="n"/>
      <c r="X101" s="94" t="n"/>
      <c r="Y101" s="91" t="n"/>
      <c r="Z101" s="92" t="n"/>
      <c r="AB101">
        <f>IF(B101="","",IFERROR(INDEX(Schedule!$N$7:$N$18,MATCH(B101,Schedule!$A$7:$A$18,0)),"not in schedule"))</f>
        <v/>
      </c>
      <c r="AC101" s="31">
        <f>IF(B101="","",N(R101)-N(X101))</f>
        <v/>
      </c>
      <c r="AD101" s="84">
        <f>IF(B101="","",IF(Z101&lt;&gt;"",Z101,IF(N(G101)&gt;0,N(N101)/G101,"")))</f>
        <v/>
      </c>
      <c r="AE101" s="17">
        <f>IF(OR(B101="",C101=""),"",WORKDAY(C101,Inputs!$C$122,Lists!$N$4:$N$30))</f>
        <v/>
      </c>
      <c r="AF101">
        <f>IF(B101="","",IF(U101="","missing",IF(U101&gt;AE101,"Y","N")))</f>
        <v/>
      </c>
    </row>
    <row r="102">
      <c r="A102" s="92" t="n"/>
      <c r="B102" s="92" t="n"/>
      <c r="C102" s="91" t="n"/>
      <c r="D102" s="92" t="n"/>
      <c r="E102" s="92" t="n"/>
      <c r="F102" s="92" t="n"/>
      <c r="G102" s="92" t="n"/>
      <c r="H102" s="92" t="n"/>
      <c r="I102" s="92" t="n"/>
      <c r="J102" s="92" t="n"/>
      <c r="K102" s="92" t="n"/>
      <c r="L102" s="92" t="n"/>
      <c r="M102" s="92" t="n"/>
      <c r="N102" s="92" t="n"/>
      <c r="O102" s="92" t="n"/>
      <c r="P102" s="92" t="n"/>
      <c r="Q102" s="92" t="n"/>
      <c r="R102" s="94" t="n"/>
      <c r="S102" s="91" t="n"/>
      <c r="T102" s="94" t="n"/>
      <c r="U102" s="91" t="n"/>
      <c r="V102" s="92" t="n"/>
      <c r="W102" s="92" t="n"/>
      <c r="X102" s="94" t="n"/>
      <c r="Y102" s="91" t="n"/>
      <c r="Z102" s="92" t="n"/>
      <c r="AB102">
        <f>IF(B102="","",IFERROR(INDEX(Schedule!$N$7:$N$18,MATCH(B102,Schedule!$A$7:$A$18,0)),"not in schedule"))</f>
        <v/>
      </c>
      <c r="AC102" s="31">
        <f>IF(B102="","",N(R102)-N(X102))</f>
        <v/>
      </c>
      <c r="AD102" s="84">
        <f>IF(B102="","",IF(Z102&lt;&gt;"",Z102,IF(N(G102)&gt;0,N(N102)/G102,"")))</f>
        <v/>
      </c>
      <c r="AE102" s="17">
        <f>IF(OR(B102="",C102=""),"",WORKDAY(C102,Inputs!$C$122,Lists!$N$4:$N$30))</f>
        <v/>
      </c>
      <c r="AF102">
        <f>IF(B102="","",IF(U102="","missing",IF(U102&gt;AE102,"Y","N")))</f>
        <v/>
      </c>
    </row>
    <row r="103">
      <c r="A103" s="92" t="n"/>
      <c r="B103" s="92" t="n"/>
      <c r="C103" s="91" t="n"/>
      <c r="D103" s="92" t="n"/>
      <c r="E103" s="92" t="n"/>
      <c r="F103" s="92" t="n"/>
      <c r="G103" s="92" t="n"/>
      <c r="H103" s="92" t="n"/>
      <c r="I103" s="92" t="n"/>
      <c r="J103" s="92" t="n"/>
      <c r="K103" s="92" t="n"/>
      <c r="L103" s="92" t="n"/>
      <c r="M103" s="92" t="n"/>
      <c r="N103" s="92" t="n"/>
      <c r="O103" s="92" t="n"/>
      <c r="P103" s="92" t="n"/>
      <c r="Q103" s="92" t="n"/>
      <c r="R103" s="94" t="n"/>
      <c r="S103" s="91" t="n"/>
      <c r="T103" s="94" t="n"/>
      <c r="U103" s="91" t="n"/>
      <c r="V103" s="92" t="n"/>
      <c r="W103" s="92" t="n"/>
      <c r="X103" s="94" t="n"/>
      <c r="Y103" s="91" t="n"/>
      <c r="Z103" s="92" t="n"/>
      <c r="AB103">
        <f>IF(B103="","",IFERROR(INDEX(Schedule!$N$7:$N$18,MATCH(B103,Schedule!$A$7:$A$18,0)),"not in schedule"))</f>
        <v/>
      </c>
      <c r="AC103" s="31">
        <f>IF(B103="","",N(R103)-N(X103))</f>
        <v/>
      </c>
      <c r="AD103" s="84">
        <f>IF(B103="","",IF(Z103&lt;&gt;"",Z103,IF(N(G103)&gt;0,N(N103)/G103,"")))</f>
        <v/>
      </c>
      <c r="AE103" s="17">
        <f>IF(OR(B103="",C103=""),"",WORKDAY(C103,Inputs!$C$122,Lists!$N$4:$N$30))</f>
        <v/>
      </c>
      <c r="AF103">
        <f>IF(B103="","",IF(U103="","missing",IF(U103&gt;AE103,"Y","N")))</f>
        <v/>
      </c>
    </row>
    <row r="104">
      <c r="A104" s="92" t="n"/>
      <c r="B104" s="92" t="n"/>
      <c r="C104" s="91" t="n"/>
      <c r="D104" s="92" t="n"/>
      <c r="E104" s="92" t="n"/>
      <c r="F104" s="92" t="n"/>
      <c r="G104" s="92" t="n"/>
      <c r="H104" s="92" t="n"/>
      <c r="I104" s="92" t="n"/>
      <c r="J104" s="92" t="n"/>
      <c r="K104" s="92" t="n"/>
      <c r="L104" s="92" t="n"/>
      <c r="M104" s="92" t="n"/>
      <c r="N104" s="92" t="n"/>
      <c r="O104" s="92" t="n"/>
      <c r="P104" s="92" t="n"/>
      <c r="Q104" s="92" t="n"/>
      <c r="R104" s="94" t="n"/>
      <c r="S104" s="91" t="n"/>
      <c r="T104" s="94" t="n"/>
      <c r="U104" s="91" t="n"/>
      <c r="V104" s="92" t="n"/>
      <c r="W104" s="92" t="n"/>
      <c r="X104" s="94" t="n"/>
      <c r="Y104" s="91" t="n"/>
      <c r="Z104" s="92" t="n"/>
      <c r="AB104">
        <f>IF(B104="","",IFERROR(INDEX(Schedule!$N$7:$N$18,MATCH(B104,Schedule!$A$7:$A$18,0)),"not in schedule"))</f>
        <v/>
      </c>
      <c r="AC104" s="31">
        <f>IF(B104="","",N(R104)-N(X104))</f>
        <v/>
      </c>
      <c r="AD104" s="84">
        <f>IF(B104="","",IF(Z104&lt;&gt;"",Z104,IF(N(G104)&gt;0,N(N104)/G104,"")))</f>
        <v/>
      </c>
      <c r="AE104" s="17">
        <f>IF(OR(B104="",C104=""),"",WORKDAY(C104,Inputs!$C$122,Lists!$N$4:$N$30))</f>
        <v/>
      </c>
      <c r="AF104">
        <f>IF(B104="","",IF(U104="","missing",IF(U104&gt;AE104,"Y","N")))</f>
        <v/>
      </c>
    </row>
    <row r="105">
      <c r="A105" s="92" t="n"/>
      <c r="B105" s="92" t="n"/>
      <c r="C105" s="91" t="n"/>
      <c r="D105" s="92" t="n"/>
      <c r="E105" s="92" t="n"/>
      <c r="F105" s="92" t="n"/>
      <c r="G105" s="92" t="n"/>
      <c r="H105" s="92" t="n"/>
      <c r="I105" s="92" t="n"/>
      <c r="J105" s="92" t="n"/>
      <c r="K105" s="92" t="n"/>
      <c r="L105" s="92" t="n"/>
      <c r="M105" s="92" t="n"/>
      <c r="N105" s="92" t="n"/>
      <c r="O105" s="92" t="n"/>
      <c r="P105" s="92" t="n"/>
      <c r="Q105" s="92" t="n"/>
      <c r="R105" s="94" t="n"/>
      <c r="S105" s="91" t="n"/>
      <c r="T105" s="94" t="n"/>
      <c r="U105" s="91" t="n"/>
      <c r="V105" s="92" t="n"/>
      <c r="W105" s="92" t="n"/>
      <c r="X105" s="94" t="n"/>
      <c r="Y105" s="91" t="n"/>
      <c r="Z105" s="92" t="n"/>
      <c r="AB105">
        <f>IF(B105="","",IFERROR(INDEX(Schedule!$N$7:$N$18,MATCH(B105,Schedule!$A$7:$A$18,0)),"not in schedule"))</f>
        <v/>
      </c>
      <c r="AC105" s="31">
        <f>IF(B105="","",N(R105)-N(X105))</f>
        <v/>
      </c>
      <c r="AD105" s="84">
        <f>IF(B105="","",IF(Z105&lt;&gt;"",Z105,IF(N(G105)&gt;0,N(N105)/G105,"")))</f>
        <v/>
      </c>
      <c r="AE105" s="17">
        <f>IF(OR(B105="",C105=""),"",WORKDAY(C105,Inputs!$C$122,Lists!$N$4:$N$30))</f>
        <v/>
      </c>
      <c r="AF105">
        <f>IF(B105="","",IF(U105="","missing",IF(U105&gt;AE105,"Y","N")))</f>
        <v/>
      </c>
    </row>
    <row r="106">
      <c r="A106" s="92" t="n"/>
      <c r="B106" s="92" t="n"/>
      <c r="C106" s="91" t="n"/>
      <c r="D106" s="92" t="n"/>
      <c r="E106" s="92" t="n"/>
      <c r="F106" s="92" t="n"/>
      <c r="G106" s="92" t="n"/>
      <c r="H106" s="92" t="n"/>
      <c r="I106" s="92" t="n"/>
      <c r="J106" s="92" t="n"/>
      <c r="K106" s="92" t="n"/>
      <c r="L106" s="92" t="n"/>
      <c r="M106" s="92" t="n"/>
      <c r="N106" s="92" t="n"/>
      <c r="O106" s="92" t="n"/>
      <c r="P106" s="92" t="n"/>
      <c r="Q106" s="92" t="n"/>
      <c r="R106" s="94" t="n"/>
      <c r="S106" s="91" t="n"/>
      <c r="T106" s="94" t="n"/>
      <c r="U106" s="91" t="n"/>
      <c r="V106" s="92" t="n"/>
      <c r="W106" s="92" t="n"/>
      <c r="X106" s="94" t="n"/>
      <c r="Y106" s="91" t="n"/>
      <c r="Z106" s="92" t="n"/>
      <c r="AB106">
        <f>IF(B106="","",IFERROR(INDEX(Schedule!$N$7:$N$18,MATCH(B106,Schedule!$A$7:$A$18,0)),"not in schedule"))</f>
        <v/>
      </c>
      <c r="AC106" s="31">
        <f>IF(B106="","",N(R106)-N(X106))</f>
        <v/>
      </c>
      <c r="AD106" s="84">
        <f>IF(B106="","",IF(Z106&lt;&gt;"",Z106,IF(N(G106)&gt;0,N(N106)/G106,"")))</f>
        <v/>
      </c>
      <c r="AE106" s="17">
        <f>IF(OR(B106="",C106=""),"",WORKDAY(C106,Inputs!$C$122,Lists!$N$4:$N$30))</f>
        <v/>
      </c>
      <c r="AF106">
        <f>IF(B106="","",IF(U106="","missing",IF(U106&gt;AE106,"Y","N")))</f>
        <v/>
      </c>
    </row>
    <row r="107">
      <c r="A107" s="92" t="n"/>
      <c r="B107" s="92" t="n"/>
      <c r="C107" s="91" t="n"/>
      <c r="D107" s="92" t="n"/>
      <c r="E107" s="92" t="n"/>
      <c r="F107" s="92" t="n"/>
      <c r="G107" s="92" t="n"/>
      <c r="H107" s="92" t="n"/>
      <c r="I107" s="92" t="n"/>
      <c r="J107" s="92" t="n"/>
      <c r="K107" s="92" t="n"/>
      <c r="L107" s="92" t="n"/>
      <c r="M107" s="92" t="n"/>
      <c r="N107" s="92" t="n"/>
      <c r="O107" s="92" t="n"/>
      <c r="P107" s="92" t="n"/>
      <c r="Q107" s="92" t="n"/>
      <c r="R107" s="94" t="n"/>
      <c r="S107" s="91" t="n"/>
      <c r="T107" s="94" t="n"/>
      <c r="U107" s="91" t="n"/>
      <c r="V107" s="92" t="n"/>
      <c r="W107" s="92" t="n"/>
      <c r="X107" s="94" t="n"/>
      <c r="Y107" s="91" t="n"/>
      <c r="Z107" s="92" t="n"/>
      <c r="AB107">
        <f>IF(B107="","",IFERROR(INDEX(Schedule!$N$7:$N$18,MATCH(B107,Schedule!$A$7:$A$18,0)),"not in schedule"))</f>
        <v/>
      </c>
      <c r="AC107" s="31">
        <f>IF(B107="","",N(R107)-N(X107))</f>
        <v/>
      </c>
      <c r="AD107" s="84">
        <f>IF(B107="","",IF(Z107&lt;&gt;"",Z107,IF(N(G107)&gt;0,N(N107)/G107,"")))</f>
        <v/>
      </c>
      <c r="AE107" s="17">
        <f>IF(OR(B107="",C107=""),"",WORKDAY(C107,Inputs!$C$122,Lists!$N$4:$N$30))</f>
        <v/>
      </c>
      <c r="AF107">
        <f>IF(B107="","",IF(U107="","missing",IF(U107&gt;AE107,"Y","N")))</f>
        <v/>
      </c>
    </row>
    <row r="108">
      <c r="A108" s="92" t="n"/>
      <c r="B108" s="92" t="n"/>
      <c r="C108" s="91" t="n"/>
      <c r="D108" s="92" t="n"/>
      <c r="E108" s="92" t="n"/>
      <c r="F108" s="92" t="n"/>
      <c r="G108" s="92" t="n"/>
      <c r="H108" s="92" t="n"/>
      <c r="I108" s="92" t="n"/>
      <c r="J108" s="92" t="n"/>
      <c r="K108" s="92" t="n"/>
      <c r="L108" s="92" t="n"/>
      <c r="M108" s="92" t="n"/>
      <c r="N108" s="92" t="n"/>
      <c r="O108" s="92" t="n"/>
      <c r="P108" s="92" t="n"/>
      <c r="Q108" s="92" t="n"/>
      <c r="R108" s="94" t="n"/>
      <c r="S108" s="91" t="n"/>
      <c r="T108" s="94" t="n"/>
      <c r="U108" s="91" t="n"/>
      <c r="V108" s="92" t="n"/>
      <c r="W108" s="92" t="n"/>
      <c r="X108" s="94" t="n"/>
      <c r="Y108" s="91" t="n"/>
      <c r="Z108" s="92" t="n"/>
      <c r="AB108">
        <f>IF(B108="","",IFERROR(INDEX(Schedule!$N$7:$N$18,MATCH(B108,Schedule!$A$7:$A$18,0)),"not in schedule"))</f>
        <v/>
      </c>
      <c r="AC108" s="31">
        <f>IF(B108="","",N(R108)-N(X108))</f>
        <v/>
      </c>
      <c r="AD108" s="84">
        <f>IF(B108="","",IF(Z108&lt;&gt;"",Z108,IF(N(G108)&gt;0,N(N108)/G108,"")))</f>
        <v/>
      </c>
      <c r="AE108" s="17">
        <f>IF(OR(B108="",C108=""),"",WORKDAY(C108,Inputs!$C$122,Lists!$N$4:$N$30))</f>
        <v/>
      </c>
      <c r="AF108">
        <f>IF(B108="","",IF(U108="","missing",IF(U108&gt;AE108,"Y","N")))</f>
        <v/>
      </c>
    </row>
    <row r="109">
      <c r="A109" s="92" t="n"/>
      <c r="B109" s="92" t="n"/>
      <c r="C109" s="91" t="n"/>
      <c r="D109" s="92" t="n"/>
      <c r="E109" s="92" t="n"/>
      <c r="F109" s="92" t="n"/>
      <c r="G109" s="92" t="n"/>
      <c r="H109" s="92" t="n"/>
      <c r="I109" s="92" t="n"/>
      <c r="J109" s="92" t="n"/>
      <c r="K109" s="92" t="n"/>
      <c r="L109" s="92" t="n"/>
      <c r="M109" s="92" t="n"/>
      <c r="N109" s="92" t="n"/>
      <c r="O109" s="92" t="n"/>
      <c r="P109" s="92" t="n"/>
      <c r="Q109" s="92" t="n"/>
      <c r="R109" s="94" t="n"/>
      <c r="S109" s="91" t="n"/>
      <c r="T109" s="94" t="n"/>
      <c r="U109" s="91" t="n"/>
      <c r="V109" s="92" t="n"/>
      <c r="W109" s="92" t="n"/>
      <c r="X109" s="94" t="n"/>
      <c r="Y109" s="91" t="n"/>
      <c r="Z109" s="92" t="n"/>
      <c r="AB109">
        <f>IF(B109="","",IFERROR(INDEX(Schedule!$N$7:$N$18,MATCH(B109,Schedule!$A$7:$A$18,0)),"not in schedule"))</f>
        <v/>
      </c>
      <c r="AC109" s="31">
        <f>IF(B109="","",N(R109)-N(X109))</f>
        <v/>
      </c>
      <c r="AD109" s="84">
        <f>IF(B109="","",IF(Z109&lt;&gt;"",Z109,IF(N(G109)&gt;0,N(N109)/G109,"")))</f>
        <v/>
      </c>
      <c r="AE109" s="17">
        <f>IF(OR(B109="",C109=""),"",WORKDAY(C109,Inputs!$C$122,Lists!$N$4:$N$30))</f>
        <v/>
      </c>
      <c r="AF109">
        <f>IF(B109="","",IF(U109="","missing",IF(U109&gt;AE109,"Y","N")))</f>
        <v/>
      </c>
    </row>
    <row r="110">
      <c r="A110" s="92" t="n"/>
      <c r="B110" s="92" t="n"/>
      <c r="C110" s="91" t="n"/>
      <c r="D110" s="92" t="n"/>
      <c r="E110" s="92" t="n"/>
      <c r="F110" s="92" t="n"/>
      <c r="G110" s="92" t="n"/>
      <c r="H110" s="92" t="n"/>
      <c r="I110" s="92" t="n"/>
      <c r="J110" s="92" t="n"/>
      <c r="K110" s="92" t="n"/>
      <c r="L110" s="92" t="n"/>
      <c r="M110" s="92" t="n"/>
      <c r="N110" s="92" t="n"/>
      <c r="O110" s="92" t="n"/>
      <c r="P110" s="92" t="n"/>
      <c r="Q110" s="92" t="n"/>
      <c r="R110" s="94" t="n"/>
      <c r="S110" s="91" t="n"/>
      <c r="T110" s="94" t="n"/>
      <c r="U110" s="91" t="n"/>
      <c r="V110" s="92" t="n"/>
      <c r="W110" s="92" t="n"/>
      <c r="X110" s="94" t="n"/>
      <c r="Y110" s="91" t="n"/>
      <c r="Z110" s="92" t="n"/>
      <c r="AB110">
        <f>IF(B110="","",IFERROR(INDEX(Schedule!$N$7:$N$18,MATCH(B110,Schedule!$A$7:$A$18,0)),"not in schedule"))</f>
        <v/>
      </c>
      <c r="AC110" s="31">
        <f>IF(B110="","",N(R110)-N(X110))</f>
        <v/>
      </c>
      <c r="AD110" s="84">
        <f>IF(B110="","",IF(Z110&lt;&gt;"",Z110,IF(N(G110)&gt;0,N(N110)/G110,"")))</f>
        <v/>
      </c>
      <c r="AE110" s="17">
        <f>IF(OR(B110="",C110=""),"",WORKDAY(C110,Inputs!$C$122,Lists!$N$4:$N$30))</f>
        <v/>
      </c>
      <c r="AF110">
        <f>IF(B110="","",IF(U110="","missing",IF(U110&gt;AE110,"Y","N")))</f>
        <v/>
      </c>
    </row>
    <row r="111">
      <c r="A111" s="92" t="n"/>
      <c r="B111" s="92" t="n"/>
      <c r="C111" s="91" t="n"/>
      <c r="D111" s="92" t="n"/>
      <c r="E111" s="92" t="n"/>
      <c r="F111" s="92" t="n"/>
      <c r="G111" s="92" t="n"/>
      <c r="H111" s="92" t="n"/>
      <c r="I111" s="92" t="n"/>
      <c r="J111" s="92" t="n"/>
      <c r="K111" s="92" t="n"/>
      <c r="L111" s="92" t="n"/>
      <c r="M111" s="92" t="n"/>
      <c r="N111" s="92" t="n"/>
      <c r="O111" s="92" t="n"/>
      <c r="P111" s="92" t="n"/>
      <c r="Q111" s="92" t="n"/>
      <c r="R111" s="94" t="n"/>
      <c r="S111" s="91" t="n"/>
      <c r="T111" s="94" t="n"/>
      <c r="U111" s="91" t="n"/>
      <c r="V111" s="92" t="n"/>
      <c r="W111" s="92" t="n"/>
      <c r="X111" s="94" t="n"/>
      <c r="Y111" s="91" t="n"/>
      <c r="Z111" s="92" t="n"/>
      <c r="AB111">
        <f>IF(B111="","",IFERROR(INDEX(Schedule!$N$7:$N$18,MATCH(B111,Schedule!$A$7:$A$18,0)),"not in schedule"))</f>
        <v/>
      </c>
      <c r="AC111" s="31">
        <f>IF(B111="","",N(R111)-N(X111))</f>
        <v/>
      </c>
      <c r="AD111" s="84">
        <f>IF(B111="","",IF(Z111&lt;&gt;"",Z111,IF(N(G111)&gt;0,N(N111)/G111,"")))</f>
        <v/>
      </c>
      <c r="AE111" s="17">
        <f>IF(OR(B111="",C111=""),"",WORKDAY(C111,Inputs!$C$122,Lists!$N$4:$N$30))</f>
        <v/>
      </c>
      <c r="AF111">
        <f>IF(B111="","",IF(U111="","missing",IF(U111&gt;AE111,"Y","N")))</f>
        <v/>
      </c>
    </row>
    <row r="112">
      <c r="A112" s="92" t="n"/>
      <c r="B112" s="92" t="n"/>
      <c r="C112" s="91" t="n"/>
      <c r="D112" s="92" t="n"/>
      <c r="E112" s="92" t="n"/>
      <c r="F112" s="92" t="n"/>
      <c r="G112" s="92" t="n"/>
      <c r="H112" s="92" t="n"/>
      <c r="I112" s="92" t="n"/>
      <c r="J112" s="92" t="n"/>
      <c r="K112" s="92" t="n"/>
      <c r="L112" s="92" t="n"/>
      <c r="M112" s="92" t="n"/>
      <c r="N112" s="92" t="n"/>
      <c r="O112" s="92" t="n"/>
      <c r="P112" s="92" t="n"/>
      <c r="Q112" s="92" t="n"/>
      <c r="R112" s="94" t="n"/>
      <c r="S112" s="91" t="n"/>
      <c r="T112" s="94" t="n"/>
      <c r="U112" s="91" t="n"/>
      <c r="V112" s="92" t="n"/>
      <c r="W112" s="92" t="n"/>
      <c r="X112" s="94" t="n"/>
      <c r="Y112" s="91" t="n"/>
      <c r="Z112" s="92" t="n"/>
      <c r="AB112">
        <f>IF(B112="","",IFERROR(INDEX(Schedule!$N$7:$N$18,MATCH(B112,Schedule!$A$7:$A$18,0)),"not in schedule"))</f>
        <v/>
      </c>
      <c r="AC112" s="31">
        <f>IF(B112="","",N(R112)-N(X112))</f>
        <v/>
      </c>
      <c r="AD112" s="84">
        <f>IF(B112="","",IF(Z112&lt;&gt;"",Z112,IF(N(G112)&gt;0,N(N112)/G112,"")))</f>
        <v/>
      </c>
      <c r="AE112" s="17">
        <f>IF(OR(B112="",C112=""),"",WORKDAY(C112,Inputs!$C$122,Lists!$N$4:$N$30))</f>
        <v/>
      </c>
      <c r="AF112">
        <f>IF(B112="","",IF(U112="","missing",IF(U112&gt;AE112,"Y","N")))</f>
        <v/>
      </c>
    </row>
    <row r="113">
      <c r="A113" s="92" t="n"/>
      <c r="B113" s="92" t="n"/>
      <c r="C113" s="91" t="n"/>
      <c r="D113" s="92" t="n"/>
      <c r="E113" s="92" t="n"/>
      <c r="F113" s="92" t="n"/>
      <c r="G113" s="92" t="n"/>
      <c r="H113" s="92" t="n"/>
      <c r="I113" s="92" t="n"/>
      <c r="J113" s="92" t="n"/>
      <c r="K113" s="92" t="n"/>
      <c r="L113" s="92" t="n"/>
      <c r="M113" s="92" t="n"/>
      <c r="N113" s="92" t="n"/>
      <c r="O113" s="92" t="n"/>
      <c r="P113" s="92" t="n"/>
      <c r="Q113" s="92" t="n"/>
      <c r="R113" s="94" t="n"/>
      <c r="S113" s="91" t="n"/>
      <c r="T113" s="94" t="n"/>
      <c r="U113" s="91" t="n"/>
      <c r="V113" s="92" t="n"/>
      <c r="W113" s="92" t="n"/>
      <c r="X113" s="94" t="n"/>
      <c r="Y113" s="91" t="n"/>
      <c r="Z113" s="92" t="n"/>
      <c r="AB113">
        <f>IF(B113="","",IFERROR(INDEX(Schedule!$N$7:$N$18,MATCH(B113,Schedule!$A$7:$A$18,0)),"not in schedule"))</f>
        <v/>
      </c>
      <c r="AC113" s="31">
        <f>IF(B113="","",N(R113)-N(X113))</f>
        <v/>
      </c>
      <c r="AD113" s="84">
        <f>IF(B113="","",IF(Z113&lt;&gt;"",Z113,IF(N(G113)&gt;0,N(N113)/G113,"")))</f>
        <v/>
      </c>
      <c r="AE113" s="17">
        <f>IF(OR(B113="",C113=""),"",WORKDAY(C113,Inputs!$C$122,Lists!$N$4:$N$30))</f>
        <v/>
      </c>
      <c r="AF113">
        <f>IF(B113="","",IF(U113="","missing",IF(U113&gt;AE113,"Y","N")))</f>
        <v/>
      </c>
    </row>
    <row r="114">
      <c r="A114" s="92" t="n"/>
      <c r="B114" s="92" t="n"/>
      <c r="C114" s="91" t="n"/>
      <c r="D114" s="92" t="n"/>
      <c r="E114" s="92" t="n"/>
      <c r="F114" s="92" t="n"/>
      <c r="G114" s="92" t="n"/>
      <c r="H114" s="92" t="n"/>
      <c r="I114" s="92" t="n"/>
      <c r="J114" s="92" t="n"/>
      <c r="K114" s="92" t="n"/>
      <c r="L114" s="92" t="n"/>
      <c r="M114" s="92" t="n"/>
      <c r="N114" s="92" t="n"/>
      <c r="O114" s="92" t="n"/>
      <c r="P114" s="92" t="n"/>
      <c r="Q114" s="92" t="n"/>
      <c r="R114" s="94" t="n"/>
      <c r="S114" s="91" t="n"/>
      <c r="T114" s="94" t="n"/>
      <c r="U114" s="91" t="n"/>
      <c r="V114" s="92" t="n"/>
      <c r="W114" s="92" t="n"/>
      <c r="X114" s="94" t="n"/>
      <c r="Y114" s="91" t="n"/>
      <c r="Z114" s="92" t="n"/>
      <c r="AB114">
        <f>IF(B114="","",IFERROR(INDEX(Schedule!$N$7:$N$18,MATCH(B114,Schedule!$A$7:$A$18,0)),"not in schedule"))</f>
        <v/>
      </c>
      <c r="AC114" s="31">
        <f>IF(B114="","",N(R114)-N(X114))</f>
        <v/>
      </c>
      <c r="AD114" s="84">
        <f>IF(B114="","",IF(Z114&lt;&gt;"",Z114,IF(N(G114)&gt;0,N(N114)/G114,"")))</f>
        <v/>
      </c>
      <c r="AE114" s="17">
        <f>IF(OR(B114="",C114=""),"",WORKDAY(C114,Inputs!$C$122,Lists!$N$4:$N$30))</f>
        <v/>
      </c>
      <c r="AF114">
        <f>IF(B114="","",IF(U114="","missing",IF(U114&gt;AE114,"Y","N")))</f>
        <v/>
      </c>
    </row>
    <row r="115">
      <c r="A115" s="92" t="n"/>
      <c r="B115" s="92" t="n"/>
      <c r="C115" s="91" t="n"/>
      <c r="D115" s="92" t="n"/>
      <c r="E115" s="92" t="n"/>
      <c r="F115" s="92" t="n"/>
      <c r="G115" s="92" t="n"/>
      <c r="H115" s="92" t="n"/>
      <c r="I115" s="92" t="n"/>
      <c r="J115" s="92" t="n"/>
      <c r="K115" s="92" t="n"/>
      <c r="L115" s="92" t="n"/>
      <c r="M115" s="92" t="n"/>
      <c r="N115" s="92" t="n"/>
      <c r="O115" s="92" t="n"/>
      <c r="P115" s="92" t="n"/>
      <c r="Q115" s="92" t="n"/>
      <c r="R115" s="94" t="n"/>
      <c r="S115" s="91" t="n"/>
      <c r="T115" s="94" t="n"/>
      <c r="U115" s="91" t="n"/>
      <c r="V115" s="92" t="n"/>
      <c r="W115" s="92" t="n"/>
      <c r="X115" s="94" t="n"/>
      <c r="Y115" s="91" t="n"/>
      <c r="Z115" s="92" t="n"/>
      <c r="AB115">
        <f>IF(B115="","",IFERROR(INDEX(Schedule!$N$7:$N$18,MATCH(B115,Schedule!$A$7:$A$18,0)),"not in schedule"))</f>
        <v/>
      </c>
      <c r="AC115" s="31">
        <f>IF(B115="","",N(R115)-N(X115))</f>
        <v/>
      </c>
      <c r="AD115" s="84">
        <f>IF(B115="","",IF(Z115&lt;&gt;"",Z115,IF(N(G115)&gt;0,N(N115)/G115,"")))</f>
        <v/>
      </c>
      <c r="AE115" s="17">
        <f>IF(OR(B115="",C115=""),"",WORKDAY(C115,Inputs!$C$122,Lists!$N$4:$N$30))</f>
        <v/>
      </c>
      <c r="AF115">
        <f>IF(B115="","",IF(U115="","missing",IF(U115&gt;AE115,"Y","N")))</f>
        <v/>
      </c>
    </row>
    <row r="116">
      <c r="A116" s="92" t="n"/>
      <c r="B116" s="92" t="n"/>
      <c r="C116" s="91" t="n"/>
      <c r="D116" s="92" t="n"/>
      <c r="E116" s="92" t="n"/>
      <c r="F116" s="92" t="n"/>
      <c r="G116" s="92" t="n"/>
      <c r="H116" s="92" t="n"/>
      <c r="I116" s="92" t="n"/>
      <c r="J116" s="92" t="n"/>
      <c r="K116" s="92" t="n"/>
      <c r="L116" s="92" t="n"/>
      <c r="M116" s="92" t="n"/>
      <c r="N116" s="92" t="n"/>
      <c r="O116" s="92" t="n"/>
      <c r="P116" s="92" t="n"/>
      <c r="Q116" s="92" t="n"/>
      <c r="R116" s="94" t="n"/>
      <c r="S116" s="91" t="n"/>
      <c r="T116" s="94" t="n"/>
      <c r="U116" s="91" t="n"/>
      <c r="V116" s="92" t="n"/>
      <c r="W116" s="92" t="n"/>
      <c r="X116" s="94" t="n"/>
      <c r="Y116" s="91" t="n"/>
      <c r="Z116" s="92" t="n"/>
      <c r="AB116">
        <f>IF(B116="","",IFERROR(INDEX(Schedule!$N$7:$N$18,MATCH(B116,Schedule!$A$7:$A$18,0)),"not in schedule"))</f>
        <v/>
      </c>
      <c r="AC116" s="31">
        <f>IF(B116="","",N(R116)-N(X116))</f>
        <v/>
      </c>
      <c r="AD116" s="84">
        <f>IF(B116="","",IF(Z116&lt;&gt;"",Z116,IF(N(G116)&gt;0,N(N116)/G116,"")))</f>
        <v/>
      </c>
      <c r="AE116" s="17">
        <f>IF(OR(B116="",C116=""),"",WORKDAY(C116,Inputs!$C$122,Lists!$N$4:$N$30))</f>
        <v/>
      </c>
      <c r="AF116">
        <f>IF(B116="","",IF(U116="","missing",IF(U116&gt;AE116,"Y","N")))</f>
        <v/>
      </c>
    </row>
    <row r="117">
      <c r="A117" s="92" t="n"/>
      <c r="B117" s="92" t="n"/>
      <c r="C117" s="91" t="n"/>
      <c r="D117" s="92" t="n"/>
      <c r="E117" s="92" t="n"/>
      <c r="F117" s="92" t="n"/>
      <c r="G117" s="92" t="n"/>
      <c r="H117" s="92" t="n"/>
      <c r="I117" s="92" t="n"/>
      <c r="J117" s="92" t="n"/>
      <c r="K117" s="92" t="n"/>
      <c r="L117" s="92" t="n"/>
      <c r="M117" s="92" t="n"/>
      <c r="N117" s="92" t="n"/>
      <c r="O117" s="92" t="n"/>
      <c r="P117" s="92" t="n"/>
      <c r="Q117" s="92" t="n"/>
      <c r="R117" s="94" t="n"/>
      <c r="S117" s="91" t="n"/>
      <c r="T117" s="94" t="n"/>
      <c r="U117" s="91" t="n"/>
      <c r="V117" s="92" t="n"/>
      <c r="W117" s="92" t="n"/>
      <c r="X117" s="94" t="n"/>
      <c r="Y117" s="91" t="n"/>
      <c r="Z117" s="92" t="n"/>
      <c r="AB117">
        <f>IF(B117="","",IFERROR(INDEX(Schedule!$N$7:$N$18,MATCH(B117,Schedule!$A$7:$A$18,0)),"not in schedule"))</f>
        <v/>
      </c>
      <c r="AC117" s="31">
        <f>IF(B117="","",N(R117)-N(X117))</f>
        <v/>
      </c>
      <c r="AD117" s="84">
        <f>IF(B117="","",IF(Z117&lt;&gt;"",Z117,IF(N(G117)&gt;0,N(N117)/G117,"")))</f>
        <v/>
      </c>
      <c r="AE117" s="17">
        <f>IF(OR(B117="",C117=""),"",WORKDAY(C117,Inputs!$C$122,Lists!$N$4:$N$30))</f>
        <v/>
      </c>
      <c r="AF117">
        <f>IF(B117="","",IF(U117="","missing",IF(U117&gt;AE117,"Y","N")))</f>
        <v/>
      </c>
    </row>
    <row r="118">
      <c r="A118" s="92" t="n"/>
      <c r="B118" s="92" t="n"/>
      <c r="C118" s="91" t="n"/>
      <c r="D118" s="92" t="n"/>
      <c r="E118" s="92" t="n"/>
      <c r="F118" s="92" t="n"/>
      <c r="G118" s="92" t="n"/>
      <c r="H118" s="92" t="n"/>
      <c r="I118" s="92" t="n"/>
      <c r="J118" s="92" t="n"/>
      <c r="K118" s="92" t="n"/>
      <c r="L118" s="92" t="n"/>
      <c r="M118" s="92" t="n"/>
      <c r="N118" s="92" t="n"/>
      <c r="O118" s="92" t="n"/>
      <c r="P118" s="92" t="n"/>
      <c r="Q118" s="92" t="n"/>
      <c r="R118" s="94" t="n"/>
      <c r="S118" s="91" t="n"/>
      <c r="T118" s="94" t="n"/>
      <c r="U118" s="91" t="n"/>
      <c r="V118" s="92" t="n"/>
      <c r="W118" s="92" t="n"/>
      <c r="X118" s="94" t="n"/>
      <c r="Y118" s="91" t="n"/>
      <c r="Z118" s="92" t="n"/>
      <c r="AB118">
        <f>IF(B118="","",IFERROR(INDEX(Schedule!$N$7:$N$18,MATCH(B118,Schedule!$A$7:$A$18,0)),"not in schedule"))</f>
        <v/>
      </c>
      <c r="AC118" s="31">
        <f>IF(B118="","",N(R118)-N(X118))</f>
        <v/>
      </c>
      <c r="AD118" s="84">
        <f>IF(B118="","",IF(Z118&lt;&gt;"",Z118,IF(N(G118)&gt;0,N(N118)/G118,"")))</f>
        <v/>
      </c>
      <c r="AE118" s="17">
        <f>IF(OR(B118="",C118=""),"",WORKDAY(C118,Inputs!$C$122,Lists!$N$4:$N$30))</f>
        <v/>
      </c>
      <c r="AF118">
        <f>IF(B118="","",IF(U118="","missing",IF(U118&gt;AE118,"Y","N")))</f>
        <v/>
      </c>
    </row>
    <row r="119">
      <c r="A119" s="92" t="n"/>
      <c r="B119" s="92" t="n"/>
      <c r="C119" s="91" t="n"/>
      <c r="D119" s="92" t="n"/>
      <c r="E119" s="92" t="n"/>
      <c r="F119" s="92" t="n"/>
      <c r="G119" s="92" t="n"/>
      <c r="H119" s="92" t="n"/>
      <c r="I119" s="92" t="n"/>
      <c r="J119" s="92" t="n"/>
      <c r="K119" s="92" t="n"/>
      <c r="L119" s="92" t="n"/>
      <c r="M119" s="92" t="n"/>
      <c r="N119" s="92" t="n"/>
      <c r="O119" s="92" t="n"/>
      <c r="P119" s="92" t="n"/>
      <c r="Q119" s="92" t="n"/>
      <c r="R119" s="94" t="n"/>
      <c r="S119" s="91" t="n"/>
      <c r="T119" s="94" t="n"/>
      <c r="U119" s="91" t="n"/>
      <c r="V119" s="92" t="n"/>
      <c r="W119" s="92" t="n"/>
      <c r="X119" s="94" t="n"/>
      <c r="Y119" s="91" t="n"/>
      <c r="Z119" s="92" t="n"/>
      <c r="AB119">
        <f>IF(B119="","",IFERROR(INDEX(Schedule!$N$7:$N$18,MATCH(B119,Schedule!$A$7:$A$18,0)),"not in schedule"))</f>
        <v/>
      </c>
      <c r="AC119" s="31">
        <f>IF(B119="","",N(R119)-N(X119))</f>
        <v/>
      </c>
      <c r="AD119" s="84">
        <f>IF(B119="","",IF(Z119&lt;&gt;"",Z119,IF(N(G119)&gt;0,N(N119)/G119,"")))</f>
        <v/>
      </c>
      <c r="AE119" s="17">
        <f>IF(OR(B119="",C119=""),"",WORKDAY(C119,Inputs!$C$122,Lists!$N$4:$N$30))</f>
        <v/>
      </c>
      <c r="AF119">
        <f>IF(B119="","",IF(U119="","missing",IF(U119&gt;AE119,"Y","N")))</f>
        <v/>
      </c>
    </row>
    <row r="120">
      <c r="A120" s="92" t="n"/>
      <c r="B120" s="92" t="n"/>
      <c r="C120" s="91" t="n"/>
      <c r="D120" s="92" t="n"/>
      <c r="E120" s="92" t="n"/>
      <c r="F120" s="92" t="n"/>
      <c r="G120" s="92" t="n"/>
      <c r="H120" s="92" t="n"/>
      <c r="I120" s="92" t="n"/>
      <c r="J120" s="92" t="n"/>
      <c r="K120" s="92" t="n"/>
      <c r="L120" s="92" t="n"/>
      <c r="M120" s="92" t="n"/>
      <c r="N120" s="92" t="n"/>
      <c r="O120" s="92" t="n"/>
      <c r="P120" s="92" t="n"/>
      <c r="Q120" s="92" t="n"/>
      <c r="R120" s="94" t="n"/>
      <c r="S120" s="91" t="n"/>
      <c r="T120" s="94" t="n"/>
      <c r="U120" s="91" t="n"/>
      <c r="V120" s="92" t="n"/>
      <c r="W120" s="92" t="n"/>
      <c r="X120" s="94" t="n"/>
      <c r="Y120" s="91" t="n"/>
      <c r="Z120" s="92" t="n"/>
      <c r="AB120">
        <f>IF(B120="","",IFERROR(INDEX(Schedule!$N$7:$N$18,MATCH(B120,Schedule!$A$7:$A$18,0)),"not in schedule"))</f>
        <v/>
      </c>
      <c r="AC120" s="31">
        <f>IF(B120="","",N(R120)-N(X120))</f>
        <v/>
      </c>
      <c r="AD120" s="84">
        <f>IF(B120="","",IF(Z120&lt;&gt;"",Z120,IF(N(G120)&gt;0,N(N120)/G120,"")))</f>
        <v/>
      </c>
      <c r="AE120" s="17">
        <f>IF(OR(B120="",C120=""),"",WORKDAY(C120,Inputs!$C$122,Lists!$N$4:$N$30))</f>
        <v/>
      </c>
      <c r="AF120">
        <f>IF(B120="","",IF(U120="","missing",IF(U120&gt;AE120,"Y","N")))</f>
        <v/>
      </c>
    </row>
    <row r="121">
      <c r="A121" s="92" t="n"/>
      <c r="B121" s="92" t="n"/>
      <c r="C121" s="91" t="n"/>
      <c r="D121" s="92" t="n"/>
      <c r="E121" s="92" t="n"/>
      <c r="F121" s="92" t="n"/>
      <c r="G121" s="92" t="n"/>
      <c r="H121" s="92" t="n"/>
      <c r="I121" s="92" t="n"/>
      <c r="J121" s="92" t="n"/>
      <c r="K121" s="92" t="n"/>
      <c r="L121" s="92" t="n"/>
      <c r="M121" s="92" t="n"/>
      <c r="N121" s="92" t="n"/>
      <c r="O121" s="92" t="n"/>
      <c r="P121" s="92" t="n"/>
      <c r="Q121" s="92" t="n"/>
      <c r="R121" s="94" t="n"/>
      <c r="S121" s="91" t="n"/>
      <c r="T121" s="94" t="n"/>
      <c r="U121" s="91" t="n"/>
      <c r="V121" s="92" t="n"/>
      <c r="W121" s="92" t="n"/>
      <c r="X121" s="94" t="n"/>
      <c r="Y121" s="91" t="n"/>
      <c r="Z121" s="92" t="n"/>
      <c r="AB121">
        <f>IF(B121="","",IFERROR(INDEX(Schedule!$N$7:$N$18,MATCH(B121,Schedule!$A$7:$A$18,0)),"not in schedule"))</f>
        <v/>
      </c>
      <c r="AC121" s="31">
        <f>IF(B121="","",N(R121)-N(X121))</f>
        <v/>
      </c>
      <c r="AD121" s="84">
        <f>IF(B121="","",IF(Z121&lt;&gt;"",Z121,IF(N(G121)&gt;0,N(N121)/G121,"")))</f>
        <v/>
      </c>
      <c r="AE121" s="17">
        <f>IF(OR(B121="",C121=""),"",WORKDAY(C121,Inputs!$C$122,Lists!$N$4:$N$30))</f>
        <v/>
      </c>
      <c r="AF121">
        <f>IF(B121="","",IF(U121="","missing",IF(U121&gt;AE121,"Y","N")))</f>
        <v/>
      </c>
    </row>
    <row r="122">
      <c r="A122" s="92" t="n"/>
      <c r="B122" s="92" t="n"/>
      <c r="C122" s="91" t="n"/>
      <c r="D122" s="92" t="n"/>
      <c r="E122" s="92" t="n"/>
      <c r="F122" s="92" t="n"/>
      <c r="G122" s="92" t="n"/>
      <c r="H122" s="92" t="n"/>
      <c r="I122" s="92" t="n"/>
      <c r="J122" s="92" t="n"/>
      <c r="K122" s="92" t="n"/>
      <c r="L122" s="92" t="n"/>
      <c r="M122" s="92" t="n"/>
      <c r="N122" s="92" t="n"/>
      <c r="O122" s="92" t="n"/>
      <c r="P122" s="92" t="n"/>
      <c r="Q122" s="92" t="n"/>
      <c r="R122" s="94" t="n"/>
      <c r="S122" s="91" t="n"/>
      <c r="T122" s="94" t="n"/>
      <c r="U122" s="91" t="n"/>
      <c r="V122" s="92" t="n"/>
      <c r="W122" s="92" t="n"/>
      <c r="X122" s="94" t="n"/>
      <c r="Y122" s="91" t="n"/>
      <c r="Z122" s="92" t="n"/>
      <c r="AB122">
        <f>IF(B122="","",IFERROR(INDEX(Schedule!$N$7:$N$18,MATCH(B122,Schedule!$A$7:$A$18,0)),"not in schedule"))</f>
        <v/>
      </c>
      <c r="AC122" s="31">
        <f>IF(B122="","",N(R122)-N(X122))</f>
        <v/>
      </c>
      <c r="AD122" s="84">
        <f>IF(B122="","",IF(Z122&lt;&gt;"",Z122,IF(N(G122)&gt;0,N(N122)/G122,"")))</f>
        <v/>
      </c>
      <c r="AE122" s="17">
        <f>IF(OR(B122="",C122=""),"",WORKDAY(C122,Inputs!$C$122,Lists!$N$4:$N$30))</f>
        <v/>
      </c>
      <c r="AF122">
        <f>IF(B122="","",IF(U122="","missing",IF(U122&gt;AE122,"Y","N")))</f>
        <v/>
      </c>
    </row>
    <row r="123">
      <c r="A123" s="92" t="n"/>
      <c r="B123" s="92" t="n"/>
      <c r="C123" s="91" t="n"/>
      <c r="D123" s="92" t="n"/>
      <c r="E123" s="92" t="n"/>
      <c r="F123" s="92" t="n"/>
      <c r="G123" s="92" t="n"/>
      <c r="H123" s="92" t="n"/>
      <c r="I123" s="92" t="n"/>
      <c r="J123" s="92" t="n"/>
      <c r="K123" s="92" t="n"/>
      <c r="L123" s="92" t="n"/>
      <c r="M123" s="92" t="n"/>
      <c r="N123" s="92" t="n"/>
      <c r="O123" s="92" t="n"/>
      <c r="P123" s="92" t="n"/>
      <c r="Q123" s="92" t="n"/>
      <c r="R123" s="94" t="n"/>
      <c r="S123" s="91" t="n"/>
      <c r="T123" s="94" t="n"/>
      <c r="U123" s="91" t="n"/>
      <c r="V123" s="92" t="n"/>
      <c r="W123" s="92" t="n"/>
      <c r="X123" s="94" t="n"/>
      <c r="Y123" s="91" t="n"/>
      <c r="Z123" s="92" t="n"/>
      <c r="AB123">
        <f>IF(B123="","",IFERROR(INDEX(Schedule!$N$7:$N$18,MATCH(B123,Schedule!$A$7:$A$18,0)),"not in schedule"))</f>
        <v/>
      </c>
      <c r="AC123" s="31">
        <f>IF(B123="","",N(R123)-N(X123))</f>
        <v/>
      </c>
      <c r="AD123" s="84">
        <f>IF(B123="","",IF(Z123&lt;&gt;"",Z123,IF(N(G123)&gt;0,N(N123)/G123,"")))</f>
        <v/>
      </c>
      <c r="AE123" s="17">
        <f>IF(OR(B123="",C123=""),"",WORKDAY(C123,Inputs!$C$122,Lists!$N$4:$N$30))</f>
        <v/>
      </c>
      <c r="AF123">
        <f>IF(B123="","",IF(U123="","missing",IF(U123&gt;AE123,"Y","N")))</f>
        <v/>
      </c>
    </row>
    <row r="124">
      <c r="A124" s="92" t="n"/>
      <c r="B124" s="92" t="n"/>
      <c r="C124" s="91" t="n"/>
      <c r="D124" s="92" t="n"/>
      <c r="E124" s="92" t="n"/>
      <c r="F124" s="92" t="n"/>
      <c r="G124" s="92" t="n"/>
      <c r="H124" s="92" t="n"/>
      <c r="I124" s="92" t="n"/>
      <c r="J124" s="92" t="n"/>
      <c r="K124" s="92" t="n"/>
      <c r="L124" s="92" t="n"/>
      <c r="M124" s="92" t="n"/>
      <c r="N124" s="92" t="n"/>
      <c r="O124" s="92" t="n"/>
      <c r="P124" s="92" t="n"/>
      <c r="Q124" s="92" t="n"/>
      <c r="R124" s="94" t="n"/>
      <c r="S124" s="91" t="n"/>
      <c r="T124" s="94" t="n"/>
      <c r="U124" s="91" t="n"/>
      <c r="V124" s="92" t="n"/>
      <c r="W124" s="92" t="n"/>
      <c r="X124" s="94" t="n"/>
      <c r="Y124" s="91" t="n"/>
      <c r="Z124" s="92" t="n"/>
      <c r="AB124">
        <f>IF(B124="","",IFERROR(INDEX(Schedule!$N$7:$N$18,MATCH(B124,Schedule!$A$7:$A$18,0)),"not in schedule"))</f>
        <v/>
      </c>
      <c r="AC124" s="31">
        <f>IF(B124="","",N(R124)-N(X124))</f>
        <v/>
      </c>
      <c r="AD124" s="84">
        <f>IF(B124="","",IF(Z124&lt;&gt;"",Z124,IF(N(G124)&gt;0,N(N124)/G124,"")))</f>
        <v/>
      </c>
      <c r="AE124" s="17">
        <f>IF(OR(B124="",C124=""),"",WORKDAY(C124,Inputs!$C$122,Lists!$N$4:$N$30))</f>
        <v/>
      </c>
      <c r="AF124">
        <f>IF(B124="","",IF(U124="","missing",IF(U124&gt;AE124,"Y","N")))</f>
        <v/>
      </c>
    </row>
    <row r="125">
      <c r="A125" s="92" t="n"/>
      <c r="B125" s="92" t="n"/>
      <c r="C125" s="91" t="n"/>
      <c r="D125" s="92" t="n"/>
      <c r="E125" s="92" t="n"/>
      <c r="F125" s="92" t="n"/>
      <c r="G125" s="92" t="n"/>
      <c r="H125" s="92" t="n"/>
      <c r="I125" s="92" t="n"/>
      <c r="J125" s="92" t="n"/>
      <c r="K125" s="92" t="n"/>
      <c r="L125" s="92" t="n"/>
      <c r="M125" s="92" t="n"/>
      <c r="N125" s="92" t="n"/>
      <c r="O125" s="92" t="n"/>
      <c r="P125" s="92" t="n"/>
      <c r="Q125" s="92" t="n"/>
      <c r="R125" s="94" t="n"/>
      <c r="S125" s="91" t="n"/>
      <c r="T125" s="94" t="n"/>
      <c r="U125" s="91" t="n"/>
      <c r="V125" s="92" t="n"/>
      <c r="W125" s="92" t="n"/>
      <c r="X125" s="94" t="n"/>
      <c r="Y125" s="91" t="n"/>
      <c r="Z125" s="92" t="n"/>
      <c r="AB125">
        <f>IF(B125="","",IFERROR(INDEX(Schedule!$N$7:$N$18,MATCH(B125,Schedule!$A$7:$A$18,0)),"not in schedule"))</f>
        <v/>
      </c>
      <c r="AC125" s="31">
        <f>IF(B125="","",N(R125)-N(X125))</f>
        <v/>
      </c>
      <c r="AD125" s="84">
        <f>IF(B125="","",IF(Z125&lt;&gt;"",Z125,IF(N(G125)&gt;0,N(N125)/G125,"")))</f>
        <v/>
      </c>
      <c r="AE125" s="17">
        <f>IF(OR(B125="",C125=""),"",WORKDAY(C125,Inputs!$C$122,Lists!$N$4:$N$30))</f>
        <v/>
      </c>
      <c r="AF125">
        <f>IF(B125="","",IF(U125="","missing",IF(U125&gt;AE125,"Y","N")))</f>
        <v/>
      </c>
    </row>
    <row r="126">
      <c r="A126" s="92" t="n"/>
      <c r="B126" s="92" t="n"/>
      <c r="C126" s="91" t="n"/>
      <c r="D126" s="92" t="n"/>
      <c r="E126" s="92" t="n"/>
      <c r="F126" s="92" t="n"/>
      <c r="G126" s="92" t="n"/>
      <c r="H126" s="92" t="n"/>
      <c r="I126" s="92" t="n"/>
      <c r="J126" s="92" t="n"/>
      <c r="K126" s="92" t="n"/>
      <c r="L126" s="92" t="n"/>
      <c r="M126" s="92" t="n"/>
      <c r="N126" s="92" t="n"/>
      <c r="O126" s="92" t="n"/>
      <c r="P126" s="92" t="n"/>
      <c r="Q126" s="92" t="n"/>
      <c r="R126" s="94" t="n"/>
      <c r="S126" s="91" t="n"/>
      <c r="T126" s="94" t="n"/>
      <c r="U126" s="91" t="n"/>
      <c r="V126" s="92" t="n"/>
      <c r="W126" s="92" t="n"/>
      <c r="X126" s="94" t="n"/>
      <c r="Y126" s="91" t="n"/>
      <c r="Z126" s="92" t="n"/>
      <c r="AB126">
        <f>IF(B126="","",IFERROR(INDEX(Schedule!$N$7:$N$18,MATCH(B126,Schedule!$A$7:$A$18,0)),"not in schedule"))</f>
        <v/>
      </c>
      <c r="AC126" s="31">
        <f>IF(B126="","",N(R126)-N(X126))</f>
        <v/>
      </c>
      <c r="AD126" s="84">
        <f>IF(B126="","",IF(Z126&lt;&gt;"",Z126,IF(N(G126)&gt;0,N(N126)/G126,"")))</f>
        <v/>
      </c>
      <c r="AE126" s="17">
        <f>IF(OR(B126="",C126=""),"",WORKDAY(C126,Inputs!$C$122,Lists!$N$4:$N$30))</f>
        <v/>
      </c>
      <c r="AF126">
        <f>IF(B126="","",IF(U126="","missing",IF(U126&gt;AE126,"Y","N")))</f>
        <v/>
      </c>
    </row>
    <row r="127">
      <c r="A127" s="92" t="n"/>
      <c r="B127" s="92" t="n"/>
      <c r="C127" s="91" t="n"/>
      <c r="D127" s="92" t="n"/>
      <c r="E127" s="92" t="n"/>
      <c r="F127" s="92" t="n"/>
      <c r="G127" s="92" t="n"/>
      <c r="H127" s="92" t="n"/>
      <c r="I127" s="92" t="n"/>
      <c r="J127" s="92" t="n"/>
      <c r="K127" s="92" t="n"/>
      <c r="L127" s="92" t="n"/>
      <c r="M127" s="92" t="n"/>
      <c r="N127" s="92" t="n"/>
      <c r="O127" s="92" t="n"/>
      <c r="P127" s="92" t="n"/>
      <c r="Q127" s="92" t="n"/>
      <c r="R127" s="94" t="n"/>
      <c r="S127" s="91" t="n"/>
      <c r="T127" s="94" t="n"/>
      <c r="U127" s="91" t="n"/>
      <c r="V127" s="92" t="n"/>
      <c r="W127" s="92" t="n"/>
      <c r="X127" s="94" t="n"/>
      <c r="Y127" s="91" t="n"/>
      <c r="Z127" s="92" t="n"/>
      <c r="AB127">
        <f>IF(B127="","",IFERROR(INDEX(Schedule!$N$7:$N$18,MATCH(B127,Schedule!$A$7:$A$18,0)),"not in schedule"))</f>
        <v/>
      </c>
      <c r="AC127" s="31">
        <f>IF(B127="","",N(R127)-N(X127))</f>
        <v/>
      </c>
      <c r="AD127" s="84">
        <f>IF(B127="","",IF(Z127&lt;&gt;"",Z127,IF(N(G127)&gt;0,N(N127)/G127,"")))</f>
        <v/>
      </c>
      <c r="AE127" s="17">
        <f>IF(OR(B127="",C127=""),"",WORKDAY(C127,Inputs!$C$122,Lists!$N$4:$N$30))</f>
        <v/>
      </c>
      <c r="AF127">
        <f>IF(B127="","",IF(U127="","missing",IF(U127&gt;AE127,"Y","N")))</f>
        <v/>
      </c>
    </row>
    <row r="128">
      <c r="A128" s="92" t="n"/>
      <c r="B128" s="92" t="n"/>
      <c r="C128" s="91" t="n"/>
      <c r="D128" s="92" t="n"/>
      <c r="E128" s="92" t="n"/>
      <c r="F128" s="92" t="n"/>
      <c r="G128" s="92" t="n"/>
      <c r="H128" s="92" t="n"/>
      <c r="I128" s="92" t="n"/>
      <c r="J128" s="92" t="n"/>
      <c r="K128" s="92" t="n"/>
      <c r="L128" s="92" t="n"/>
      <c r="M128" s="92" t="n"/>
      <c r="N128" s="92" t="n"/>
      <c r="O128" s="92" t="n"/>
      <c r="P128" s="92" t="n"/>
      <c r="Q128" s="92" t="n"/>
      <c r="R128" s="94" t="n"/>
      <c r="S128" s="91" t="n"/>
      <c r="T128" s="94" t="n"/>
      <c r="U128" s="91" t="n"/>
      <c r="V128" s="92" t="n"/>
      <c r="W128" s="92" t="n"/>
      <c r="X128" s="94" t="n"/>
      <c r="Y128" s="91" t="n"/>
      <c r="Z128" s="92" t="n"/>
      <c r="AB128">
        <f>IF(B128="","",IFERROR(INDEX(Schedule!$N$7:$N$18,MATCH(B128,Schedule!$A$7:$A$18,0)),"not in schedule"))</f>
        <v/>
      </c>
      <c r="AC128" s="31">
        <f>IF(B128="","",N(R128)-N(X128))</f>
        <v/>
      </c>
      <c r="AD128" s="84">
        <f>IF(B128="","",IF(Z128&lt;&gt;"",Z128,IF(N(G128)&gt;0,N(N128)/G128,"")))</f>
        <v/>
      </c>
      <c r="AE128" s="17">
        <f>IF(OR(B128="",C128=""),"",WORKDAY(C128,Inputs!$C$122,Lists!$N$4:$N$30))</f>
        <v/>
      </c>
      <c r="AF128">
        <f>IF(B128="","",IF(U128="","missing",IF(U128&gt;AE128,"Y","N")))</f>
        <v/>
      </c>
    </row>
    <row r="129">
      <c r="A129" s="92" t="n"/>
      <c r="B129" s="92" t="n"/>
      <c r="C129" s="91" t="n"/>
      <c r="D129" s="92" t="n"/>
      <c r="E129" s="92" t="n"/>
      <c r="F129" s="92" t="n"/>
      <c r="G129" s="92" t="n"/>
      <c r="H129" s="92" t="n"/>
      <c r="I129" s="92" t="n"/>
      <c r="J129" s="92" t="n"/>
      <c r="K129" s="92" t="n"/>
      <c r="L129" s="92" t="n"/>
      <c r="M129" s="92" t="n"/>
      <c r="N129" s="92" t="n"/>
      <c r="O129" s="92" t="n"/>
      <c r="P129" s="92" t="n"/>
      <c r="Q129" s="92" t="n"/>
      <c r="R129" s="94" t="n"/>
      <c r="S129" s="91" t="n"/>
      <c r="T129" s="94" t="n"/>
      <c r="U129" s="91" t="n"/>
      <c r="V129" s="92" t="n"/>
      <c r="W129" s="92" t="n"/>
      <c r="X129" s="94" t="n"/>
      <c r="Y129" s="91" t="n"/>
      <c r="Z129" s="92" t="n"/>
      <c r="AB129">
        <f>IF(B129="","",IFERROR(INDEX(Schedule!$N$7:$N$18,MATCH(B129,Schedule!$A$7:$A$18,0)),"not in schedule"))</f>
        <v/>
      </c>
      <c r="AC129" s="31">
        <f>IF(B129="","",N(R129)-N(X129))</f>
        <v/>
      </c>
      <c r="AD129" s="84">
        <f>IF(B129="","",IF(Z129&lt;&gt;"",Z129,IF(N(G129)&gt;0,N(N129)/G129,"")))</f>
        <v/>
      </c>
      <c r="AE129" s="17">
        <f>IF(OR(B129="",C129=""),"",WORKDAY(C129,Inputs!$C$122,Lists!$N$4:$N$30))</f>
        <v/>
      </c>
      <c r="AF129">
        <f>IF(B129="","",IF(U129="","missing",IF(U129&gt;AE129,"Y","N")))</f>
        <v/>
      </c>
    </row>
    <row r="130">
      <c r="A130" s="92" t="n"/>
      <c r="B130" s="92" t="n"/>
      <c r="C130" s="91" t="n"/>
      <c r="D130" s="92" t="n"/>
      <c r="E130" s="92" t="n"/>
      <c r="F130" s="92" t="n"/>
      <c r="G130" s="92" t="n"/>
      <c r="H130" s="92" t="n"/>
      <c r="I130" s="92" t="n"/>
      <c r="J130" s="92" t="n"/>
      <c r="K130" s="92" t="n"/>
      <c r="L130" s="92" t="n"/>
      <c r="M130" s="92" t="n"/>
      <c r="N130" s="92" t="n"/>
      <c r="O130" s="92" t="n"/>
      <c r="P130" s="92" t="n"/>
      <c r="Q130" s="92" t="n"/>
      <c r="R130" s="94" t="n"/>
      <c r="S130" s="91" t="n"/>
      <c r="T130" s="94" t="n"/>
      <c r="U130" s="91" t="n"/>
      <c r="V130" s="92" t="n"/>
      <c r="W130" s="92" t="n"/>
      <c r="X130" s="94" t="n"/>
      <c r="Y130" s="91" t="n"/>
      <c r="Z130" s="92" t="n"/>
      <c r="AB130">
        <f>IF(B130="","",IFERROR(INDEX(Schedule!$N$7:$N$18,MATCH(B130,Schedule!$A$7:$A$18,0)),"not in schedule"))</f>
        <v/>
      </c>
      <c r="AC130" s="31">
        <f>IF(B130="","",N(R130)-N(X130))</f>
        <v/>
      </c>
      <c r="AD130" s="84">
        <f>IF(B130="","",IF(Z130&lt;&gt;"",Z130,IF(N(G130)&gt;0,N(N130)/G130,"")))</f>
        <v/>
      </c>
      <c r="AE130" s="17">
        <f>IF(OR(B130="",C130=""),"",WORKDAY(C130,Inputs!$C$122,Lists!$N$4:$N$30))</f>
        <v/>
      </c>
      <c r="AF130">
        <f>IF(B130="","",IF(U130="","missing",IF(U130&gt;AE130,"Y","N")))</f>
        <v/>
      </c>
    </row>
    <row r="131">
      <c r="A131" s="92" t="n"/>
      <c r="B131" s="92" t="n"/>
      <c r="C131" s="91" t="n"/>
      <c r="D131" s="92" t="n"/>
      <c r="E131" s="92" t="n"/>
      <c r="F131" s="92" t="n"/>
      <c r="G131" s="92" t="n"/>
      <c r="H131" s="92" t="n"/>
      <c r="I131" s="92" t="n"/>
      <c r="J131" s="92" t="n"/>
      <c r="K131" s="92" t="n"/>
      <c r="L131" s="92" t="n"/>
      <c r="M131" s="92" t="n"/>
      <c r="N131" s="92" t="n"/>
      <c r="O131" s="92" t="n"/>
      <c r="P131" s="92" t="n"/>
      <c r="Q131" s="92" t="n"/>
      <c r="R131" s="94" t="n"/>
      <c r="S131" s="91" t="n"/>
      <c r="T131" s="94" t="n"/>
      <c r="U131" s="91" t="n"/>
      <c r="V131" s="92" t="n"/>
      <c r="W131" s="92" t="n"/>
      <c r="X131" s="94" t="n"/>
      <c r="Y131" s="91" t="n"/>
      <c r="Z131" s="92" t="n"/>
      <c r="AB131">
        <f>IF(B131="","",IFERROR(INDEX(Schedule!$N$7:$N$18,MATCH(B131,Schedule!$A$7:$A$18,0)),"not in schedule"))</f>
        <v/>
      </c>
      <c r="AC131" s="31">
        <f>IF(B131="","",N(R131)-N(X131))</f>
        <v/>
      </c>
      <c r="AD131" s="84">
        <f>IF(B131="","",IF(Z131&lt;&gt;"",Z131,IF(N(G131)&gt;0,N(N131)/G131,"")))</f>
        <v/>
      </c>
      <c r="AE131" s="17">
        <f>IF(OR(B131="",C131=""),"",WORKDAY(C131,Inputs!$C$122,Lists!$N$4:$N$30))</f>
        <v/>
      </c>
      <c r="AF131">
        <f>IF(B131="","",IF(U131="","missing",IF(U131&gt;AE131,"Y","N")))</f>
        <v/>
      </c>
    </row>
    <row r="132">
      <c r="A132" s="92" t="n"/>
      <c r="B132" s="92" t="n"/>
      <c r="C132" s="91" t="n"/>
      <c r="D132" s="92" t="n"/>
      <c r="E132" s="92" t="n"/>
      <c r="F132" s="92" t="n"/>
      <c r="G132" s="92" t="n"/>
      <c r="H132" s="92" t="n"/>
      <c r="I132" s="92" t="n"/>
      <c r="J132" s="92" t="n"/>
      <c r="K132" s="92" t="n"/>
      <c r="L132" s="92" t="n"/>
      <c r="M132" s="92" t="n"/>
      <c r="N132" s="92" t="n"/>
      <c r="O132" s="92" t="n"/>
      <c r="P132" s="92" t="n"/>
      <c r="Q132" s="92" t="n"/>
      <c r="R132" s="94" t="n"/>
      <c r="S132" s="91" t="n"/>
      <c r="T132" s="94" t="n"/>
      <c r="U132" s="91" t="n"/>
      <c r="V132" s="92" t="n"/>
      <c r="W132" s="92" t="n"/>
      <c r="X132" s="94" t="n"/>
      <c r="Y132" s="91" t="n"/>
      <c r="Z132" s="92" t="n"/>
      <c r="AB132">
        <f>IF(B132="","",IFERROR(INDEX(Schedule!$N$7:$N$18,MATCH(B132,Schedule!$A$7:$A$18,0)),"not in schedule"))</f>
        <v/>
      </c>
      <c r="AC132" s="31">
        <f>IF(B132="","",N(R132)-N(X132))</f>
        <v/>
      </c>
      <c r="AD132" s="84">
        <f>IF(B132="","",IF(Z132&lt;&gt;"",Z132,IF(N(G132)&gt;0,N(N132)/G132,"")))</f>
        <v/>
      </c>
      <c r="AE132" s="17">
        <f>IF(OR(B132="",C132=""),"",WORKDAY(C132,Inputs!$C$122,Lists!$N$4:$N$30))</f>
        <v/>
      </c>
      <c r="AF132">
        <f>IF(B132="","",IF(U132="","missing",IF(U132&gt;AE132,"Y","N")))</f>
        <v/>
      </c>
    </row>
    <row r="133">
      <c r="A133" s="92" t="n"/>
      <c r="B133" s="92" t="n"/>
      <c r="C133" s="91" t="n"/>
      <c r="D133" s="92" t="n"/>
      <c r="E133" s="92" t="n"/>
      <c r="F133" s="92" t="n"/>
      <c r="G133" s="92" t="n"/>
      <c r="H133" s="92" t="n"/>
      <c r="I133" s="92" t="n"/>
      <c r="J133" s="92" t="n"/>
      <c r="K133" s="92" t="n"/>
      <c r="L133" s="92" t="n"/>
      <c r="M133" s="92" t="n"/>
      <c r="N133" s="92" t="n"/>
      <c r="O133" s="92" t="n"/>
      <c r="P133" s="92" t="n"/>
      <c r="Q133" s="92" t="n"/>
      <c r="R133" s="94" t="n"/>
      <c r="S133" s="91" t="n"/>
      <c r="T133" s="94" t="n"/>
      <c r="U133" s="91" t="n"/>
      <c r="V133" s="92" t="n"/>
      <c r="W133" s="92" t="n"/>
      <c r="X133" s="94" t="n"/>
      <c r="Y133" s="91" t="n"/>
      <c r="Z133" s="92" t="n"/>
      <c r="AB133">
        <f>IF(B133="","",IFERROR(INDEX(Schedule!$N$7:$N$18,MATCH(B133,Schedule!$A$7:$A$18,0)),"not in schedule"))</f>
        <v/>
      </c>
      <c r="AC133" s="31">
        <f>IF(B133="","",N(R133)-N(X133))</f>
        <v/>
      </c>
      <c r="AD133" s="84">
        <f>IF(B133="","",IF(Z133&lt;&gt;"",Z133,IF(N(G133)&gt;0,N(N133)/G133,"")))</f>
        <v/>
      </c>
      <c r="AE133" s="17">
        <f>IF(OR(B133="",C133=""),"",WORKDAY(C133,Inputs!$C$122,Lists!$N$4:$N$30))</f>
        <v/>
      </c>
      <c r="AF133">
        <f>IF(B133="","",IF(U133="","missing",IF(U133&gt;AE133,"Y","N")))</f>
        <v/>
      </c>
    </row>
    <row r="134">
      <c r="A134" s="92" t="n"/>
      <c r="B134" s="92" t="n"/>
      <c r="C134" s="91" t="n"/>
      <c r="D134" s="92" t="n"/>
      <c r="E134" s="92" t="n"/>
      <c r="F134" s="92" t="n"/>
      <c r="G134" s="92" t="n"/>
      <c r="H134" s="92" t="n"/>
      <c r="I134" s="92" t="n"/>
      <c r="J134" s="92" t="n"/>
      <c r="K134" s="92" t="n"/>
      <c r="L134" s="92" t="n"/>
      <c r="M134" s="92" t="n"/>
      <c r="N134" s="92" t="n"/>
      <c r="O134" s="92" t="n"/>
      <c r="P134" s="92" t="n"/>
      <c r="Q134" s="92" t="n"/>
      <c r="R134" s="94" t="n"/>
      <c r="S134" s="91" t="n"/>
      <c r="T134" s="94" t="n"/>
      <c r="U134" s="91" t="n"/>
      <c r="V134" s="92" t="n"/>
      <c r="W134" s="92" t="n"/>
      <c r="X134" s="94" t="n"/>
      <c r="Y134" s="91" t="n"/>
      <c r="Z134" s="92" t="n"/>
      <c r="AB134">
        <f>IF(B134="","",IFERROR(INDEX(Schedule!$N$7:$N$18,MATCH(B134,Schedule!$A$7:$A$18,0)),"not in schedule"))</f>
        <v/>
      </c>
      <c r="AC134" s="31">
        <f>IF(B134="","",N(R134)-N(X134))</f>
        <v/>
      </c>
      <c r="AD134" s="84">
        <f>IF(B134="","",IF(Z134&lt;&gt;"",Z134,IF(N(G134)&gt;0,N(N134)/G134,"")))</f>
        <v/>
      </c>
      <c r="AE134" s="17">
        <f>IF(OR(B134="",C134=""),"",WORKDAY(C134,Inputs!$C$122,Lists!$N$4:$N$30))</f>
        <v/>
      </c>
      <c r="AF134">
        <f>IF(B134="","",IF(U134="","missing",IF(U134&gt;AE134,"Y","N")))</f>
        <v/>
      </c>
    </row>
    <row r="135">
      <c r="A135" s="92" t="n"/>
      <c r="B135" s="92" t="n"/>
      <c r="C135" s="91" t="n"/>
      <c r="D135" s="92" t="n"/>
      <c r="E135" s="92" t="n"/>
      <c r="F135" s="92" t="n"/>
      <c r="G135" s="92" t="n"/>
      <c r="H135" s="92" t="n"/>
      <c r="I135" s="92" t="n"/>
      <c r="J135" s="92" t="n"/>
      <c r="K135" s="92" t="n"/>
      <c r="L135" s="92" t="n"/>
      <c r="M135" s="92" t="n"/>
      <c r="N135" s="92" t="n"/>
      <c r="O135" s="92" t="n"/>
      <c r="P135" s="92" t="n"/>
      <c r="Q135" s="92" t="n"/>
      <c r="R135" s="94" t="n"/>
      <c r="S135" s="91" t="n"/>
      <c r="T135" s="94" t="n"/>
      <c r="U135" s="91" t="n"/>
      <c r="V135" s="92" t="n"/>
      <c r="W135" s="92" t="n"/>
      <c r="X135" s="94" t="n"/>
      <c r="Y135" s="91" t="n"/>
      <c r="Z135" s="92" t="n"/>
      <c r="AB135">
        <f>IF(B135="","",IFERROR(INDEX(Schedule!$N$7:$N$18,MATCH(B135,Schedule!$A$7:$A$18,0)),"not in schedule"))</f>
        <v/>
      </c>
      <c r="AC135" s="31">
        <f>IF(B135="","",N(R135)-N(X135))</f>
        <v/>
      </c>
      <c r="AD135" s="84">
        <f>IF(B135="","",IF(Z135&lt;&gt;"",Z135,IF(N(G135)&gt;0,N(N135)/G135,"")))</f>
        <v/>
      </c>
      <c r="AE135" s="17">
        <f>IF(OR(B135="",C135=""),"",WORKDAY(C135,Inputs!$C$122,Lists!$N$4:$N$30))</f>
        <v/>
      </c>
      <c r="AF135">
        <f>IF(B135="","",IF(U135="","missing",IF(U135&gt;AE135,"Y","N")))</f>
        <v/>
      </c>
    </row>
    <row r="136">
      <c r="A136" s="92" t="n"/>
      <c r="B136" s="92" t="n"/>
      <c r="C136" s="91" t="n"/>
      <c r="D136" s="92" t="n"/>
      <c r="E136" s="92" t="n"/>
      <c r="F136" s="92" t="n"/>
      <c r="G136" s="92" t="n"/>
      <c r="H136" s="92" t="n"/>
      <c r="I136" s="92" t="n"/>
      <c r="J136" s="92" t="n"/>
      <c r="K136" s="92" t="n"/>
      <c r="L136" s="92" t="n"/>
      <c r="M136" s="92" t="n"/>
      <c r="N136" s="92" t="n"/>
      <c r="O136" s="92" t="n"/>
      <c r="P136" s="92" t="n"/>
      <c r="Q136" s="92" t="n"/>
      <c r="R136" s="94" t="n"/>
      <c r="S136" s="91" t="n"/>
      <c r="T136" s="94" t="n"/>
      <c r="U136" s="91" t="n"/>
      <c r="V136" s="92" t="n"/>
      <c r="W136" s="92" t="n"/>
      <c r="X136" s="94" t="n"/>
      <c r="Y136" s="91" t="n"/>
      <c r="Z136" s="92" t="n"/>
      <c r="AB136">
        <f>IF(B136="","",IFERROR(INDEX(Schedule!$N$7:$N$18,MATCH(B136,Schedule!$A$7:$A$18,0)),"not in schedule"))</f>
        <v/>
      </c>
      <c r="AC136" s="31">
        <f>IF(B136="","",N(R136)-N(X136))</f>
        <v/>
      </c>
      <c r="AD136" s="84">
        <f>IF(B136="","",IF(Z136&lt;&gt;"",Z136,IF(N(G136)&gt;0,N(N136)/G136,"")))</f>
        <v/>
      </c>
      <c r="AE136" s="17">
        <f>IF(OR(B136="",C136=""),"",WORKDAY(C136,Inputs!$C$122,Lists!$N$4:$N$30))</f>
        <v/>
      </c>
      <c r="AF136">
        <f>IF(B136="","",IF(U136="","missing",IF(U136&gt;AE136,"Y","N")))</f>
        <v/>
      </c>
    </row>
    <row r="137">
      <c r="A137" s="92" t="n"/>
      <c r="B137" s="92" t="n"/>
      <c r="C137" s="91" t="n"/>
      <c r="D137" s="92" t="n"/>
      <c r="E137" s="92" t="n"/>
      <c r="F137" s="92" t="n"/>
      <c r="G137" s="92" t="n"/>
      <c r="H137" s="92" t="n"/>
      <c r="I137" s="92" t="n"/>
      <c r="J137" s="92" t="n"/>
      <c r="K137" s="92" t="n"/>
      <c r="L137" s="92" t="n"/>
      <c r="M137" s="92" t="n"/>
      <c r="N137" s="92" t="n"/>
      <c r="O137" s="92" t="n"/>
      <c r="P137" s="92" t="n"/>
      <c r="Q137" s="92" t="n"/>
      <c r="R137" s="94" t="n"/>
      <c r="S137" s="91" t="n"/>
      <c r="T137" s="94" t="n"/>
      <c r="U137" s="91" t="n"/>
      <c r="V137" s="92" t="n"/>
      <c r="W137" s="92" t="n"/>
      <c r="X137" s="94" t="n"/>
      <c r="Y137" s="91" t="n"/>
      <c r="Z137" s="92" t="n"/>
      <c r="AB137">
        <f>IF(B137="","",IFERROR(INDEX(Schedule!$N$7:$N$18,MATCH(B137,Schedule!$A$7:$A$18,0)),"not in schedule"))</f>
        <v/>
      </c>
      <c r="AC137" s="31">
        <f>IF(B137="","",N(R137)-N(X137))</f>
        <v/>
      </c>
      <c r="AD137" s="84">
        <f>IF(B137="","",IF(Z137&lt;&gt;"",Z137,IF(N(G137)&gt;0,N(N137)/G137,"")))</f>
        <v/>
      </c>
      <c r="AE137" s="17">
        <f>IF(OR(B137="",C137=""),"",WORKDAY(C137,Inputs!$C$122,Lists!$N$4:$N$30))</f>
        <v/>
      </c>
      <c r="AF137">
        <f>IF(B137="","",IF(U137="","missing",IF(U137&gt;AE137,"Y","N")))</f>
        <v/>
      </c>
    </row>
    <row r="138">
      <c r="A138" s="92" t="n"/>
      <c r="B138" s="92" t="n"/>
      <c r="C138" s="91" t="n"/>
      <c r="D138" s="92" t="n"/>
      <c r="E138" s="92" t="n"/>
      <c r="F138" s="92" t="n"/>
      <c r="G138" s="92" t="n"/>
      <c r="H138" s="92" t="n"/>
      <c r="I138" s="92" t="n"/>
      <c r="J138" s="92" t="n"/>
      <c r="K138" s="92" t="n"/>
      <c r="L138" s="92" t="n"/>
      <c r="M138" s="92" t="n"/>
      <c r="N138" s="92" t="n"/>
      <c r="O138" s="92" t="n"/>
      <c r="P138" s="92" t="n"/>
      <c r="Q138" s="92" t="n"/>
      <c r="R138" s="94" t="n"/>
      <c r="S138" s="91" t="n"/>
      <c r="T138" s="94" t="n"/>
      <c r="U138" s="91" t="n"/>
      <c r="V138" s="92" t="n"/>
      <c r="W138" s="92" t="n"/>
      <c r="X138" s="94" t="n"/>
      <c r="Y138" s="91" t="n"/>
      <c r="Z138" s="92" t="n"/>
      <c r="AB138">
        <f>IF(B138="","",IFERROR(INDEX(Schedule!$N$7:$N$18,MATCH(B138,Schedule!$A$7:$A$18,0)),"not in schedule"))</f>
        <v/>
      </c>
      <c r="AC138" s="31">
        <f>IF(B138="","",N(R138)-N(X138))</f>
        <v/>
      </c>
      <c r="AD138" s="84">
        <f>IF(B138="","",IF(Z138&lt;&gt;"",Z138,IF(N(G138)&gt;0,N(N138)/G138,"")))</f>
        <v/>
      </c>
      <c r="AE138" s="17">
        <f>IF(OR(B138="",C138=""),"",WORKDAY(C138,Inputs!$C$122,Lists!$N$4:$N$30))</f>
        <v/>
      </c>
      <c r="AF138">
        <f>IF(B138="","",IF(U138="","missing",IF(U138&gt;AE138,"Y","N")))</f>
        <v/>
      </c>
    </row>
    <row r="139">
      <c r="A139" s="92" t="n"/>
      <c r="B139" s="92" t="n"/>
      <c r="C139" s="91" t="n"/>
      <c r="D139" s="92" t="n"/>
      <c r="E139" s="92" t="n"/>
      <c r="F139" s="92" t="n"/>
      <c r="G139" s="92" t="n"/>
      <c r="H139" s="92" t="n"/>
      <c r="I139" s="92" t="n"/>
      <c r="J139" s="92" t="n"/>
      <c r="K139" s="92" t="n"/>
      <c r="L139" s="92" t="n"/>
      <c r="M139" s="92" t="n"/>
      <c r="N139" s="92" t="n"/>
      <c r="O139" s="92" t="n"/>
      <c r="P139" s="92" t="n"/>
      <c r="Q139" s="92" t="n"/>
      <c r="R139" s="94" t="n"/>
      <c r="S139" s="91" t="n"/>
      <c r="T139" s="94" t="n"/>
      <c r="U139" s="91" t="n"/>
      <c r="V139" s="92" t="n"/>
      <c r="W139" s="92" t="n"/>
      <c r="X139" s="94" t="n"/>
      <c r="Y139" s="91" t="n"/>
      <c r="Z139" s="92" t="n"/>
      <c r="AB139">
        <f>IF(B139="","",IFERROR(INDEX(Schedule!$N$7:$N$18,MATCH(B139,Schedule!$A$7:$A$18,0)),"not in schedule"))</f>
        <v/>
      </c>
      <c r="AC139" s="31">
        <f>IF(B139="","",N(R139)-N(X139))</f>
        <v/>
      </c>
      <c r="AD139" s="84">
        <f>IF(B139="","",IF(Z139&lt;&gt;"",Z139,IF(N(G139)&gt;0,N(N139)/G139,"")))</f>
        <v/>
      </c>
      <c r="AE139" s="17">
        <f>IF(OR(B139="",C139=""),"",WORKDAY(C139,Inputs!$C$122,Lists!$N$4:$N$30))</f>
        <v/>
      </c>
      <c r="AF139">
        <f>IF(B139="","",IF(U139="","missing",IF(U139&gt;AE139,"Y","N")))</f>
        <v/>
      </c>
    </row>
    <row r="140">
      <c r="A140" s="92" t="n"/>
      <c r="B140" s="92" t="n"/>
      <c r="C140" s="91" t="n"/>
      <c r="D140" s="92" t="n"/>
      <c r="E140" s="92" t="n"/>
      <c r="F140" s="92" t="n"/>
      <c r="G140" s="92" t="n"/>
      <c r="H140" s="92" t="n"/>
      <c r="I140" s="92" t="n"/>
      <c r="J140" s="92" t="n"/>
      <c r="K140" s="92" t="n"/>
      <c r="L140" s="92" t="n"/>
      <c r="M140" s="92" t="n"/>
      <c r="N140" s="92" t="n"/>
      <c r="O140" s="92" t="n"/>
      <c r="P140" s="92" t="n"/>
      <c r="Q140" s="92" t="n"/>
      <c r="R140" s="94" t="n"/>
      <c r="S140" s="91" t="n"/>
      <c r="T140" s="94" t="n"/>
      <c r="U140" s="91" t="n"/>
      <c r="V140" s="92" t="n"/>
      <c r="W140" s="92" t="n"/>
      <c r="X140" s="94" t="n"/>
      <c r="Y140" s="91" t="n"/>
      <c r="Z140" s="92" t="n"/>
      <c r="AB140">
        <f>IF(B140="","",IFERROR(INDEX(Schedule!$N$7:$N$18,MATCH(B140,Schedule!$A$7:$A$18,0)),"not in schedule"))</f>
        <v/>
      </c>
      <c r="AC140" s="31">
        <f>IF(B140="","",N(R140)-N(X140))</f>
        <v/>
      </c>
      <c r="AD140" s="84">
        <f>IF(B140="","",IF(Z140&lt;&gt;"",Z140,IF(N(G140)&gt;0,N(N140)/G140,"")))</f>
        <v/>
      </c>
      <c r="AE140" s="17">
        <f>IF(OR(B140="",C140=""),"",WORKDAY(C140,Inputs!$C$122,Lists!$N$4:$N$30))</f>
        <v/>
      </c>
      <c r="AF140">
        <f>IF(B140="","",IF(U140="","missing",IF(U140&gt;AE140,"Y","N")))</f>
        <v/>
      </c>
    </row>
    <row r="141">
      <c r="A141" s="92" t="n"/>
      <c r="B141" s="92" t="n"/>
      <c r="C141" s="91" t="n"/>
      <c r="D141" s="92" t="n"/>
      <c r="E141" s="92" t="n"/>
      <c r="F141" s="92" t="n"/>
      <c r="G141" s="92" t="n"/>
      <c r="H141" s="92" t="n"/>
      <c r="I141" s="92" t="n"/>
      <c r="J141" s="92" t="n"/>
      <c r="K141" s="92" t="n"/>
      <c r="L141" s="92" t="n"/>
      <c r="M141" s="92" t="n"/>
      <c r="N141" s="92" t="n"/>
      <c r="O141" s="92" t="n"/>
      <c r="P141" s="92" t="n"/>
      <c r="Q141" s="92" t="n"/>
      <c r="R141" s="94" t="n"/>
      <c r="S141" s="91" t="n"/>
      <c r="T141" s="94" t="n"/>
      <c r="U141" s="91" t="n"/>
      <c r="V141" s="92" t="n"/>
      <c r="W141" s="92" t="n"/>
      <c r="X141" s="94" t="n"/>
      <c r="Y141" s="91" t="n"/>
      <c r="Z141" s="92" t="n"/>
      <c r="AB141">
        <f>IF(B141="","",IFERROR(INDEX(Schedule!$N$7:$N$18,MATCH(B141,Schedule!$A$7:$A$18,0)),"not in schedule"))</f>
        <v/>
      </c>
      <c r="AC141" s="31">
        <f>IF(B141="","",N(R141)-N(X141))</f>
        <v/>
      </c>
      <c r="AD141" s="84">
        <f>IF(B141="","",IF(Z141&lt;&gt;"",Z141,IF(N(G141)&gt;0,N(N141)/G141,"")))</f>
        <v/>
      </c>
      <c r="AE141" s="17">
        <f>IF(OR(B141="",C141=""),"",WORKDAY(C141,Inputs!$C$122,Lists!$N$4:$N$30))</f>
        <v/>
      </c>
      <c r="AF141">
        <f>IF(B141="","",IF(U141="","missing",IF(U141&gt;AE141,"Y","N")))</f>
        <v/>
      </c>
    </row>
    <row r="142">
      <c r="A142" s="92" t="n"/>
      <c r="B142" s="92" t="n"/>
      <c r="C142" s="91" t="n"/>
      <c r="D142" s="92" t="n"/>
      <c r="E142" s="92" t="n"/>
      <c r="F142" s="92" t="n"/>
      <c r="G142" s="92" t="n"/>
      <c r="H142" s="92" t="n"/>
      <c r="I142" s="92" t="n"/>
      <c r="J142" s="92" t="n"/>
      <c r="K142" s="92" t="n"/>
      <c r="L142" s="92" t="n"/>
      <c r="M142" s="92" t="n"/>
      <c r="N142" s="92" t="n"/>
      <c r="O142" s="92" t="n"/>
      <c r="P142" s="92" t="n"/>
      <c r="Q142" s="92" t="n"/>
      <c r="R142" s="94" t="n"/>
      <c r="S142" s="91" t="n"/>
      <c r="T142" s="94" t="n"/>
      <c r="U142" s="91" t="n"/>
      <c r="V142" s="92" t="n"/>
      <c r="W142" s="92" t="n"/>
      <c r="X142" s="94" t="n"/>
      <c r="Y142" s="91" t="n"/>
      <c r="Z142" s="92" t="n"/>
      <c r="AB142">
        <f>IF(B142="","",IFERROR(INDEX(Schedule!$N$7:$N$18,MATCH(B142,Schedule!$A$7:$A$18,0)),"not in schedule"))</f>
        <v/>
      </c>
      <c r="AC142" s="31">
        <f>IF(B142="","",N(R142)-N(X142))</f>
        <v/>
      </c>
      <c r="AD142" s="84">
        <f>IF(B142="","",IF(Z142&lt;&gt;"",Z142,IF(N(G142)&gt;0,N(N142)/G142,"")))</f>
        <v/>
      </c>
      <c r="AE142" s="17">
        <f>IF(OR(B142="",C142=""),"",WORKDAY(C142,Inputs!$C$122,Lists!$N$4:$N$30))</f>
        <v/>
      </c>
      <c r="AF142">
        <f>IF(B142="","",IF(U142="","missing",IF(U142&gt;AE142,"Y","N")))</f>
        <v/>
      </c>
    </row>
    <row r="143">
      <c r="A143" s="92" t="n"/>
      <c r="B143" s="92" t="n"/>
      <c r="C143" s="91" t="n"/>
      <c r="D143" s="92" t="n"/>
      <c r="E143" s="92" t="n"/>
      <c r="F143" s="92" t="n"/>
      <c r="G143" s="92" t="n"/>
      <c r="H143" s="92" t="n"/>
      <c r="I143" s="92" t="n"/>
      <c r="J143" s="92" t="n"/>
      <c r="K143" s="92" t="n"/>
      <c r="L143" s="92" t="n"/>
      <c r="M143" s="92" t="n"/>
      <c r="N143" s="92" t="n"/>
      <c r="O143" s="92" t="n"/>
      <c r="P143" s="92" t="n"/>
      <c r="Q143" s="92" t="n"/>
      <c r="R143" s="94" t="n"/>
      <c r="S143" s="91" t="n"/>
      <c r="T143" s="94" t="n"/>
      <c r="U143" s="91" t="n"/>
      <c r="V143" s="92" t="n"/>
      <c r="W143" s="92" t="n"/>
      <c r="X143" s="94" t="n"/>
      <c r="Y143" s="91" t="n"/>
      <c r="Z143" s="92" t="n"/>
      <c r="AB143">
        <f>IF(B143="","",IFERROR(INDEX(Schedule!$N$7:$N$18,MATCH(B143,Schedule!$A$7:$A$18,0)),"not in schedule"))</f>
        <v/>
      </c>
      <c r="AC143" s="31">
        <f>IF(B143="","",N(R143)-N(X143))</f>
        <v/>
      </c>
      <c r="AD143" s="84">
        <f>IF(B143="","",IF(Z143&lt;&gt;"",Z143,IF(N(G143)&gt;0,N(N143)/G143,"")))</f>
        <v/>
      </c>
      <c r="AE143" s="17">
        <f>IF(OR(B143="",C143=""),"",WORKDAY(C143,Inputs!$C$122,Lists!$N$4:$N$30))</f>
        <v/>
      </c>
      <c r="AF143">
        <f>IF(B143="","",IF(U143="","missing",IF(U143&gt;AE143,"Y","N")))</f>
        <v/>
      </c>
    </row>
    <row r="144">
      <c r="A144" s="92" t="n"/>
      <c r="B144" s="92" t="n"/>
      <c r="C144" s="91" t="n"/>
      <c r="D144" s="92" t="n"/>
      <c r="E144" s="92" t="n"/>
      <c r="F144" s="92" t="n"/>
      <c r="G144" s="92" t="n"/>
      <c r="H144" s="92" t="n"/>
      <c r="I144" s="92" t="n"/>
      <c r="J144" s="92" t="n"/>
      <c r="K144" s="92" t="n"/>
      <c r="L144" s="92" t="n"/>
      <c r="M144" s="92" t="n"/>
      <c r="N144" s="92" t="n"/>
      <c r="O144" s="92" t="n"/>
      <c r="P144" s="92" t="n"/>
      <c r="Q144" s="92" t="n"/>
      <c r="R144" s="94" t="n"/>
      <c r="S144" s="91" t="n"/>
      <c r="T144" s="94" t="n"/>
      <c r="U144" s="91" t="n"/>
      <c r="V144" s="92" t="n"/>
      <c r="W144" s="92" t="n"/>
      <c r="X144" s="94" t="n"/>
      <c r="Y144" s="91" t="n"/>
      <c r="Z144" s="92" t="n"/>
      <c r="AB144">
        <f>IF(B144="","",IFERROR(INDEX(Schedule!$N$7:$N$18,MATCH(B144,Schedule!$A$7:$A$18,0)),"not in schedule"))</f>
        <v/>
      </c>
      <c r="AC144" s="31">
        <f>IF(B144="","",N(R144)-N(X144))</f>
        <v/>
      </c>
      <c r="AD144" s="84">
        <f>IF(B144="","",IF(Z144&lt;&gt;"",Z144,IF(N(G144)&gt;0,N(N144)/G144,"")))</f>
        <v/>
      </c>
      <c r="AE144" s="17">
        <f>IF(OR(B144="",C144=""),"",WORKDAY(C144,Inputs!$C$122,Lists!$N$4:$N$30))</f>
        <v/>
      </c>
      <c r="AF144">
        <f>IF(B144="","",IF(U144="","missing",IF(U144&gt;AE144,"Y","N")))</f>
        <v/>
      </c>
    </row>
    <row r="145">
      <c r="A145" s="92" t="n"/>
      <c r="B145" s="92" t="n"/>
      <c r="C145" s="91" t="n"/>
      <c r="D145" s="92" t="n"/>
      <c r="E145" s="92" t="n"/>
      <c r="F145" s="92" t="n"/>
      <c r="G145" s="92" t="n"/>
      <c r="H145" s="92" t="n"/>
      <c r="I145" s="92" t="n"/>
      <c r="J145" s="92" t="n"/>
      <c r="K145" s="92" t="n"/>
      <c r="L145" s="92" t="n"/>
      <c r="M145" s="92" t="n"/>
      <c r="N145" s="92" t="n"/>
      <c r="O145" s="92" t="n"/>
      <c r="P145" s="92" t="n"/>
      <c r="Q145" s="92" t="n"/>
      <c r="R145" s="94" t="n"/>
      <c r="S145" s="91" t="n"/>
      <c r="T145" s="94" t="n"/>
      <c r="U145" s="91" t="n"/>
      <c r="V145" s="92" t="n"/>
      <c r="W145" s="92" t="n"/>
      <c r="X145" s="94" t="n"/>
      <c r="Y145" s="91" t="n"/>
      <c r="Z145" s="92" t="n"/>
      <c r="AB145">
        <f>IF(B145="","",IFERROR(INDEX(Schedule!$N$7:$N$18,MATCH(B145,Schedule!$A$7:$A$18,0)),"not in schedule"))</f>
        <v/>
      </c>
      <c r="AC145" s="31">
        <f>IF(B145="","",N(R145)-N(X145))</f>
        <v/>
      </c>
      <c r="AD145" s="84">
        <f>IF(B145="","",IF(Z145&lt;&gt;"",Z145,IF(N(G145)&gt;0,N(N145)/G145,"")))</f>
        <v/>
      </c>
      <c r="AE145" s="17">
        <f>IF(OR(B145="",C145=""),"",WORKDAY(C145,Inputs!$C$122,Lists!$N$4:$N$30))</f>
        <v/>
      </c>
      <c r="AF145">
        <f>IF(B145="","",IF(U145="","missing",IF(U145&gt;AE145,"Y","N")))</f>
        <v/>
      </c>
    </row>
    <row r="146">
      <c r="A146" s="92" t="n"/>
      <c r="B146" s="92" t="n"/>
      <c r="C146" s="91" t="n"/>
      <c r="D146" s="92" t="n"/>
      <c r="E146" s="92" t="n"/>
      <c r="F146" s="92" t="n"/>
      <c r="G146" s="92" t="n"/>
      <c r="H146" s="92" t="n"/>
      <c r="I146" s="92" t="n"/>
      <c r="J146" s="92" t="n"/>
      <c r="K146" s="92" t="n"/>
      <c r="L146" s="92" t="n"/>
      <c r="M146" s="92" t="n"/>
      <c r="N146" s="92" t="n"/>
      <c r="O146" s="92" t="n"/>
      <c r="P146" s="92" t="n"/>
      <c r="Q146" s="92" t="n"/>
      <c r="R146" s="94" t="n"/>
      <c r="S146" s="91" t="n"/>
      <c r="T146" s="94" t="n"/>
      <c r="U146" s="91" t="n"/>
      <c r="V146" s="92" t="n"/>
      <c r="W146" s="92" t="n"/>
      <c r="X146" s="94" t="n"/>
      <c r="Y146" s="91" t="n"/>
      <c r="Z146" s="92" t="n"/>
      <c r="AB146">
        <f>IF(B146="","",IFERROR(INDEX(Schedule!$N$7:$N$18,MATCH(B146,Schedule!$A$7:$A$18,0)),"not in schedule"))</f>
        <v/>
      </c>
      <c r="AC146" s="31">
        <f>IF(B146="","",N(R146)-N(X146))</f>
        <v/>
      </c>
      <c r="AD146" s="84">
        <f>IF(B146="","",IF(Z146&lt;&gt;"",Z146,IF(N(G146)&gt;0,N(N146)/G146,"")))</f>
        <v/>
      </c>
      <c r="AE146" s="17">
        <f>IF(OR(B146="",C146=""),"",WORKDAY(C146,Inputs!$C$122,Lists!$N$4:$N$30))</f>
        <v/>
      </c>
      <c r="AF146">
        <f>IF(B146="","",IF(U146="","missing",IF(U146&gt;AE146,"Y","N")))</f>
        <v/>
      </c>
    </row>
    <row r="147">
      <c r="A147" s="92" t="n"/>
      <c r="B147" s="92" t="n"/>
      <c r="C147" s="91" t="n"/>
      <c r="D147" s="92" t="n"/>
      <c r="E147" s="92" t="n"/>
      <c r="F147" s="92" t="n"/>
      <c r="G147" s="92" t="n"/>
      <c r="H147" s="92" t="n"/>
      <c r="I147" s="92" t="n"/>
      <c r="J147" s="92" t="n"/>
      <c r="K147" s="92" t="n"/>
      <c r="L147" s="92" t="n"/>
      <c r="M147" s="92" t="n"/>
      <c r="N147" s="92" t="n"/>
      <c r="O147" s="92" t="n"/>
      <c r="P147" s="92" t="n"/>
      <c r="Q147" s="92" t="n"/>
      <c r="R147" s="94" t="n"/>
      <c r="S147" s="91" t="n"/>
      <c r="T147" s="94" t="n"/>
      <c r="U147" s="91" t="n"/>
      <c r="V147" s="92" t="n"/>
      <c r="W147" s="92" t="n"/>
      <c r="X147" s="94" t="n"/>
      <c r="Y147" s="91" t="n"/>
      <c r="Z147" s="92" t="n"/>
      <c r="AB147">
        <f>IF(B147="","",IFERROR(INDEX(Schedule!$N$7:$N$18,MATCH(B147,Schedule!$A$7:$A$18,0)),"not in schedule"))</f>
        <v/>
      </c>
      <c r="AC147" s="31">
        <f>IF(B147="","",N(R147)-N(X147))</f>
        <v/>
      </c>
      <c r="AD147" s="84">
        <f>IF(B147="","",IF(Z147&lt;&gt;"",Z147,IF(N(G147)&gt;0,N(N147)/G147,"")))</f>
        <v/>
      </c>
      <c r="AE147" s="17">
        <f>IF(OR(B147="",C147=""),"",WORKDAY(C147,Inputs!$C$122,Lists!$N$4:$N$30))</f>
        <v/>
      </c>
      <c r="AF147">
        <f>IF(B147="","",IF(U147="","missing",IF(U147&gt;AE147,"Y","N")))</f>
        <v/>
      </c>
    </row>
    <row r="148">
      <c r="A148" s="92" t="n"/>
      <c r="B148" s="92" t="n"/>
      <c r="C148" s="91" t="n"/>
      <c r="D148" s="92" t="n"/>
      <c r="E148" s="92" t="n"/>
      <c r="F148" s="92" t="n"/>
      <c r="G148" s="92" t="n"/>
      <c r="H148" s="92" t="n"/>
      <c r="I148" s="92" t="n"/>
      <c r="J148" s="92" t="n"/>
      <c r="K148" s="92" t="n"/>
      <c r="L148" s="92" t="n"/>
      <c r="M148" s="92" t="n"/>
      <c r="N148" s="92" t="n"/>
      <c r="O148" s="92" t="n"/>
      <c r="P148" s="92" t="n"/>
      <c r="Q148" s="92" t="n"/>
      <c r="R148" s="94" t="n"/>
      <c r="S148" s="91" t="n"/>
      <c r="T148" s="94" t="n"/>
      <c r="U148" s="91" t="n"/>
      <c r="V148" s="92" t="n"/>
      <c r="W148" s="92" t="n"/>
      <c r="X148" s="94" t="n"/>
      <c r="Y148" s="91" t="n"/>
      <c r="Z148" s="92" t="n"/>
      <c r="AB148">
        <f>IF(B148="","",IFERROR(INDEX(Schedule!$N$7:$N$18,MATCH(B148,Schedule!$A$7:$A$18,0)),"not in schedule"))</f>
        <v/>
      </c>
      <c r="AC148" s="31">
        <f>IF(B148="","",N(R148)-N(X148))</f>
        <v/>
      </c>
      <c r="AD148" s="84">
        <f>IF(B148="","",IF(Z148&lt;&gt;"",Z148,IF(N(G148)&gt;0,N(N148)/G148,"")))</f>
        <v/>
      </c>
      <c r="AE148" s="17">
        <f>IF(OR(B148="",C148=""),"",WORKDAY(C148,Inputs!$C$122,Lists!$N$4:$N$30))</f>
        <v/>
      </c>
      <c r="AF148">
        <f>IF(B148="","",IF(U148="","missing",IF(U148&gt;AE148,"Y","N")))</f>
        <v/>
      </c>
    </row>
    <row r="149">
      <c r="A149" s="92" t="n"/>
      <c r="B149" s="92" t="n"/>
      <c r="C149" s="91" t="n"/>
      <c r="D149" s="92" t="n"/>
      <c r="E149" s="92" t="n"/>
      <c r="F149" s="92" t="n"/>
      <c r="G149" s="92" t="n"/>
      <c r="H149" s="92" t="n"/>
      <c r="I149" s="92" t="n"/>
      <c r="J149" s="92" t="n"/>
      <c r="K149" s="92" t="n"/>
      <c r="L149" s="92" t="n"/>
      <c r="M149" s="92" t="n"/>
      <c r="N149" s="92" t="n"/>
      <c r="O149" s="92" t="n"/>
      <c r="P149" s="92" t="n"/>
      <c r="Q149" s="92" t="n"/>
      <c r="R149" s="94" t="n"/>
      <c r="S149" s="91" t="n"/>
      <c r="T149" s="94" t="n"/>
      <c r="U149" s="91" t="n"/>
      <c r="V149" s="92" t="n"/>
      <c r="W149" s="92" t="n"/>
      <c r="X149" s="94" t="n"/>
      <c r="Y149" s="91" t="n"/>
      <c r="Z149" s="92" t="n"/>
      <c r="AB149">
        <f>IF(B149="","",IFERROR(INDEX(Schedule!$N$7:$N$18,MATCH(B149,Schedule!$A$7:$A$18,0)),"not in schedule"))</f>
        <v/>
      </c>
      <c r="AC149" s="31">
        <f>IF(B149="","",N(R149)-N(X149))</f>
        <v/>
      </c>
      <c r="AD149" s="84">
        <f>IF(B149="","",IF(Z149&lt;&gt;"",Z149,IF(N(G149)&gt;0,N(N149)/G149,"")))</f>
        <v/>
      </c>
      <c r="AE149" s="17">
        <f>IF(OR(B149="",C149=""),"",WORKDAY(C149,Inputs!$C$122,Lists!$N$4:$N$30))</f>
        <v/>
      </c>
      <c r="AF149">
        <f>IF(B149="","",IF(U149="","missing",IF(U149&gt;AE149,"Y","N")))</f>
        <v/>
      </c>
    </row>
    <row r="150">
      <c r="A150" s="92" t="n"/>
      <c r="B150" s="92" t="n"/>
      <c r="C150" s="91" t="n"/>
      <c r="D150" s="92" t="n"/>
      <c r="E150" s="92" t="n"/>
      <c r="F150" s="92" t="n"/>
      <c r="G150" s="92" t="n"/>
      <c r="H150" s="92" t="n"/>
      <c r="I150" s="92" t="n"/>
      <c r="J150" s="92" t="n"/>
      <c r="K150" s="92" t="n"/>
      <c r="L150" s="92" t="n"/>
      <c r="M150" s="92" t="n"/>
      <c r="N150" s="92" t="n"/>
      <c r="O150" s="92" t="n"/>
      <c r="P150" s="92" t="n"/>
      <c r="Q150" s="92" t="n"/>
      <c r="R150" s="94" t="n"/>
      <c r="S150" s="91" t="n"/>
      <c r="T150" s="94" t="n"/>
      <c r="U150" s="91" t="n"/>
      <c r="V150" s="92" t="n"/>
      <c r="W150" s="92" t="n"/>
      <c r="X150" s="94" t="n"/>
      <c r="Y150" s="91" t="n"/>
      <c r="Z150" s="92" t="n"/>
      <c r="AB150">
        <f>IF(B150="","",IFERROR(INDEX(Schedule!$N$7:$N$18,MATCH(B150,Schedule!$A$7:$A$18,0)),"not in schedule"))</f>
        <v/>
      </c>
      <c r="AC150" s="31">
        <f>IF(B150="","",N(R150)-N(X150))</f>
        <v/>
      </c>
      <c r="AD150" s="84">
        <f>IF(B150="","",IF(Z150&lt;&gt;"",Z150,IF(N(G150)&gt;0,N(N150)/G150,"")))</f>
        <v/>
      </c>
      <c r="AE150" s="17">
        <f>IF(OR(B150="",C150=""),"",WORKDAY(C150,Inputs!$C$122,Lists!$N$4:$N$30))</f>
        <v/>
      </c>
      <c r="AF150">
        <f>IF(B150="","",IF(U150="","missing",IF(U150&gt;AE150,"Y","N")))</f>
        <v/>
      </c>
    </row>
    <row r="151">
      <c r="A151" s="92" t="n"/>
      <c r="B151" s="92" t="n"/>
      <c r="C151" s="91" t="n"/>
      <c r="D151" s="92" t="n"/>
      <c r="E151" s="92" t="n"/>
      <c r="F151" s="92" t="n"/>
      <c r="G151" s="92" t="n"/>
      <c r="H151" s="92" t="n"/>
      <c r="I151" s="92" t="n"/>
      <c r="J151" s="92" t="n"/>
      <c r="K151" s="92" t="n"/>
      <c r="L151" s="92" t="n"/>
      <c r="M151" s="92" t="n"/>
      <c r="N151" s="92" t="n"/>
      <c r="O151" s="92" t="n"/>
      <c r="P151" s="92" t="n"/>
      <c r="Q151" s="92" t="n"/>
      <c r="R151" s="94" t="n"/>
      <c r="S151" s="91" t="n"/>
      <c r="T151" s="94" t="n"/>
      <c r="U151" s="91" t="n"/>
      <c r="V151" s="92" t="n"/>
      <c r="W151" s="92" t="n"/>
      <c r="X151" s="94" t="n"/>
      <c r="Y151" s="91" t="n"/>
      <c r="Z151" s="92" t="n"/>
      <c r="AB151">
        <f>IF(B151="","",IFERROR(INDEX(Schedule!$N$7:$N$18,MATCH(B151,Schedule!$A$7:$A$18,0)),"not in schedule"))</f>
        <v/>
      </c>
      <c r="AC151" s="31">
        <f>IF(B151="","",N(R151)-N(X151))</f>
        <v/>
      </c>
      <c r="AD151" s="84">
        <f>IF(B151="","",IF(Z151&lt;&gt;"",Z151,IF(N(G151)&gt;0,N(N151)/G151,"")))</f>
        <v/>
      </c>
      <c r="AE151" s="17">
        <f>IF(OR(B151="",C151=""),"",WORKDAY(C151,Inputs!$C$122,Lists!$N$4:$N$30))</f>
        <v/>
      </c>
      <c r="AF151">
        <f>IF(B151="","",IF(U151="","missing",IF(U151&gt;AE151,"Y","N")))</f>
        <v/>
      </c>
    </row>
    <row r="152">
      <c r="A152" s="92" t="n"/>
      <c r="B152" s="92" t="n"/>
      <c r="C152" s="91" t="n"/>
      <c r="D152" s="92" t="n"/>
      <c r="E152" s="92" t="n"/>
      <c r="F152" s="92" t="n"/>
      <c r="G152" s="92" t="n"/>
      <c r="H152" s="92" t="n"/>
      <c r="I152" s="92" t="n"/>
      <c r="J152" s="92" t="n"/>
      <c r="K152" s="92" t="n"/>
      <c r="L152" s="92" t="n"/>
      <c r="M152" s="92" t="n"/>
      <c r="N152" s="92" t="n"/>
      <c r="O152" s="92" t="n"/>
      <c r="P152" s="92" t="n"/>
      <c r="Q152" s="92" t="n"/>
      <c r="R152" s="94" t="n"/>
      <c r="S152" s="91" t="n"/>
      <c r="T152" s="94" t="n"/>
      <c r="U152" s="91" t="n"/>
      <c r="V152" s="92" t="n"/>
      <c r="W152" s="92" t="n"/>
      <c r="X152" s="94" t="n"/>
      <c r="Y152" s="91" t="n"/>
      <c r="Z152" s="92" t="n"/>
      <c r="AB152">
        <f>IF(B152="","",IFERROR(INDEX(Schedule!$N$7:$N$18,MATCH(B152,Schedule!$A$7:$A$18,0)),"not in schedule"))</f>
        <v/>
      </c>
      <c r="AC152" s="31">
        <f>IF(B152="","",N(R152)-N(X152))</f>
        <v/>
      </c>
      <c r="AD152" s="84">
        <f>IF(B152="","",IF(Z152&lt;&gt;"",Z152,IF(N(G152)&gt;0,N(N152)/G152,"")))</f>
        <v/>
      </c>
      <c r="AE152" s="17">
        <f>IF(OR(B152="",C152=""),"",WORKDAY(C152,Inputs!$C$122,Lists!$N$4:$N$30))</f>
        <v/>
      </c>
      <c r="AF152">
        <f>IF(B152="","",IF(U152="","missing",IF(U152&gt;AE152,"Y","N")))</f>
        <v/>
      </c>
    </row>
    <row r="153">
      <c r="A153" s="92" t="n"/>
      <c r="B153" s="92" t="n"/>
      <c r="C153" s="91" t="n"/>
      <c r="D153" s="92" t="n"/>
      <c r="E153" s="92" t="n"/>
      <c r="F153" s="92" t="n"/>
      <c r="G153" s="92" t="n"/>
      <c r="H153" s="92" t="n"/>
      <c r="I153" s="92" t="n"/>
      <c r="J153" s="92" t="n"/>
      <c r="K153" s="92" t="n"/>
      <c r="L153" s="92" t="n"/>
      <c r="M153" s="92" t="n"/>
      <c r="N153" s="92" t="n"/>
      <c r="O153" s="92" t="n"/>
      <c r="P153" s="92" t="n"/>
      <c r="Q153" s="92" t="n"/>
      <c r="R153" s="94" t="n"/>
      <c r="S153" s="91" t="n"/>
      <c r="T153" s="94" t="n"/>
      <c r="U153" s="91" t="n"/>
      <c r="V153" s="92" t="n"/>
      <c r="W153" s="92" t="n"/>
      <c r="X153" s="94" t="n"/>
      <c r="Y153" s="91" t="n"/>
      <c r="Z153" s="92" t="n"/>
      <c r="AB153">
        <f>IF(B153="","",IFERROR(INDEX(Schedule!$N$7:$N$18,MATCH(B153,Schedule!$A$7:$A$18,0)),"not in schedule"))</f>
        <v/>
      </c>
      <c r="AC153" s="31">
        <f>IF(B153="","",N(R153)-N(X153))</f>
        <v/>
      </c>
      <c r="AD153" s="84">
        <f>IF(B153="","",IF(Z153&lt;&gt;"",Z153,IF(N(G153)&gt;0,N(N153)/G153,"")))</f>
        <v/>
      </c>
      <c r="AE153" s="17">
        <f>IF(OR(B153="",C153=""),"",WORKDAY(C153,Inputs!$C$122,Lists!$N$4:$N$30))</f>
        <v/>
      </c>
      <c r="AF153">
        <f>IF(B153="","",IF(U153="","missing",IF(U153&gt;AE153,"Y","N")))</f>
        <v/>
      </c>
    </row>
    <row r="154">
      <c r="A154" s="92" t="n"/>
      <c r="B154" s="92" t="n"/>
      <c r="C154" s="91" t="n"/>
      <c r="D154" s="92" t="n"/>
      <c r="E154" s="92" t="n"/>
      <c r="F154" s="92" t="n"/>
      <c r="G154" s="92" t="n"/>
      <c r="H154" s="92" t="n"/>
      <c r="I154" s="92" t="n"/>
      <c r="J154" s="92" t="n"/>
      <c r="K154" s="92" t="n"/>
      <c r="L154" s="92" t="n"/>
      <c r="M154" s="92" t="n"/>
      <c r="N154" s="92" t="n"/>
      <c r="O154" s="92" t="n"/>
      <c r="P154" s="92" t="n"/>
      <c r="Q154" s="92" t="n"/>
      <c r="R154" s="94" t="n"/>
      <c r="S154" s="91" t="n"/>
      <c r="T154" s="94" t="n"/>
      <c r="U154" s="91" t="n"/>
      <c r="V154" s="92" t="n"/>
      <c r="W154" s="92" t="n"/>
      <c r="X154" s="94" t="n"/>
      <c r="Y154" s="91" t="n"/>
      <c r="Z154" s="92" t="n"/>
      <c r="AB154">
        <f>IF(B154="","",IFERROR(INDEX(Schedule!$N$7:$N$18,MATCH(B154,Schedule!$A$7:$A$18,0)),"not in schedule"))</f>
        <v/>
      </c>
      <c r="AC154" s="31">
        <f>IF(B154="","",N(R154)-N(X154))</f>
        <v/>
      </c>
      <c r="AD154" s="84">
        <f>IF(B154="","",IF(Z154&lt;&gt;"",Z154,IF(N(G154)&gt;0,N(N154)/G154,"")))</f>
        <v/>
      </c>
      <c r="AE154" s="17">
        <f>IF(OR(B154="",C154=""),"",WORKDAY(C154,Inputs!$C$122,Lists!$N$4:$N$30))</f>
        <v/>
      </c>
      <c r="AF154">
        <f>IF(B154="","",IF(U154="","missing",IF(U154&gt;AE154,"Y","N")))</f>
        <v/>
      </c>
    </row>
    <row r="155">
      <c r="A155" s="92" t="n"/>
      <c r="B155" s="92" t="n"/>
      <c r="C155" s="91" t="n"/>
      <c r="D155" s="92" t="n"/>
      <c r="E155" s="92" t="n"/>
      <c r="F155" s="92" t="n"/>
      <c r="G155" s="92" t="n"/>
      <c r="H155" s="92" t="n"/>
      <c r="I155" s="92" t="n"/>
      <c r="J155" s="92" t="n"/>
      <c r="K155" s="92" t="n"/>
      <c r="L155" s="92" t="n"/>
      <c r="M155" s="92" t="n"/>
      <c r="N155" s="92" t="n"/>
      <c r="O155" s="92" t="n"/>
      <c r="P155" s="92" t="n"/>
      <c r="Q155" s="92" t="n"/>
      <c r="R155" s="94" t="n"/>
      <c r="S155" s="91" t="n"/>
      <c r="T155" s="94" t="n"/>
      <c r="U155" s="91" t="n"/>
      <c r="V155" s="92" t="n"/>
      <c r="W155" s="92" t="n"/>
      <c r="X155" s="94" t="n"/>
      <c r="Y155" s="91" t="n"/>
      <c r="Z155" s="92" t="n"/>
      <c r="AB155">
        <f>IF(B155="","",IFERROR(INDEX(Schedule!$N$7:$N$18,MATCH(B155,Schedule!$A$7:$A$18,0)),"not in schedule"))</f>
        <v/>
      </c>
      <c r="AC155" s="31">
        <f>IF(B155="","",N(R155)-N(X155))</f>
        <v/>
      </c>
      <c r="AD155" s="84">
        <f>IF(B155="","",IF(Z155&lt;&gt;"",Z155,IF(N(G155)&gt;0,N(N155)/G155,"")))</f>
        <v/>
      </c>
      <c r="AE155" s="17">
        <f>IF(OR(B155="",C155=""),"",WORKDAY(C155,Inputs!$C$122,Lists!$N$4:$N$30))</f>
        <v/>
      </c>
      <c r="AF155">
        <f>IF(B155="","",IF(U155="","missing",IF(U155&gt;AE155,"Y","N")))</f>
        <v/>
      </c>
    </row>
    <row r="156">
      <c r="A156" s="92" t="n"/>
      <c r="B156" s="92" t="n"/>
      <c r="C156" s="91" t="n"/>
      <c r="D156" s="92" t="n"/>
      <c r="E156" s="92" t="n"/>
      <c r="F156" s="92" t="n"/>
      <c r="G156" s="92" t="n"/>
      <c r="H156" s="92" t="n"/>
      <c r="I156" s="92" t="n"/>
      <c r="J156" s="92" t="n"/>
      <c r="K156" s="92" t="n"/>
      <c r="L156" s="92" t="n"/>
      <c r="M156" s="92" t="n"/>
      <c r="N156" s="92" t="n"/>
      <c r="O156" s="92" t="n"/>
      <c r="P156" s="92" t="n"/>
      <c r="Q156" s="92" t="n"/>
      <c r="R156" s="94" t="n"/>
      <c r="S156" s="91" t="n"/>
      <c r="T156" s="94" t="n"/>
      <c r="U156" s="91" t="n"/>
      <c r="V156" s="92" t="n"/>
      <c r="W156" s="92" t="n"/>
      <c r="X156" s="94" t="n"/>
      <c r="Y156" s="91" t="n"/>
      <c r="Z156" s="92" t="n"/>
      <c r="AB156">
        <f>IF(B156="","",IFERROR(INDEX(Schedule!$N$7:$N$18,MATCH(B156,Schedule!$A$7:$A$18,0)),"not in schedule"))</f>
        <v/>
      </c>
      <c r="AC156" s="31">
        <f>IF(B156="","",N(R156)-N(X156))</f>
        <v/>
      </c>
      <c r="AD156" s="84">
        <f>IF(B156="","",IF(Z156&lt;&gt;"",Z156,IF(N(G156)&gt;0,N(N156)/G156,"")))</f>
        <v/>
      </c>
      <c r="AE156" s="17">
        <f>IF(OR(B156="",C156=""),"",WORKDAY(C156,Inputs!$C$122,Lists!$N$4:$N$30))</f>
        <v/>
      </c>
      <c r="AF156">
        <f>IF(B156="","",IF(U156="","missing",IF(U156&gt;AE156,"Y","N")))</f>
        <v/>
      </c>
    </row>
    <row r="157">
      <c r="A157" s="92" t="n"/>
      <c r="B157" s="92" t="n"/>
      <c r="C157" s="91" t="n"/>
      <c r="D157" s="92" t="n"/>
      <c r="E157" s="92" t="n"/>
      <c r="F157" s="92" t="n"/>
      <c r="G157" s="92" t="n"/>
      <c r="H157" s="92" t="n"/>
      <c r="I157" s="92" t="n"/>
      <c r="J157" s="92" t="n"/>
      <c r="K157" s="92" t="n"/>
      <c r="L157" s="92" t="n"/>
      <c r="M157" s="92" t="n"/>
      <c r="N157" s="92" t="n"/>
      <c r="O157" s="92" t="n"/>
      <c r="P157" s="92" t="n"/>
      <c r="Q157" s="92" t="n"/>
      <c r="R157" s="94" t="n"/>
      <c r="S157" s="91" t="n"/>
      <c r="T157" s="94" t="n"/>
      <c r="U157" s="91" t="n"/>
      <c r="V157" s="92" t="n"/>
      <c r="W157" s="92" t="n"/>
      <c r="X157" s="94" t="n"/>
      <c r="Y157" s="91" t="n"/>
      <c r="Z157" s="92" t="n"/>
      <c r="AB157">
        <f>IF(B157="","",IFERROR(INDEX(Schedule!$N$7:$N$18,MATCH(B157,Schedule!$A$7:$A$18,0)),"not in schedule"))</f>
        <v/>
      </c>
      <c r="AC157" s="31">
        <f>IF(B157="","",N(R157)-N(X157))</f>
        <v/>
      </c>
      <c r="AD157" s="84">
        <f>IF(B157="","",IF(Z157&lt;&gt;"",Z157,IF(N(G157)&gt;0,N(N157)/G157,"")))</f>
        <v/>
      </c>
      <c r="AE157" s="17">
        <f>IF(OR(B157="",C157=""),"",WORKDAY(C157,Inputs!$C$122,Lists!$N$4:$N$30))</f>
        <v/>
      </c>
      <c r="AF157">
        <f>IF(B157="","",IF(U157="","missing",IF(U157&gt;AE157,"Y","N")))</f>
        <v/>
      </c>
    </row>
    <row r="158">
      <c r="A158" s="92" t="n"/>
      <c r="B158" s="92" t="n"/>
      <c r="C158" s="91" t="n"/>
      <c r="D158" s="92" t="n"/>
      <c r="E158" s="92" t="n"/>
      <c r="F158" s="92" t="n"/>
      <c r="G158" s="92" t="n"/>
      <c r="H158" s="92" t="n"/>
      <c r="I158" s="92" t="n"/>
      <c r="J158" s="92" t="n"/>
      <c r="K158" s="92" t="n"/>
      <c r="L158" s="92" t="n"/>
      <c r="M158" s="92" t="n"/>
      <c r="N158" s="92" t="n"/>
      <c r="O158" s="92" t="n"/>
      <c r="P158" s="92" t="n"/>
      <c r="Q158" s="92" t="n"/>
      <c r="R158" s="94" t="n"/>
      <c r="S158" s="91" t="n"/>
      <c r="T158" s="94" t="n"/>
      <c r="U158" s="91" t="n"/>
      <c r="V158" s="92" t="n"/>
      <c r="W158" s="92" t="n"/>
      <c r="X158" s="94" t="n"/>
      <c r="Y158" s="91" t="n"/>
      <c r="Z158" s="92" t="n"/>
      <c r="AB158">
        <f>IF(B158="","",IFERROR(INDEX(Schedule!$N$7:$N$18,MATCH(B158,Schedule!$A$7:$A$18,0)),"not in schedule"))</f>
        <v/>
      </c>
      <c r="AC158" s="31">
        <f>IF(B158="","",N(R158)-N(X158))</f>
        <v/>
      </c>
      <c r="AD158" s="84">
        <f>IF(B158="","",IF(Z158&lt;&gt;"",Z158,IF(N(G158)&gt;0,N(N158)/G158,"")))</f>
        <v/>
      </c>
      <c r="AE158" s="17">
        <f>IF(OR(B158="",C158=""),"",WORKDAY(C158,Inputs!$C$122,Lists!$N$4:$N$30))</f>
        <v/>
      </c>
      <c r="AF158">
        <f>IF(B158="","",IF(U158="","missing",IF(U158&gt;AE158,"Y","N")))</f>
        <v/>
      </c>
    </row>
    <row r="159">
      <c r="A159" s="92" t="n"/>
      <c r="B159" s="92" t="n"/>
      <c r="C159" s="91" t="n"/>
      <c r="D159" s="92" t="n"/>
      <c r="E159" s="92" t="n"/>
      <c r="F159" s="92" t="n"/>
      <c r="G159" s="92" t="n"/>
      <c r="H159" s="92" t="n"/>
      <c r="I159" s="92" t="n"/>
      <c r="J159" s="92" t="n"/>
      <c r="K159" s="92" t="n"/>
      <c r="L159" s="92" t="n"/>
      <c r="M159" s="92" t="n"/>
      <c r="N159" s="92" t="n"/>
      <c r="O159" s="92" t="n"/>
      <c r="P159" s="92" t="n"/>
      <c r="Q159" s="92" t="n"/>
      <c r="R159" s="94" t="n"/>
      <c r="S159" s="91" t="n"/>
      <c r="T159" s="94" t="n"/>
      <c r="U159" s="91" t="n"/>
      <c r="V159" s="92" t="n"/>
      <c r="W159" s="92" t="n"/>
      <c r="X159" s="94" t="n"/>
      <c r="Y159" s="91" t="n"/>
      <c r="Z159" s="92" t="n"/>
      <c r="AB159">
        <f>IF(B159="","",IFERROR(INDEX(Schedule!$N$7:$N$18,MATCH(B159,Schedule!$A$7:$A$18,0)),"not in schedule"))</f>
        <v/>
      </c>
      <c r="AC159" s="31">
        <f>IF(B159="","",N(R159)-N(X159))</f>
        <v/>
      </c>
      <c r="AD159" s="84">
        <f>IF(B159="","",IF(Z159&lt;&gt;"",Z159,IF(N(G159)&gt;0,N(N159)/G159,"")))</f>
        <v/>
      </c>
      <c r="AE159" s="17">
        <f>IF(OR(B159="",C159=""),"",WORKDAY(C159,Inputs!$C$122,Lists!$N$4:$N$30))</f>
        <v/>
      </c>
      <c r="AF159">
        <f>IF(B159="","",IF(U159="","missing",IF(U159&gt;AE159,"Y","N")))</f>
        <v/>
      </c>
    </row>
    <row r="160">
      <c r="A160" s="92" t="n"/>
      <c r="B160" s="92" t="n"/>
      <c r="C160" s="91" t="n"/>
      <c r="D160" s="92" t="n"/>
      <c r="E160" s="92" t="n"/>
      <c r="F160" s="92" t="n"/>
      <c r="G160" s="92" t="n"/>
      <c r="H160" s="92" t="n"/>
      <c r="I160" s="92" t="n"/>
      <c r="J160" s="92" t="n"/>
      <c r="K160" s="92" t="n"/>
      <c r="L160" s="92" t="n"/>
      <c r="M160" s="92" t="n"/>
      <c r="N160" s="92" t="n"/>
      <c r="O160" s="92" t="n"/>
      <c r="P160" s="92" t="n"/>
      <c r="Q160" s="92" t="n"/>
      <c r="R160" s="94" t="n"/>
      <c r="S160" s="91" t="n"/>
      <c r="T160" s="94" t="n"/>
      <c r="U160" s="91" t="n"/>
      <c r="V160" s="92" t="n"/>
      <c r="W160" s="92" t="n"/>
      <c r="X160" s="94" t="n"/>
      <c r="Y160" s="91" t="n"/>
      <c r="Z160" s="92" t="n"/>
      <c r="AB160">
        <f>IF(B160="","",IFERROR(INDEX(Schedule!$N$7:$N$18,MATCH(B160,Schedule!$A$7:$A$18,0)),"not in schedule"))</f>
        <v/>
      </c>
      <c r="AC160" s="31">
        <f>IF(B160="","",N(R160)-N(X160))</f>
        <v/>
      </c>
      <c r="AD160" s="84">
        <f>IF(B160="","",IF(Z160&lt;&gt;"",Z160,IF(N(G160)&gt;0,N(N160)/G160,"")))</f>
        <v/>
      </c>
      <c r="AE160" s="17">
        <f>IF(OR(B160="",C160=""),"",WORKDAY(C160,Inputs!$C$122,Lists!$N$4:$N$30))</f>
        <v/>
      </c>
      <c r="AF160">
        <f>IF(B160="","",IF(U160="","missing",IF(U160&gt;AE160,"Y","N")))</f>
        <v/>
      </c>
    </row>
    <row r="161">
      <c r="A161" s="92" t="n"/>
      <c r="B161" s="92" t="n"/>
      <c r="C161" s="91" t="n"/>
      <c r="D161" s="92" t="n"/>
      <c r="E161" s="92" t="n"/>
      <c r="F161" s="92" t="n"/>
      <c r="G161" s="92" t="n"/>
      <c r="H161" s="92" t="n"/>
      <c r="I161" s="92" t="n"/>
      <c r="J161" s="92" t="n"/>
      <c r="K161" s="92" t="n"/>
      <c r="L161" s="92" t="n"/>
      <c r="M161" s="92" t="n"/>
      <c r="N161" s="92" t="n"/>
      <c r="O161" s="92" t="n"/>
      <c r="P161" s="92" t="n"/>
      <c r="Q161" s="92" t="n"/>
      <c r="R161" s="94" t="n"/>
      <c r="S161" s="91" t="n"/>
      <c r="T161" s="94" t="n"/>
      <c r="U161" s="91" t="n"/>
      <c r="V161" s="92" t="n"/>
      <c r="W161" s="92" t="n"/>
      <c r="X161" s="94" t="n"/>
      <c r="Y161" s="91" t="n"/>
      <c r="Z161" s="92" t="n"/>
      <c r="AB161">
        <f>IF(B161="","",IFERROR(INDEX(Schedule!$N$7:$N$18,MATCH(B161,Schedule!$A$7:$A$18,0)),"not in schedule"))</f>
        <v/>
      </c>
      <c r="AC161" s="31">
        <f>IF(B161="","",N(R161)-N(X161))</f>
        <v/>
      </c>
      <c r="AD161" s="84">
        <f>IF(B161="","",IF(Z161&lt;&gt;"",Z161,IF(N(G161)&gt;0,N(N161)/G161,"")))</f>
        <v/>
      </c>
      <c r="AE161" s="17">
        <f>IF(OR(B161="",C161=""),"",WORKDAY(C161,Inputs!$C$122,Lists!$N$4:$N$30))</f>
        <v/>
      </c>
      <c r="AF161">
        <f>IF(B161="","",IF(U161="","missing",IF(U161&gt;AE161,"Y","N")))</f>
        <v/>
      </c>
    </row>
    <row r="162">
      <c r="A162" s="92" t="n"/>
      <c r="B162" s="92" t="n"/>
      <c r="C162" s="91" t="n"/>
      <c r="D162" s="92" t="n"/>
      <c r="E162" s="92" t="n"/>
      <c r="F162" s="92" t="n"/>
      <c r="G162" s="92" t="n"/>
      <c r="H162" s="92" t="n"/>
      <c r="I162" s="92" t="n"/>
      <c r="J162" s="92" t="n"/>
      <c r="K162" s="92" t="n"/>
      <c r="L162" s="92" t="n"/>
      <c r="M162" s="92" t="n"/>
      <c r="N162" s="92" t="n"/>
      <c r="O162" s="92" t="n"/>
      <c r="P162" s="92" t="n"/>
      <c r="Q162" s="92" t="n"/>
      <c r="R162" s="94" t="n"/>
      <c r="S162" s="91" t="n"/>
      <c r="T162" s="94" t="n"/>
      <c r="U162" s="91" t="n"/>
      <c r="V162" s="92" t="n"/>
      <c r="W162" s="92" t="n"/>
      <c r="X162" s="94" t="n"/>
      <c r="Y162" s="91" t="n"/>
      <c r="Z162" s="92" t="n"/>
      <c r="AB162">
        <f>IF(B162="","",IFERROR(INDEX(Schedule!$N$7:$N$18,MATCH(B162,Schedule!$A$7:$A$18,0)),"not in schedule"))</f>
        <v/>
      </c>
      <c r="AC162" s="31">
        <f>IF(B162="","",N(R162)-N(X162))</f>
        <v/>
      </c>
      <c r="AD162" s="84">
        <f>IF(B162="","",IF(Z162&lt;&gt;"",Z162,IF(N(G162)&gt;0,N(N162)/G162,"")))</f>
        <v/>
      </c>
      <c r="AE162" s="17">
        <f>IF(OR(B162="",C162=""),"",WORKDAY(C162,Inputs!$C$122,Lists!$N$4:$N$30))</f>
        <v/>
      </c>
      <c r="AF162">
        <f>IF(B162="","",IF(U162="","missing",IF(U162&gt;AE162,"Y","N")))</f>
        <v/>
      </c>
    </row>
    <row r="163">
      <c r="A163" s="92" t="n"/>
      <c r="B163" s="92" t="n"/>
      <c r="C163" s="91" t="n"/>
      <c r="D163" s="92" t="n"/>
      <c r="E163" s="92" t="n"/>
      <c r="F163" s="92" t="n"/>
      <c r="G163" s="92" t="n"/>
      <c r="H163" s="92" t="n"/>
      <c r="I163" s="92" t="n"/>
      <c r="J163" s="92" t="n"/>
      <c r="K163" s="92" t="n"/>
      <c r="L163" s="92" t="n"/>
      <c r="M163" s="92" t="n"/>
      <c r="N163" s="92" t="n"/>
      <c r="O163" s="92" t="n"/>
      <c r="P163" s="92" t="n"/>
      <c r="Q163" s="92" t="n"/>
      <c r="R163" s="94" t="n"/>
      <c r="S163" s="91" t="n"/>
      <c r="T163" s="94" t="n"/>
      <c r="U163" s="91" t="n"/>
      <c r="V163" s="92" t="n"/>
      <c r="W163" s="92" t="n"/>
      <c r="X163" s="94" t="n"/>
      <c r="Y163" s="91" t="n"/>
      <c r="Z163" s="92" t="n"/>
      <c r="AB163">
        <f>IF(B163="","",IFERROR(INDEX(Schedule!$N$7:$N$18,MATCH(B163,Schedule!$A$7:$A$18,0)),"not in schedule"))</f>
        <v/>
      </c>
      <c r="AC163" s="31">
        <f>IF(B163="","",N(R163)-N(X163))</f>
        <v/>
      </c>
      <c r="AD163" s="84">
        <f>IF(B163="","",IF(Z163&lt;&gt;"",Z163,IF(N(G163)&gt;0,N(N163)/G163,"")))</f>
        <v/>
      </c>
      <c r="AE163" s="17">
        <f>IF(OR(B163="",C163=""),"",WORKDAY(C163,Inputs!$C$122,Lists!$N$4:$N$30))</f>
        <v/>
      </c>
      <c r="AF163">
        <f>IF(B163="","",IF(U163="","missing",IF(U163&gt;AE163,"Y","N")))</f>
        <v/>
      </c>
    </row>
    <row r="164">
      <c r="A164" s="92" t="n"/>
      <c r="B164" s="92" t="n"/>
      <c r="C164" s="91" t="n"/>
      <c r="D164" s="92" t="n"/>
      <c r="E164" s="92" t="n"/>
      <c r="F164" s="92" t="n"/>
      <c r="G164" s="92" t="n"/>
      <c r="H164" s="92" t="n"/>
      <c r="I164" s="92" t="n"/>
      <c r="J164" s="92" t="n"/>
      <c r="K164" s="92" t="n"/>
      <c r="L164" s="92" t="n"/>
      <c r="M164" s="92" t="n"/>
      <c r="N164" s="92" t="n"/>
      <c r="O164" s="92" t="n"/>
      <c r="P164" s="92" t="n"/>
      <c r="Q164" s="92" t="n"/>
      <c r="R164" s="94" t="n"/>
      <c r="S164" s="91" t="n"/>
      <c r="T164" s="94" t="n"/>
      <c r="U164" s="91" t="n"/>
      <c r="V164" s="92" t="n"/>
      <c r="W164" s="92" t="n"/>
      <c r="X164" s="94" t="n"/>
      <c r="Y164" s="91" t="n"/>
      <c r="Z164" s="92" t="n"/>
      <c r="AB164">
        <f>IF(B164="","",IFERROR(INDEX(Schedule!$N$7:$N$18,MATCH(B164,Schedule!$A$7:$A$18,0)),"not in schedule"))</f>
        <v/>
      </c>
      <c r="AC164" s="31">
        <f>IF(B164="","",N(R164)-N(X164))</f>
        <v/>
      </c>
      <c r="AD164" s="84">
        <f>IF(B164="","",IF(Z164&lt;&gt;"",Z164,IF(N(G164)&gt;0,N(N164)/G164,"")))</f>
        <v/>
      </c>
      <c r="AE164" s="17">
        <f>IF(OR(B164="",C164=""),"",WORKDAY(C164,Inputs!$C$122,Lists!$N$4:$N$30))</f>
        <v/>
      </c>
      <c r="AF164">
        <f>IF(B164="","",IF(U164="","missing",IF(U164&gt;AE164,"Y","N")))</f>
        <v/>
      </c>
    </row>
    <row r="165">
      <c r="A165" s="92" t="n"/>
      <c r="B165" s="92" t="n"/>
      <c r="C165" s="91" t="n"/>
      <c r="D165" s="92" t="n"/>
      <c r="E165" s="92" t="n"/>
      <c r="F165" s="92" t="n"/>
      <c r="G165" s="92" t="n"/>
      <c r="H165" s="92" t="n"/>
      <c r="I165" s="92" t="n"/>
      <c r="J165" s="92" t="n"/>
      <c r="K165" s="92" t="n"/>
      <c r="L165" s="92" t="n"/>
      <c r="M165" s="92" t="n"/>
      <c r="N165" s="92" t="n"/>
      <c r="O165" s="92" t="n"/>
      <c r="P165" s="92" t="n"/>
      <c r="Q165" s="92" t="n"/>
      <c r="R165" s="94" t="n"/>
      <c r="S165" s="91" t="n"/>
      <c r="T165" s="94" t="n"/>
      <c r="U165" s="91" t="n"/>
      <c r="V165" s="92" t="n"/>
      <c r="W165" s="92" t="n"/>
      <c r="X165" s="94" t="n"/>
      <c r="Y165" s="91" t="n"/>
      <c r="Z165" s="92" t="n"/>
      <c r="AB165">
        <f>IF(B165="","",IFERROR(INDEX(Schedule!$N$7:$N$18,MATCH(B165,Schedule!$A$7:$A$18,0)),"not in schedule"))</f>
        <v/>
      </c>
      <c r="AC165" s="31">
        <f>IF(B165="","",N(R165)-N(X165))</f>
        <v/>
      </c>
      <c r="AD165" s="84">
        <f>IF(B165="","",IF(Z165&lt;&gt;"",Z165,IF(N(G165)&gt;0,N(N165)/G165,"")))</f>
        <v/>
      </c>
      <c r="AE165" s="17">
        <f>IF(OR(B165="",C165=""),"",WORKDAY(C165,Inputs!$C$122,Lists!$N$4:$N$30))</f>
        <v/>
      </c>
      <c r="AF165">
        <f>IF(B165="","",IF(U165="","missing",IF(U165&gt;AE165,"Y","N")))</f>
        <v/>
      </c>
    </row>
    <row r="166">
      <c r="A166" s="92" t="n"/>
      <c r="B166" s="92" t="n"/>
      <c r="C166" s="91" t="n"/>
      <c r="D166" s="92" t="n"/>
      <c r="E166" s="92" t="n"/>
      <c r="F166" s="92" t="n"/>
      <c r="G166" s="92" t="n"/>
      <c r="H166" s="92" t="n"/>
      <c r="I166" s="92" t="n"/>
      <c r="J166" s="92" t="n"/>
      <c r="K166" s="92" t="n"/>
      <c r="L166" s="92" t="n"/>
      <c r="M166" s="92" t="n"/>
      <c r="N166" s="92" t="n"/>
      <c r="O166" s="92" t="n"/>
      <c r="P166" s="92" t="n"/>
      <c r="Q166" s="92" t="n"/>
      <c r="R166" s="94" t="n"/>
      <c r="S166" s="91" t="n"/>
      <c r="T166" s="94" t="n"/>
      <c r="U166" s="91" t="n"/>
      <c r="V166" s="92" t="n"/>
      <c r="W166" s="92" t="n"/>
      <c r="X166" s="94" t="n"/>
      <c r="Y166" s="91" t="n"/>
      <c r="Z166" s="92" t="n"/>
      <c r="AB166">
        <f>IF(B166="","",IFERROR(INDEX(Schedule!$N$7:$N$18,MATCH(B166,Schedule!$A$7:$A$18,0)),"not in schedule"))</f>
        <v/>
      </c>
      <c r="AC166" s="31">
        <f>IF(B166="","",N(R166)-N(X166))</f>
        <v/>
      </c>
      <c r="AD166" s="84">
        <f>IF(B166="","",IF(Z166&lt;&gt;"",Z166,IF(N(G166)&gt;0,N(N166)/G166,"")))</f>
        <v/>
      </c>
      <c r="AE166" s="17">
        <f>IF(OR(B166="",C166=""),"",WORKDAY(C166,Inputs!$C$122,Lists!$N$4:$N$30))</f>
        <v/>
      </c>
      <c r="AF166">
        <f>IF(B166="","",IF(U166="","missing",IF(U166&gt;AE166,"Y","N")))</f>
        <v/>
      </c>
    </row>
    <row r="167">
      <c r="A167" s="92" t="n"/>
      <c r="B167" s="92" t="n"/>
      <c r="C167" s="91" t="n"/>
      <c r="D167" s="92" t="n"/>
      <c r="E167" s="92" t="n"/>
      <c r="F167" s="92" t="n"/>
      <c r="G167" s="92" t="n"/>
      <c r="H167" s="92" t="n"/>
      <c r="I167" s="92" t="n"/>
      <c r="J167" s="92" t="n"/>
      <c r="K167" s="92" t="n"/>
      <c r="L167" s="92" t="n"/>
      <c r="M167" s="92" t="n"/>
      <c r="N167" s="92" t="n"/>
      <c r="O167" s="92" t="n"/>
      <c r="P167" s="92" t="n"/>
      <c r="Q167" s="92" t="n"/>
      <c r="R167" s="94" t="n"/>
      <c r="S167" s="91" t="n"/>
      <c r="T167" s="94" t="n"/>
      <c r="U167" s="91" t="n"/>
      <c r="V167" s="92" t="n"/>
      <c r="W167" s="92" t="n"/>
      <c r="X167" s="94" t="n"/>
      <c r="Y167" s="91" t="n"/>
      <c r="Z167" s="92" t="n"/>
      <c r="AB167">
        <f>IF(B167="","",IFERROR(INDEX(Schedule!$N$7:$N$18,MATCH(B167,Schedule!$A$7:$A$18,0)),"not in schedule"))</f>
        <v/>
      </c>
      <c r="AC167" s="31">
        <f>IF(B167="","",N(R167)-N(X167))</f>
        <v/>
      </c>
      <c r="AD167" s="84">
        <f>IF(B167="","",IF(Z167&lt;&gt;"",Z167,IF(N(G167)&gt;0,N(N167)/G167,"")))</f>
        <v/>
      </c>
      <c r="AE167" s="17">
        <f>IF(OR(B167="",C167=""),"",WORKDAY(C167,Inputs!$C$122,Lists!$N$4:$N$30))</f>
        <v/>
      </c>
      <c r="AF167">
        <f>IF(B167="","",IF(U167="","missing",IF(U167&gt;AE167,"Y","N")))</f>
        <v/>
      </c>
    </row>
    <row r="168">
      <c r="A168" s="92" t="n"/>
      <c r="B168" s="92" t="n"/>
      <c r="C168" s="91" t="n"/>
      <c r="D168" s="92" t="n"/>
      <c r="E168" s="92" t="n"/>
      <c r="F168" s="92" t="n"/>
      <c r="G168" s="92" t="n"/>
      <c r="H168" s="92" t="n"/>
      <c r="I168" s="92" t="n"/>
      <c r="J168" s="92" t="n"/>
      <c r="K168" s="92" t="n"/>
      <c r="L168" s="92" t="n"/>
      <c r="M168" s="92" t="n"/>
      <c r="N168" s="92" t="n"/>
      <c r="O168" s="92" t="n"/>
      <c r="P168" s="92" t="n"/>
      <c r="Q168" s="92" t="n"/>
      <c r="R168" s="94" t="n"/>
      <c r="S168" s="91" t="n"/>
      <c r="T168" s="94" t="n"/>
      <c r="U168" s="91" t="n"/>
      <c r="V168" s="92" t="n"/>
      <c r="W168" s="92" t="n"/>
      <c r="X168" s="94" t="n"/>
      <c r="Y168" s="91" t="n"/>
      <c r="Z168" s="92" t="n"/>
      <c r="AB168">
        <f>IF(B168="","",IFERROR(INDEX(Schedule!$N$7:$N$18,MATCH(B168,Schedule!$A$7:$A$18,0)),"not in schedule"))</f>
        <v/>
      </c>
      <c r="AC168" s="31">
        <f>IF(B168="","",N(R168)-N(X168))</f>
        <v/>
      </c>
      <c r="AD168" s="84">
        <f>IF(B168="","",IF(Z168&lt;&gt;"",Z168,IF(N(G168)&gt;0,N(N168)/G168,"")))</f>
        <v/>
      </c>
      <c r="AE168" s="17">
        <f>IF(OR(B168="",C168=""),"",WORKDAY(C168,Inputs!$C$122,Lists!$N$4:$N$30))</f>
        <v/>
      </c>
      <c r="AF168">
        <f>IF(B168="","",IF(U168="","missing",IF(U168&gt;AE168,"Y","N")))</f>
        <v/>
      </c>
    </row>
    <row r="169">
      <c r="A169" s="92" t="n"/>
      <c r="B169" s="92" t="n"/>
      <c r="C169" s="91" t="n"/>
      <c r="D169" s="92" t="n"/>
      <c r="E169" s="92" t="n"/>
      <c r="F169" s="92" t="n"/>
      <c r="G169" s="92" t="n"/>
      <c r="H169" s="92" t="n"/>
      <c r="I169" s="92" t="n"/>
      <c r="J169" s="92" t="n"/>
      <c r="K169" s="92" t="n"/>
      <c r="L169" s="92" t="n"/>
      <c r="M169" s="92" t="n"/>
      <c r="N169" s="92" t="n"/>
      <c r="O169" s="92" t="n"/>
      <c r="P169" s="92" t="n"/>
      <c r="Q169" s="92" t="n"/>
      <c r="R169" s="94" t="n"/>
      <c r="S169" s="91" t="n"/>
      <c r="T169" s="94" t="n"/>
      <c r="U169" s="91" t="n"/>
      <c r="V169" s="92" t="n"/>
      <c r="W169" s="92" t="n"/>
      <c r="X169" s="94" t="n"/>
      <c r="Y169" s="91" t="n"/>
      <c r="Z169" s="92" t="n"/>
      <c r="AB169">
        <f>IF(B169="","",IFERROR(INDEX(Schedule!$N$7:$N$18,MATCH(B169,Schedule!$A$7:$A$18,0)),"not in schedule"))</f>
        <v/>
      </c>
      <c r="AC169" s="31">
        <f>IF(B169="","",N(R169)-N(X169))</f>
        <v/>
      </c>
      <c r="AD169" s="84">
        <f>IF(B169="","",IF(Z169&lt;&gt;"",Z169,IF(N(G169)&gt;0,N(N169)/G169,"")))</f>
        <v/>
      </c>
      <c r="AE169" s="17">
        <f>IF(OR(B169="",C169=""),"",WORKDAY(C169,Inputs!$C$122,Lists!$N$4:$N$30))</f>
        <v/>
      </c>
      <c r="AF169">
        <f>IF(B169="","",IF(U169="","missing",IF(U169&gt;AE169,"Y","N")))</f>
        <v/>
      </c>
    </row>
    <row r="170">
      <c r="A170" s="92" t="n"/>
      <c r="B170" s="92" t="n"/>
      <c r="C170" s="91" t="n"/>
      <c r="D170" s="92" t="n"/>
      <c r="E170" s="92" t="n"/>
      <c r="F170" s="92" t="n"/>
      <c r="G170" s="92" t="n"/>
      <c r="H170" s="92" t="n"/>
      <c r="I170" s="92" t="n"/>
      <c r="J170" s="92" t="n"/>
      <c r="K170" s="92" t="n"/>
      <c r="L170" s="92" t="n"/>
      <c r="M170" s="92" t="n"/>
      <c r="N170" s="92" t="n"/>
      <c r="O170" s="92" t="n"/>
      <c r="P170" s="92" t="n"/>
      <c r="Q170" s="92" t="n"/>
      <c r="R170" s="94" t="n"/>
      <c r="S170" s="91" t="n"/>
      <c r="T170" s="94" t="n"/>
      <c r="U170" s="91" t="n"/>
      <c r="V170" s="92" t="n"/>
      <c r="W170" s="92" t="n"/>
      <c r="X170" s="94" t="n"/>
      <c r="Y170" s="91" t="n"/>
      <c r="Z170" s="92" t="n"/>
      <c r="AB170">
        <f>IF(B170="","",IFERROR(INDEX(Schedule!$N$7:$N$18,MATCH(B170,Schedule!$A$7:$A$18,0)),"not in schedule"))</f>
        <v/>
      </c>
      <c r="AC170" s="31">
        <f>IF(B170="","",N(R170)-N(X170))</f>
        <v/>
      </c>
      <c r="AD170" s="84">
        <f>IF(B170="","",IF(Z170&lt;&gt;"",Z170,IF(N(G170)&gt;0,N(N170)/G170,"")))</f>
        <v/>
      </c>
      <c r="AE170" s="17">
        <f>IF(OR(B170="",C170=""),"",WORKDAY(C170,Inputs!$C$122,Lists!$N$4:$N$30))</f>
        <v/>
      </c>
      <c r="AF170">
        <f>IF(B170="","",IF(U170="","missing",IF(U170&gt;AE170,"Y","N")))</f>
        <v/>
      </c>
    </row>
    <row r="171">
      <c r="A171" s="92" t="n"/>
      <c r="B171" s="92" t="n"/>
      <c r="C171" s="91" t="n"/>
      <c r="D171" s="92" t="n"/>
      <c r="E171" s="92" t="n"/>
      <c r="F171" s="92" t="n"/>
      <c r="G171" s="92" t="n"/>
      <c r="H171" s="92" t="n"/>
      <c r="I171" s="92" t="n"/>
      <c r="J171" s="92" t="n"/>
      <c r="K171" s="92" t="n"/>
      <c r="L171" s="92" t="n"/>
      <c r="M171" s="92" t="n"/>
      <c r="N171" s="92" t="n"/>
      <c r="O171" s="92" t="n"/>
      <c r="P171" s="92" t="n"/>
      <c r="Q171" s="92" t="n"/>
      <c r="R171" s="94" t="n"/>
      <c r="S171" s="91" t="n"/>
      <c r="T171" s="94" t="n"/>
      <c r="U171" s="91" t="n"/>
      <c r="V171" s="92" t="n"/>
      <c r="W171" s="92" t="n"/>
      <c r="X171" s="94" t="n"/>
      <c r="Y171" s="91" t="n"/>
      <c r="Z171" s="92" t="n"/>
      <c r="AB171">
        <f>IF(B171="","",IFERROR(INDEX(Schedule!$N$7:$N$18,MATCH(B171,Schedule!$A$7:$A$18,0)),"not in schedule"))</f>
        <v/>
      </c>
      <c r="AC171" s="31">
        <f>IF(B171="","",N(R171)-N(X171))</f>
        <v/>
      </c>
      <c r="AD171" s="84">
        <f>IF(B171="","",IF(Z171&lt;&gt;"",Z171,IF(N(G171)&gt;0,N(N171)/G171,"")))</f>
        <v/>
      </c>
      <c r="AE171" s="17">
        <f>IF(OR(B171="",C171=""),"",WORKDAY(C171,Inputs!$C$122,Lists!$N$4:$N$30))</f>
        <v/>
      </c>
      <c r="AF171">
        <f>IF(B171="","",IF(U171="","missing",IF(U171&gt;AE171,"Y","N")))</f>
        <v/>
      </c>
    </row>
    <row r="172">
      <c r="A172" s="92" t="n"/>
      <c r="B172" s="92" t="n"/>
      <c r="C172" s="91" t="n"/>
      <c r="D172" s="92" t="n"/>
      <c r="E172" s="92" t="n"/>
      <c r="F172" s="92" t="n"/>
      <c r="G172" s="92" t="n"/>
      <c r="H172" s="92" t="n"/>
      <c r="I172" s="92" t="n"/>
      <c r="J172" s="92" t="n"/>
      <c r="K172" s="92" t="n"/>
      <c r="L172" s="92" t="n"/>
      <c r="M172" s="92" t="n"/>
      <c r="N172" s="92" t="n"/>
      <c r="O172" s="92" t="n"/>
      <c r="P172" s="92" t="n"/>
      <c r="Q172" s="92" t="n"/>
      <c r="R172" s="94" t="n"/>
      <c r="S172" s="91" t="n"/>
      <c r="T172" s="94" t="n"/>
      <c r="U172" s="91" t="n"/>
      <c r="V172" s="92" t="n"/>
      <c r="W172" s="92" t="n"/>
      <c r="X172" s="94" t="n"/>
      <c r="Y172" s="91" t="n"/>
      <c r="Z172" s="92" t="n"/>
      <c r="AB172">
        <f>IF(B172="","",IFERROR(INDEX(Schedule!$N$7:$N$18,MATCH(B172,Schedule!$A$7:$A$18,0)),"not in schedule"))</f>
        <v/>
      </c>
      <c r="AC172" s="31">
        <f>IF(B172="","",N(R172)-N(X172))</f>
        <v/>
      </c>
      <c r="AD172" s="84">
        <f>IF(B172="","",IF(Z172&lt;&gt;"",Z172,IF(N(G172)&gt;0,N(N172)/G172,"")))</f>
        <v/>
      </c>
      <c r="AE172" s="17">
        <f>IF(OR(B172="",C172=""),"",WORKDAY(C172,Inputs!$C$122,Lists!$N$4:$N$30))</f>
        <v/>
      </c>
      <c r="AF172">
        <f>IF(B172="","",IF(U172="","missing",IF(U172&gt;AE172,"Y","N")))</f>
        <v/>
      </c>
    </row>
    <row r="173">
      <c r="A173" s="92" t="n"/>
      <c r="B173" s="92" t="n"/>
      <c r="C173" s="91" t="n"/>
      <c r="D173" s="92" t="n"/>
      <c r="E173" s="92" t="n"/>
      <c r="F173" s="92" t="n"/>
      <c r="G173" s="92" t="n"/>
      <c r="H173" s="92" t="n"/>
      <c r="I173" s="92" t="n"/>
      <c r="J173" s="92" t="n"/>
      <c r="K173" s="92" t="n"/>
      <c r="L173" s="92" t="n"/>
      <c r="M173" s="92" t="n"/>
      <c r="N173" s="92" t="n"/>
      <c r="O173" s="92" t="n"/>
      <c r="P173" s="92" t="n"/>
      <c r="Q173" s="92" t="n"/>
      <c r="R173" s="94" t="n"/>
      <c r="S173" s="91" t="n"/>
      <c r="T173" s="94" t="n"/>
      <c r="U173" s="91" t="n"/>
      <c r="V173" s="92" t="n"/>
      <c r="W173" s="92" t="n"/>
      <c r="X173" s="94" t="n"/>
      <c r="Y173" s="91" t="n"/>
      <c r="Z173" s="92" t="n"/>
      <c r="AB173">
        <f>IF(B173="","",IFERROR(INDEX(Schedule!$N$7:$N$18,MATCH(B173,Schedule!$A$7:$A$18,0)),"not in schedule"))</f>
        <v/>
      </c>
      <c r="AC173" s="31">
        <f>IF(B173="","",N(R173)-N(X173))</f>
        <v/>
      </c>
      <c r="AD173" s="84">
        <f>IF(B173="","",IF(Z173&lt;&gt;"",Z173,IF(N(G173)&gt;0,N(N173)/G173,"")))</f>
        <v/>
      </c>
      <c r="AE173" s="17">
        <f>IF(OR(B173="",C173=""),"",WORKDAY(C173,Inputs!$C$122,Lists!$N$4:$N$30))</f>
        <v/>
      </c>
      <c r="AF173">
        <f>IF(B173="","",IF(U173="","missing",IF(U173&gt;AE173,"Y","N")))</f>
        <v/>
      </c>
    </row>
    <row r="174">
      <c r="A174" s="92" t="n"/>
      <c r="B174" s="92" t="n"/>
      <c r="C174" s="91" t="n"/>
      <c r="D174" s="92" t="n"/>
      <c r="E174" s="92" t="n"/>
      <c r="F174" s="92" t="n"/>
      <c r="G174" s="92" t="n"/>
      <c r="H174" s="92" t="n"/>
      <c r="I174" s="92" t="n"/>
      <c r="J174" s="92" t="n"/>
      <c r="K174" s="92" t="n"/>
      <c r="L174" s="92" t="n"/>
      <c r="M174" s="92" t="n"/>
      <c r="N174" s="92" t="n"/>
      <c r="O174" s="92" t="n"/>
      <c r="P174" s="92" t="n"/>
      <c r="Q174" s="92" t="n"/>
      <c r="R174" s="94" t="n"/>
      <c r="S174" s="91" t="n"/>
      <c r="T174" s="94" t="n"/>
      <c r="U174" s="91" t="n"/>
      <c r="V174" s="92" t="n"/>
      <c r="W174" s="92" t="n"/>
      <c r="X174" s="94" t="n"/>
      <c r="Y174" s="91" t="n"/>
      <c r="Z174" s="92" t="n"/>
      <c r="AB174">
        <f>IF(B174="","",IFERROR(INDEX(Schedule!$N$7:$N$18,MATCH(B174,Schedule!$A$7:$A$18,0)),"not in schedule"))</f>
        <v/>
      </c>
      <c r="AC174" s="31">
        <f>IF(B174="","",N(R174)-N(X174))</f>
        <v/>
      </c>
      <c r="AD174" s="84">
        <f>IF(B174="","",IF(Z174&lt;&gt;"",Z174,IF(N(G174)&gt;0,N(N174)/G174,"")))</f>
        <v/>
      </c>
      <c r="AE174" s="17">
        <f>IF(OR(B174="",C174=""),"",WORKDAY(C174,Inputs!$C$122,Lists!$N$4:$N$30))</f>
        <v/>
      </c>
      <c r="AF174">
        <f>IF(B174="","",IF(U174="","missing",IF(U174&gt;AE174,"Y","N")))</f>
        <v/>
      </c>
    </row>
    <row r="175">
      <c r="A175" s="92" t="n"/>
      <c r="B175" s="92" t="n"/>
      <c r="C175" s="91" t="n"/>
      <c r="D175" s="92" t="n"/>
      <c r="E175" s="92" t="n"/>
      <c r="F175" s="92" t="n"/>
      <c r="G175" s="92" t="n"/>
      <c r="H175" s="92" t="n"/>
      <c r="I175" s="92" t="n"/>
      <c r="J175" s="92" t="n"/>
      <c r="K175" s="92" t="n"/>
      <c r="L175" s="92" t="n"/>
      <c r="M175" s="92" t="n"/>
      <c r="N175" s="92" t="n"/>
      <c r="O175" s="92" t="n"/>
      <c r="P175" s="92" t="n"/>
      <c r="Q175" s="92" t="n"/>
      <c r="R175" s="94" t="n"/>
      <c r="S175" s="91" t="n"/>
      <c r="T175" s="94" t="n"/>
      <c r="U175" s="91" t="n"/>
      <c r="V175" s="92" t="n"/>
      <c r="W175" s="92" t="n"/>
      <c r="X175" s="94" t="n"/>
      <c r="Y175" s="91" t="n"/>
      <c r="Z175" s="92" t="n"/>
      <c r="AB175">
        <f>IF(B175="","",IFERROR(INDEX(Schedule!$N$7:$N$18,MATCH(B175,Schedule!$A$7:$A$18,0)),"not in schedule"))</f>
        <v/>
      </c>
      <c r="AC175" s="31">
        <f>IF(B175="","",N(R175)-N(X175))</f>
        <v/>
      </c>
      <c r="AD175" s="84">
        <f>IF(B175="","",IF(Z175&lt;&gt;"",Z175,IF(N(G175)&gt;0,N(N175)/G175,"")))</f>
        <v/>
      </c>
      <c r="AE175" s="17">
        <f>IF(OR(B175="",C175=""),"",WORKDAY(C175,Inputs!$C$122,Lists!$N$4:$N$30))</f>
        <v/>
      </c>
      <c r="AF175">
        <f>IF(B175="","",IF(U175="","missing",IF(U175&gt;AE175,"Y","N")))</f>
        <v/>
      </c>
    </row>
    <row r="176">
      <c r="A176" s="92" t="n"/>
      <c r="B176" s="92" t="n"/>
      <c r="C176" s="91" t="n"/>
      <c r="D176" s="92" t="n"/>
      <c r="E176" s="92" t="n"/>
      <c r="F176" s="92" t="n"/>
      <c r="G176" s="92" t="n"/>
      <c r="H176" s="92" t="n"/>
      <c r="I176" s="92" t="n"/>
      <c r="J176" s="92" t="n"/>
      <c r="K176" s="92" t="n"/>
      <c r="L176" s="92" t="n"/>
      <c r="M176" s="92" t="n"/>
      <c r="N176" s="92" t="n"/>
      <c r="O176" s="92" t="n"/>
      <c r="P176" s="92" t="n"/>
      <c r="Q176" s="92" t="n"/>
      <c r="R176" s="94" t="n"/>
      <c r="S176" s="91" t="n"/>
      <c r="T176" s="94" t="n"/>
      <c r="U176" s="91" t="n"/>
      <c r="V176" s="92" t="n"/>
      <c r="W176" s="92" t="n"/>
      <c r="X176" s="94" t="n"/>
      <c r="Y176" s="91" t="n"/>
      <c r="Z176" s="92" t="n"/>
      <c r="AB176">
        <f>IF(B176="","",IFERROR(INDEX(Schedule!$N$7:$N$18,MATCH(B176,Schedule!$A$7:$A$18,0)),"not in schedule"))</f>
        <v/>
      </c>
      <c r="AC176" s="31">
        <f>IF(B176="","",N(R176)-N(X176))</f>
        <v/>
      </c>
      <c r="AD176" s="84">
        <f>IF(B176="","",IF(Z176&lt;&gt;"",Z176,IF(N(G176)&gt;0,N(N176)/G176,"")))</f>
        <v/>
      </c>
      <c r="AE176" s="17">
        <f>IF(OR(B176="",C176=""),"",WORKDAY(C176,Inputs!$C$122,Lists!$N$4:$N$30))</f>
        <v/>
      </c>
      <c r="AF176">
        <f>IF(B176="","",IF(U176="","missing",IF(U176&gt;AE176,"Y","N")))</f>
        <v/>
      </c>
    </row>
    <row r="177">
      <c r="A177" s="92" t="n"/>
      <c r="B177" s="92" t="n"/>
      <c r="C177" s="91" t="n"/>
      <c r="D177" s="92" t="n"/>
      <c r="E177" s="92" t="n"/>
      <c r="F177" s="92" t="n"/>
      <c r="G177" s="92" t="n"/>
      <c r="H177" s="92" t="n"/>
      <c r="I177" s="92" t="n"/>
      <c r="J177" s="92" t="n"/>
      <c r="K177" s="92" t="n"/>
      <c r="L177" s="92" t="n"/>
      <c r="M177" s="92" t="n"/>
      <c r="N177" s="92" t="n"/>
      <c r="O177" s="92" t="n"/>
      <c r="P177" s="92" t="n"/>
      <c r="Q177" s="92" t="n"/>
      <c r="R177" s="94" t="n"/>
      <c r="S177" s="91" t="n"/>
      <c r="T177" s="94" t="n"/>
      <c r="U177" s="91" t="n"/>
      <c r="V177" s="92" t="n"/>
      <c r="W177" s="92" t="n"/>
      <c r="X177" s="94" t="n"/>
      <c r="Y177" s="91" t="n"/>
      <c r="Z177" s="92" t="n"/>
      <c r="AB177">
        <f>IF(B177="","",IFERROR(INDEX(Schedule!$N$7:$N$18,MATCH(B177,Schedule!$A$7:$A$18,0)),"not in schedule"))</f>
        <v/>
      </c>
      <c r="AC177" s="31">
        <f>IF(B177="","",N(R177)-N(X177))</f>
        <v/>
      </c>
      <c r="AD177" s="84">
        <f>IF(B177="","",IF(Z177&lt;&gt;"",Z177,IF(N(G177)&gt;0,N(N177)/G177,"")))</f>
        <v/>
      </c>
      <c r="AE177" s="17">
        <f>IF(OR(B177="",C177=""),"",WORKDAY(C177,Inputs!$C$122,Lists!$N$4:$N$30))</f>
        <v/>
      </c>
      <c r="AF177">
        <f>IF(B177="","",IF(U177="","missing",IF(U177&gt;AE177,"Y","N")))</f>
        <v/>
      </c>
    </row>
    <row r="178">
      <c r="A178" s="92" t="n"/>
      <c r="B178" s="92" t="n"/>
      <c r="C178" s="91" t="n"/>
      <c r="D178" s="92" t="n"/>
      <c r="E178" s="92" t="n"/>
      <c r="F178" s="92" t="n"/>
      <c r="G178" s="92" t="n"/>
      <c r="H178" s="92" t="n"/>
      <c r="I178" s="92" t="n"/>
      <c r="J178" s="92" t="n"/>
      <c r="K178" s="92" t="n"/>
      <c r="L178" s="92" t="n"/>
      <c r="M178" s="92" t="n"/>
      <c r="N178" s="92" t="n"/>
      <c r="O178" s="92" t="n"/>
      <c r="P178" s="92" t="n"/>
      <c r="Q178" s="92" t="n"/>
      <c r="R178" s="94" t="n"/>
      <c r="S178" s="91" t="n"/>
      <c r="T178" s="94" t="n"/>
      <c r="U178" s="91" t="n"/>
      <c r="V178" s="92" t="n"/>
      <c r="W178" s="92" t="n"/>
      <c r="X178" s="94" t="n"/>
      <c r="Y178" s="91" t="n"/>
      <c r="Z178" s="92" t="n"/>
      <c r="AB178">
        <f>IF(B178="","",IFERROR(INDEX(Schedule!$N$7:$N$18,MATCH(B178,Schedule!$A$7:$A$18,0)),"not in schedule"))</f>
        <v/>
      </c>
      <c r="AC178" s="31">
        <f>IF(B178="","",N(R178)-N(X178))</f>
        <v/>
      </c>
      <c r="AD178" s="84">
        <f>IF(B178="","",IF(Z178&lt;&gt;"",Z178,IF(N(G178)&gt;0,N(N178)/G178,"")))</f>
        <v/>
      </c>
      <c r="AE178" s="17">
        <f>IF(OR(B178="",C178=""),"",WORKDAY(C178,Inputs!$C$122,Lists!$N$4:$N$30))</f>
        <v/>
      </c>
      <c r="AF178">
        <f>IF(B178="","",IF(U178="","missing",IF(U178&gt;AE178,"Y","N")))</f>
        <v/>
      </c>
    </row>
    <row r="179">
      <c r="A179" s="92" t="n"/>
      <c r="B179" s="92" t="n"/>
      <c r="C179" s="91" t="n"/>
      <c r="D179" s="92" t="n"/>
      <c r="E179" s="92" t="n"/>
      <c r="F179" s="92" t="n"/>
      <c r="G179" s="92" t="n"/>
      <c r="H179" s="92" t="n"/>
      <c r="I179" s="92" t="n"/>
      <c r="J179" s="92" t="n"/>
      <c r="K179" s="92" t="n"/>
      <c r="L179" s="92" t="n"/>
      <c r="M179" s="92" t="n"/>
      <c r="N179" s="92" t="n"/>
      <c r="O179" s="92" t="n"/>
      <c r="P179" s="92" t="n"/>
      <c r="Q179" s="92" t="n"/>
      <c r="R179" s="94" t="n"/>
      <c r="S179" s="91" t="n"/>
      <c r="T179" s="94" t="n"/>
      <c r="U179" s="91" t="n"/>
      <c r="V179" s="92" t="n"/>
      <c r="W179" s="92" t="n"/>
      <c r="X179" s="94" t="n"/>
      <c r="Y179" s="91" t="n"/>
      <c r="Z179" s="92" t="n"/>
      <c r="AB179">
        <f>IF(B179="","",IFERROR(INDEX(Schedule!$N$7:$N$18,MATCH(B179,Schedule!$A$7:$A$18,0)),"not in schedule"))</f>
        <v/>
      </c>
      <c r="AC179" s="31">
        <f>IF(B179="","",N(R179)-N(X179))</f>
        <v/>
      </c>
      <c r="AD179" s="84">
        <f>IF(B179="","",IF(Z179&lt;&gt;"",Z179,IF(N(G179)&gt;0,N(N179)/G179,"")))</f>
        <v/>
      </c>
      <c r="AE179" s="17">
        <f>IF(OR(B179="",C179=""),"",WORKDAY(C179,Inputs!$C$122,Lists!$N$4:$N$30))</f>
        <v/>
      </c>
      <c r="AF179">
        <f>IF(B179="","",IF(U179="","missing",IF(U179&gt;AE179,"Y","N")))</f>
        <v/>
      </c>
    </row>
    <row r="180">
      <c r="A180" s="92" t="n"/>
      <c r="B180" s="92" t="n"/>
      <c r="C180" s="91" t="n"/>
      <c r="D180" s="92" t="n"/>
      <c r="E180" s="92" t="n"/>
      <c r="F180" s="92" t="n"/>
      <c r="G180" s="92" t="n"/>
      <c r="H180" s="92" t="n"/>
      <c r="I180" s="92" t="n"/>
      <c r="J180" s="92" t="n"/>
      <c r="K180" s="92" t="n"/>
      <c r="L180" s="92" t="n"/>
      <c r="M180" s="92" t="n"/>
      <c r="N180" s="92" t="n"/>
      <c r="O180" s="92" t="n"/>
      <c r="P180" s="92" t="n"/>
      <c r="Q180" s="92" t="n"/>
      <c r="R180" s="94" t="n"/>
      <c r="S180" s="91" t="n"/>
      <c r="T180" s="94" t="n"/>
      <c r="U180" s="91" t="n"/>
      <c r="V180" s="92" t="n"/>
      <c r="W180" s="92" t="n"/>
      <c r="X180" s="94" t="n"/>
      <c r="Y180" s="91" t="n"/>
      <c r="Z180" s="92" t="n"/>
      <c r="AB180">
        <f>IF(B180="","",IFERROR(INDEX(Schedule!$N$7:$N$18,MATCH(B180,Schedule!$A$7:$A$18,0)),"not in schedule"))</f>
        <v/>
      </c>
      <c r="AC180" s="31">
        <f>IF(B180="","",N(R180)-N(X180))</f>
        <v/>
      </c>
      <c r="AD180" s="84">
        <f>IF(B180="","",IF(Z180&lt;&gt;"",Z180,IF(N(G180)&gt;0,N(N180)/G180,"")))</f>
        <v/>
      </c>
      <c r="AE180" s="17">
        <f>IF(OR(B180="",C180=""),"",WORKDAY(C180,Inputs!$C$122,Lists!$N$4:$N$30))</f>
        <v/>
      </c>
      <c r="AF180">
        <f>IF(B180="","",IF(U180="","missing",IF(U180&gt;AE180,"Y","N")))</f>
        <v/>
      </c>
    </row>
    <row r="181">
      <c r="A181" s="92" t="n"/>
      <c r="B181" s="92" t="n"/>
      <c r="C181" s="91" t="n"/>
      <c r="D181" s="92" t="n"/>
      <c r="E181" s="92" t="n"/>
      <c r="F181" s="92" t="n"/>
      <c r="G181" s="92" t="n"/>
      <c r="H181" s="92" t="n"/>
      <c r="I181" s="92" t="n"/>
      <c r="J181" s="92" t="n"/>
      <c r="K181" s="92" t="n"/>
      <c r="L181" s="92" t="n"/>
      <c r="M181" s="92" t="n"/>
      <c r="N181" s="92" t="n"/>
      <c r="O181" s="92" t="n"/>
      <c r="P181" s="92" t="n"/>
      <c r="Q181" s="92" t="n"/>
      <c r="R181" s="94" t="n"/>
      <c r="S181" s="91" t="n"/>
      <c r="T181" s="94" t="n"/>
      <c r="U181" s="91" t="n"/>
      <c r="V181" s="92" t="n"/>
      <c r="W181" s="92" t="n"/>
      <c r="X181" s="94" t="n"/>
      <c r="Y181" s="91" t="n"/>
      <c r="Z181" s="92" t="n"/>
      <c r="AB181">
        <f>IF(B181="","",IFERROR(INDEX(Schedule!$N$7:$N$18,MATCH(B181,Schedule!$A$7:$A$18,0)),"not in schedule"))</f>
        <v/>
      </c>
      <c r="AC181" s="31">
        <f>IF(B181="","",N(R181)-N(X181))</f>
        <v/>
      </c>
      <c r="AD181" s="84">
        <f>IF(B181="","",IF(Z181&lt;&gt;"",Z181,IF(N(G181)&gt;0,N(N181)/G181,"")))</f>
        <v/>
      </c>
      <c r="AE181" s="17">
        <f>IF(OR(B181="",C181=""),"",WORKDAY(C181,Inputs!$C$122,Lists!$N$4:$N$30))</f>
        <v/>
      </c>
      <c r="AF181">
        <f>IF(B181="","",IF(U181="","missing",IF(U181&gt;AE181,"Y","N")))</f>
        <v/>
      </c>
    </row>
    <row r="182">
      <c r="A182" s="92" t="n"/>
      <c r="B182" s="92" t="n"/>
      <c r="C182" s="91" t="n"/>
      <c r="D182" s="92" t="n"/>
      <c r="E182" s="92" t="n"/>
      <c r="F182" s="92" t="n"/>
      <c r="G182" s="92" t="n"/>
      <c r="H182" s="92" t="n"/>
      <c r="I182" s="92" t="n"/>
      <c r="J182" s="92" t="n"/>
      <c r="K182" s="92" t="n"/>
      <c r="L182" s="92" t="n"/>
      <c r="M182" s="92" t="n"/>
      <c r="N182" s="92" t="n"/>
      <c r="O182" s="92" t="n"/>
      <c r="P182" s="92" t="n"/>
      <c r="Q182" s="92" t="n"/>
      <c r="R182" s="94" t="n"/>
      <c r="S182" s="91" t="n"/>
      <c r="T182" s="94" t="n"/>
      <c r="U182" s="91" t="n"/>
      <c r="V182" s="92" t="n"/>
      <c r="W182" s="92" t="n"/>
      <c r="X182" s="94" t="n"/>
      <c r="Y182" s="91" t="n"/>
      <c r="Z182" s="92" t="n"/>
      <c r="AB182">
        <f>IF(B182="","",IFERROR(INDEX(Schedule!$N$7:$N$18,MATCH(B182,Schedule!$A$7:$A$18,0)),"not in schedule"))</f>
        <v/>
      </c>
      <c r="AC182" s="31">
        <f>IF(B182="","",N(R182)-N(X182))</f>
        <v/>
      </c>
      <c r="AD182" s="84">
        <f>IF(B182="","",IF(Z182&lt;&gt;"",Z182,IF(N(G182)&gt;0,N(N182)/G182,"")))</f>
        <v/>
      </c>
      <c r="AE182" s="17">
        <f>IF(OR(B182="",C182=""),"",WORKDAY(C182,Inputs!$C$122,Lists!$N$4:$N$30))</f>
        <v/>
      </c>
      <c r="AF182">
        <f>IF(B182="","",IF(U182="","missing",IF(U182&gt;AE182,"Y","N")))</f>
        <v/>
      </c>
    </row>
    <row r="183">
      <c r="A183" s="92" t="n"/>
      <c r="B183" s="92" t="n"/>
      <c r="C183" s="91" t="n"/>
      <c r="D183" s="92" t="n"/>
      <c r="E183" s="92" t="n"/>
      <c r="F183" s="92" t="n"/>
      <c r="G183" s="92" t="n"/>
      <c r="H183" s="92" t="n"/>
      <c r="I183" s="92" t="n"/>
      <c r="J183" s="92" t="n"/>
      <c r="K183" s="92" t="n"/>
      <c r="L183" s="92" t="n"/>
      <c r="M183" s="92" t="n"/>
      <c r="N183" s="92" t="n"/>
      <c r="O183" s="92" t="n"/>
      <c r="P183" s="92" t="n"/>
      <c r="Q183" s="92" t="n"/>
      <c r="R183" s="94" t="n"/>
      <c r="S183" s="91" t="n"/>
      <c r="T183" s="94" t="n"/>
      <c r="U183" s="91" t="n"/>
      <c r="V183" s="92" t="n"/>
      <c r="W183" s="92" t="n"/>
      <c r="X183" s="94" t="n"/>
      <c r="Y183" s="91" t="n"/>
      <c r="Z183" s="92" t="n"/>
      <c r="AB183">
        <f>IF(B183="","",IFERROR(INDEX(Schedule!$N$7:$N$18,MATCH(B183,Schedule!$A$7:$A$18,0)),"not in schedule"))</f>
        <v/>
      </c>
      <c r="AC183" s="31">
        <f>IF(B183="","",N(R183)-N(X183))</f>
        <v/>
      </c>
      <c r="AD183" s="84">
        <f>IF(B183="","",IF(Z183&lt;&gt;"",Z183,IF(N(G183)&gt;0,N(N183)/G183,"")))</f>
        <v/>
      </c>
      <c r="AE183" s="17">
        <f>IF(OR(B183="",C183=""),"",WORKDAY(C183,Inputs!$C$122,Lists!$N$4:$N$30))</f>
        <v/>
      </c>
      <c r="AF183">
        <f>IF(B183="","",IF(U183="","missing",IF(U183&gt;AE183,"Y","N")))</f>
        <v/>
      </c>
    </row>
    <row r="184">
      <c r="A184" s="92" t="n"/>
      <c r="B184" s="92" t="n"/>
      <c r="C184" s="91" t="n"/>
      <c r="D184" s="92" t="n"/>
      <c r="E184" s="92" t="n"/>
      <c r="F184" s="92" t="n"/>
      <c r="G184" s="92" t="n"/>
      <c r="H184" s="92" t="n"/>
      <c r="I184" s="92" t="n"/>
      <c r="J184" s="92" t="n"/>
      <c r="K184" s="92" t="n"/>
      <c r="L184" s="92" t="n"/>
      <c r="M184" s="92" t="n"/>
      <c r="N184" s="92" t="n"/>
      <c r="O184" s="92" t="n"/>
      <c r="P184" s="92" t="n"/>
      <c r="Q184" s="92" t="n"/>
      <c r="R184" s="94" t="n"/>
      <c r="S184" s="91" t="n"/>
      <c r="T184" s="94" t="n"/>
      <c r="U184" s="91" t="n"/>
      <c r="V184" s="92" t="n"/>
      <c r="W184" s="92" t="n"/>
      <c r="X184" s="94" t="n"/>
      <c r="Y184" s="91" t="n"/>
      <c r="Z184" s="92" t="n"/>
      <c r="AB184">
        <f>IF(B184="","",IFERROR(INDEX(Schedule!$N$7:$N$18,MATCH(B184,Schedule!$A$7:$A$18,0)),"not in schedule"))</f>
        <v/>
      </c>
      <c r="AC184" s="31">
        <f>IF(B184="","",N(R184)-N(X184))</f>
        <v/>
      </c>
      <c r="AD184" s="84">
        <f>IF(B184="","",IF(Z184&lt;&gt;"",Z184,IF(N(G184)&gt;0,N(N184)/G184,"")))</f>
        <v/>
      </c>
      <c r="AE184" s="17">
        <f>IF(OR(B184="",C184=""),"",WORKDAY(C184,Inputs!$C$122,Lists!$N$4:$N$30))</f>
        <v/>
      </c>
      <c r="AF184">
        <f>IF(B184="","",IF(U184="","missing",IF(U184&gt;AE184,"Y","N")))</f>
        <v/>
      </c>
    </row>
    <row r="185">
      <c r="A185" s="92" t="n"/>
      <c r="B185" s="92" t="n"/>
      <c r="C185" s="91" t="n"/>
      <c r="D185" s="92" t="n"/>
      <c r="E185" s="92" t="n"/>
      <c r="F185" s="92" t="n"/>
      <c r="G185" s="92" t="n"/>
      <c r="H185" s="92" t="n"/>
      <c r="I185" s="92" t="n"/>
      <c r="J185" s="92" t="n"/>
      <c r="K185" s="92" t="n"/>
      <c r="L185" s="92" t="n"/>
      <c r="M185" s="92" t="n"/>
      <c r="N185" s="92" t="n"/>
      <c r="O185" s="92" t="n"/>
      <c r="P185" s="92" t="n"/>
      <c r="Q185" s="92" t="n"/>
      <c r="R185" s="94" t="n"/>
      <c r="S185" s="91" t="n"/>
      <c r="T185" s="94" t="n"/>
      <c r="U185" s="91" t="n"/>
      <c r="V185" s="92" t="n"/>
      <c r="W185" s="92" t="n"/>
      <c r="X185" s="94" t="n"/>
      <c r="Y185" s="91" t="n"/>
      <c r="Z185" s="92" t="n"/>
      <c r="AB185">
        <f>IF(B185="","",IFERROR(INDEX(Schedule!$N$7:$N$18,MATCH(B185,Schedule!$A$7:$A$18,0)),"not in schedule"))</f>
        <v/>
      </c>
      <c r="AC185" s="31">
        <f>IF(B185="","",N(R185)-N(X185))</f>
        <v/>
      </c>
      <c r="AD185" s="84">
        <f>IF(B185="","",IF(Z185&lt;&gt;"",Z185,IF(N(G185)&gt;0,N(N185)/G185,"")))</f>
        <v/>
      </c>
      <c r="AE185" s="17">
        <f>IF(OR(B185="",C185=""),"",WORKDAY(C185,Inputs!$C$122,Lists!$N$4:$N$30))</f>
        <v/>
      </c>
      <c r="AF185">
        <f>IF(B185="","",IF(U185="","missing",IF(U185&gt;AE185,"Y","N")))</f>
        <v/>
      </c>
    </row>
    <row r="186">
      <c r="A186" s="92" t="n"/>
      <c r="B186" s="92" t="n"/>
      <c r="C186" s="91" t="n"/>
      <c r="D186" s="92" t="n"/>
      <c r="E186" s="92" t="n"/>
      <c r="F186" s="92" t="n"/>
      <c r="G186" s="92" t="n"/>
      <c r="H186" s="92" t="n"/>
      <c r="I186" s="92" t="n"/>
      <c r="J186" s="92" t="n"/>
      <c r="K186" s="92" t="n"/>
      <c r="L186" s="92" t="n"/>
      <c r="M186" s="92" t="n"/>
      <c r="N186" s="92" t="n"/>
      <c r="O186" s="92" t="n"/>
      <c r="P186" s="92" t="n"/>
      <c r="Q186" s="92" t="n"/>
      <c r="R186" s="94" t="n"/>
      <c r="S186" s="91" t="n"/>
      <c r="T186" s="94" t="n"/>
      <c r="U186" s="91" t="n"/>
      <c r="V186" s="92" t="n"/>
      <c r="W186" s="92" t="n"/>
      <c r="X186" s="94" t="n"/>
      <c r="Y186" s="91" t="n"/>
      <c r="Z186" s="92" t="n"/>
      <c r="AB186">
        <f>IF(B186="","",IFERROR(INDEX(Schedule!$N$7:$N$18,MATCH(B186,Schedule!$A$7:$A$18,0)),"not in schedule"))</f>
        <v/>
      </c>
      <c r="AC186" s="31">
        <f>IF(B186="","",N(R186)-N(X186))</f>
        <v/>
      </c>
      <c r="AD186" s="84">
        <f>IF(B186="","",IF(Z186&lt;&gt;"",Z186,IF(N(G186)&gt;0,N(N186)/G186,"")))</f>
        <v/>
      </c>
      <c r="AE186" s="17">
        <f>IF(OR(B186="",C186=""),"",WORKDAY(C186,Inputs!$C$122,Lists!$N$4:$N$30))</f>
        <v/>
      </c>
      <c r="AF186">
        <f>IF(B186="","",IF(U186="","missing",IF(U186&gt;AE186,"Y","N")))</f>
        <v/>
      </c>
    </row>
    <row r="187">
      <c r="A187" s="92" t="n"/>
      <c r="B187" s="92" t="n"/>
      <c r="C187" s="91" t="n"/>
      <c r="D187" s="92" t="n"/>
      <c r="E187" s="92" t="n"/>
      <c r="F187" s="92" t="n"/>
      <c r="G187" s="92" t="n"/>
      <c r="H187" s="92" t="n"/>
      <c r="I187" s="92" t="n"/>
      <c r="J187" s="92" t="n"/>
      <c r="K187" s="92" t="n"/>
      <c r="L187" s="92" t="n"/>
      <c r="M187" s="92" t="n"/>
      <c r="N187" s="92" t="n"/>
      <c r="O187" s="92" t="n"/>
      <c r="P187" s="92" t="n"/>
      <c r="Q187" s="92" t="n"/>
      <c r="R187" s="94" t="n"/>
      <c r="S187" s="91" t="n"/>
      <c r="T187" s="94" t="n"/>
      <c r="U187" s="91" t="n"/>
      <c r="V187" s="92" t="n"/>
      <c r="W187" s="92" t="n"/>
      <c r="X187" s="94" t="n"/>
      <c r="Y187" s="91" t="n"/>
      <c r="Z187" s="92" t="n"/>
      <c r="AB187">
        <f>IF(B187="","",IFERROR(INDEX(Schedule!$N$7:$N$18,MATCH(B187,Schedule!$A$7:$A$18,0)),"not in schedule"))</f>
        <v/>
      </c>
      <c r="AC187" s="31">
        <f>IF(B187="","",N(R187)-N(X187))</f>
        <v/>
      </c>
      <c r="AD187" s="84">
        <f>IF(B187="","",IF(Z187&lt;&gt;"",Z187,IF(N(G187)&gt;0,N(N187)/G187,"")))</f>
        <v/>
      </c>
      <c r="AE187" s="17">
        <f>IF(OR(B187="",C187=""),"",WORKDAY(C187,Inputs!$C$122,Lists!$N$4:$N$30))</f>
        <v/>
      </c>
      <c r="AF187">
        <f>IF(B187="","",IF(U187="","missing",IF(U187&gt;AE187,"Y","N")))</f>
        <v/>
      </c>
    </row>
    <row r="188">
      <c r="A188" s="92" t="n"/>
      <c r="B188" s="92" t="n"/>
      <c r="C188" s="91" t="n"/>
      <c r="D188" s="92" t="n"/>
      <c r="E188" s="92" t="n"/>
      <c r="F188" s="92" t="n"/>
      <c r="G188" s="92" t="n"/>
      <c r="H188" s="92" t="n"/>
      <c r="I188" s="92" t="n"/>
      <c r="J188" s="92" t="n"/>
      <c r="K188" s="92" t="n"/>
      <c r="L188" s="92" t="n"/>
      <c r="M188" s="92" t="n"/>
      <c r="N188" s="92" t="n"/>
      <c r="O188" s="92" t="n"/>
      <c r="P188" s="92" t="n"/>
      <c r="Q188" s="92" t="n"/>
      <c r="R188" s="94" t="n"/>
      <c r="S188" s="91" t="n"/>
      <c r="T188" s="94" t="n"/>
      <c r="U188" s="91" t="n"/>
      <c r="V188" s="92" t="n"/>
      <c r="W188" s="92" t="n"/>
      <c r="X188" s="94" t="n"/>
      <c r="Y188" s="91" t="n"/>
      <c r="Z188" s="92" t="n"/>
      <c r="AB188">
        <f>IF(B188="","",IFERROR(INDEX(Schedule!$N$7:$N$18,MATCH(B188,Schedule!$A$7:$A$18,0)),"not in schedule"))</f>
        <v/>
      </c>
      <c r="AC188" s="31">
        <f>IF(B188="","",N(R188)-N(X188))</f>
        <v/>
      </c>
      <c r="AD188" s="84">
        <f>IF(B188="","",IF(Z188&lt;&gt;"",Z188,IF(N(G188)&gt;0,N(N188)/G188,"")))</f>
        <v/>
      </c>
      <c r="AE188" s="17">
        <f>IF(OR(B188="",C188=""),"",WORKDAY(C188,Inputs!$C$122,Lists!$N$4:$N$30))</f>
        <v/>
      </c>
      <c r="AF188">
        <f>IF(B188="","",IF(U188="","missing",IF(U188&gt;AE188,"Y","N")))</f>
        <v/>
      </c>
    </row>
    <row r="189">
      <c r="A189" s="92" t="n"/>
      <c r="B189" s="92" t="n"/>
      <c r="C189" s="91" t="n"/>
      <c r="D189" s="92" t="n"/>
      <c r="E189" s="92" t="n"/>
      <c r="F189" s="92" t="n"/>
      <c r="G189" s="92" t="n"/>
      <c r="H189" s="92" t="n"/>
      <c r="I189" s="92" t="n"/>
      <c r="J189" s="92" t="n"/>
      <c r="K189" s="92" t="n"/>
      <c r="L189" s="92" t="n"/>
      <c r="M189" s="92" t="n"/>
      <c r="N189" s="92" t="n"/>
      <c r="O189" s="92" t="n"/>
      <c r="P189" s="92" t="n"/>
      <c r="Q189" s="92" t="n"/>
      <c r="R189" s="94" t="n"/>
      <c r="S189" s="91" t="n"/>
      <c r="T189" s="94" t="n"/>
      <c r="U189" s="91" t="n"/>
      <c r="V189" s="92" t="n"/>
      <c r="W189" s="92" t="n"/>
      <c r="X189" s="94" t="n"/>
      <c r="Y189" s="91" t="n"/>
      <c r="Z189" s="92" t="n"/>
      <c r="AB189">
        <f>IF(B189="","",IFERROR(INDEX(Schedule!$N$7:$N$18,MATCH(B189,Schedule!$A$7:$A$18,0)),"not in schedule"))</f>
        <v/>
      </c>
      <c r="AC189" s="31">
        <f>IF(B189="","",N(R189)-N(X189))</f>
        <v/>
      </c>
      <c r="AD189" s="84">
        <f>IF(B189="","",IF(Z189&lt;&gt;"",Z189,IF(N(G189)&gt;0,N(N189)/G189,"")))</f>
        <v/>
      </c>
      <c r="AE189" s="17">
        <f>IF(OR(B189="",C189=""),"",WORKDAY(C189,Inputs!$C$122,Lists!$N$4:$N$30))</f>
        <v/>
      </c>
      <c r="AF189">
        <f>IF(B189="","",IF(U189="","missing",IF(U189&gt;AE189,"Y","N")))</f>
        <v/>
      </c>
    </row>
    <row r="190">
      <c r="A190" s="92" t="n"/>
      <c r="B190" s="92" t="n"/>
      <c r="C190" s="91" t="n"/>
      <c r="D190" s="92" t="n"/>
      <c r="E190" s="92" t="n"/>
      <c r="F190" s="92" t="n"/>
      <c r="G190" s="92" t="n"/>
      <c r="H190" s="92" t="n"/>
      <c r="I190" s="92" t="n"/>
      <c r="J190" s="92" t="n"/>
      <c r="K190" s="92" t="n"/>
      <c r="L190" s="92" t="n"/>
      <c r="M190" s="92" t="n"/>
      <c r="N190" s="92" t="n"/>
      <c r="O190" s="92" t="n"/>
      <c r="P190" s="92" t="n"/>
      <c r="Q190" s="92" t="n"/>
      <c r="R190" s="94" t="n"/>
      <c r="S190" s="91" t="n"/>
      <c r="T190" s="94" t="n"/>
      <c r="U190" s="91" t="n"/>
      <c r="V190" s="92" t="n"/>
      <c r="W190" s="92" t="n"/>
      <c r="X190" s="94" t="n"/>
      <c r="Y190" s="91" t="n"/>
      <c r="Z190" s="92" t="n"/>
      <c r="AB190">
        <f>IF(B190="","",IFERROR(INDEX(Schedule!$N$7:$N$18,MATCH(B190,Schedule!$A$7:$A$18,0)),"not in schedule"))</f>
        <v/>
      </c>
      <c r="AC190" s="31">
        <f>IF(B190="","",N(R190)-N(X190))</f>
        <v/>
      </c>
      <c r="AD190" s="84">
        <f>IF(B190="","",IF(Z190&lt;&gt;"",Z190,IF(N(G190)&gt;0,N(N190)/G190,"")))</f>
        <v/>
      </c>
      <c r="AE190" s="17">
        <f>IF(OR(B190="",C190=""),"",WORKDAY(C190,Inputs!$C$122,Lists!$N$4:$N$30))</f>
        <v/>
      </c>
      <c r="AF190">
        <f>IF(B190="","",IF(U190="","missing",IF(U190&gt;AE190,"Y","N")))</f>
        <v/>
      </c>
    </row>
    <row r="191">
      <c r="A191" s="92" t="n"/>
      <c r="B191" s="92" t="n"/>
      <c r="C191" s="91" t="n"/>
      <c r="D191" s="92" t="n"/>
      <c r="E191" s="92" t="n"/>
      <c r="F191" s="92" t="n"/>
      <c r="G191" s="92" t="n"/>
      <c r="H191" s="92" t="n"/>
      <c r="I191" s="92" t="n"/>
      <c r="J191" s="92" t="n"/>
      <c r="K191" s="92" t="n"/>
      <c r="L191" s="92" t="n"/>
      <c r="M191" s="92" t="n"/>
      <c r="N191" s="92" t="n"/>
      <c r="O191" s="92" t="n"/>
      <c r="P191" s="92" t="n"/>
      <c r="Q191" s="92" t="n"/>
      <c r="R191" s="94" t="n"/>
      <c r="S191" s="91" t="n"/>
      <c r="T191" s="94" t="n"/>
      <c r="U191" s="91" t="n"/>
      <c r="V191" s="92" t="n"/>
      <c r="W191" s="92" t="n"/>
      <c r="X191" s="94" t="n"/>
      <c r="Y191" s="91" t="n"/>
      <c r="Z191" s="92" t="n"/>
      <c r="AB191">
        <f>IF(B191="","",IFERROR(INDEX(Schedule!$N$7:$N$18,MATCH(B191,Schedule!$A$7:$A$18,0)),"not in schedule"))</f>
        <v/>
      </c>
      <c r="AC191" s="31">
        <f>IF(B191="","",N(R191)-N(X191))</f>
        <v/>
      </c>
      <c r="AD191" s="84">
        <f>IF(B191="","",IF(Z191&lt;&gt;"",Z191,IF(N(G191)&gt;0,N(N191)/G191,"")))</f>
        <v/>
      </c>
      <c r="AE191" s="17">
        <f>IF(OR(B191="",C191=""),"",WORKDAY(C191,Inputs!$C$122,Lists!$N$4:$N$30))</f>
        <v/>
      </c>
      <c r="AF191">
        <f>IF(B191="","",IF(U191="","missing",IF(U191&gt;AE191,"Y","N")))</f>
        <v/>
      </c>
    </row>
    <row r="192">
      <c r="A192" s="92" t="n"/>
      <c r="B192" s="92" t="n"/>
      <c r="C192" s="91" t="n"/>
      <c r="D192" s="92" t="n"/>
      <c r="E192" s="92" t="n"/>
      <c r="F192" s="92" t="n"/>
      <c r="G192" s="92" t="n"/>
      <c r="H192" s="92" t="n"/>
      <c r="I192" s="92" t="n"/>
      <c r="J192" s="92" t="n"/>
      <c r="K192" s="92" t="n"/>
      <c r="L192" s="92" t="n"/>
      <c r="M192" s="92" t="n"/>
      <c r="N192" s="92" t="n"/>
      <c r="O192" s="92" t="n"/>
      <c r="P192" s="92" t="n"/>
      <c r="Q192" s="92" t="n"/>
      <c r="R192" s="94" t="n"/>
      <c r="S192" s="91" t="n"/>
      <c r="T192" s="94" t="n"/>
      <c r="U192" s="91" t="n"/>
      <c r="V192" s="92" t="n"/>
      <c r="W192" s="92" t="n"/>
      <c r="X192" s="94" t="n"/>
      <c r="Y192" s="91" t="n"/>
      <c r="Z192" s="92" t="n"/>
      <c r="AB192">
        <f>IF(B192="","",IFERROR(INDEX(Schedule!$N$7:$N$18,MATCH(B192,Schedule!$A$7:$A$18,0)),"not in schedule"))</f>
        <v/>
      </c>
      <c r="AC192" s="31">
        <f>IF(B192="","",N(R192)-N(X192))</f>
        <v/>
      </c>
      <c r="AD192" s="84">
        <f>IF(B192="","",IF(Z192&lt;&gt;"",Z192,IF(N(G192)&gt;0,N(N192)/G192,"")))</f>
        <v/>
      </c>
      <c r="AE192" s="17">
        <f>IF(OR(B192="",C192=""),"",WORKDAY(C192,Inputs!$C$122,Lists!$N$4:$N$30))</f>
        <v/>
      </c>
      <c r="AF192">
        <f>IF(B192="","",IF(U192="","missing",IF(U192&gt;AE192,"Y","N")))</f>
        <v/>
      </c>
    </row>
    <row r="193">
      <c r="A193" s="92" t="n"/>
      <c r="B193" s="92" t="n"/>
      <c r="C193" s="91" t="n"/>
      <c r="D193" s="92" t="n"/>
      <c r="E193" s="92" t="n"/>
      <c r="F193" s="92" t="n"/>
      <c r="G193" s="92" t="n"/>
      <c r="H193" s="92" t="n"/>
      <c r="I193" s="92" t="n"/>
      <c r="J193" s="92" t="n"/>
      <c r="K193" s="92" t="n"/>
      <c r="L193" s="92" t="n"/>
      <c r="M193" s="92" t="n"/>
      <c r="N193" s="92" t="n"/>
      <c r="O193" s="92" t="n"/>
      <c r="P193" s="92" t="n"/>
      <c r="Q193" s="92" t="n"/>
      <c r="R193" s="94" t="n"/>
      <c r="S193" s="91" t="n"/>
      <c r="T193" s="94" t="n"/>
      <c r="U193" s="91" t="n"/>
      <c r="V193" s="92" t="n"/>
      <c r="W193" s="92" t="n"/>
      <c r="X193" s="94" t="n"/>
      <c r="Y193" s="91" t="n"/>
      <c r="Z193" s="92" t="n"/>
      <c r="AB193">
        <f>IF(B193="","",IFERROR(INDEX(Schedule!$N$7:$N$18,MATCH(B193,Schedule!$A$7:$A$18,0)),"not in schedule"))</f>
        <v/>
      </c>
      <c r="AC193" s="31">
        <f>IF(B193="","",N(R193)-N(X193))</f>
        <v/>
      </c>
      <c r="AD193" s="84">
        <f>IF(B193="","",IF(Z193&lt;&gt;"",Z193,IF(N(G193)&gt;0,N(N193)/G193,"")))</f>
        <v/>
      </c>
      <c r="AE193" s="17">
        <f>IF(OR(B193="",C193=""),"",WORKDAY(C193,Inputs!$C$122,Lists!$N$4:$N$30))</f>
        <v/>
      </c>
      <c r="AF193">
        <f>IF(B193="","",IF(U193="","missing",IF(U193&gt;AE193,"Y","N")))</f>
        <v/>
      </c>
    </row>
    <row r="194">
      <c r="A194" s="92" t="n"/>
      <c r="B194" s="92" t="n"/>
      <c r="C194" s="91" t="n"/>
      <c r="D194" s="92" t="n"/>
      <c r="E194" s="92" t="n"/>
      <c r="F194" s="92" t="n"/>
      <c r="G194" s="92" t="n"/>
      <c r="H194" s="92" t="n"/>
      <c r="I194" s="92" t="n"/>
      <c r="J194" s="92" t="n"/>
      <c r="K194" s="92" t="n"/>
      <c r="L194" s="92" t="n"/>
      <c r="M194" s="92" t="n"/>
      <c r="N194" s="92" t="n"/>
      <c r="O194" s="92" t="n"/>
      <c r="P194" s="92" t="n"/>
      <c r="Q194" s="92" t="n"/>
      <c r="R194" s="94" t="n"/>
      <c r="S194" s="91" t="n"/>
      <c r="T194" s="94" t="n"/>
      <c r="U194" s="91" t="n"/>
      <c r="V194" s="92" t="n"/>
      <c r="W194" s="92" t="n"/>
      <c r="X194" s="94" t="n"/>
      <c r="Y194" s="91" t="n"/>
      <c r="Z194" s="92" t="n"/>
      <c r="AB194">
        <f>IF(B194="","",IFERROR(INDEX(Schedule!$N$7:$N$18,MATCH(B194,Schedule!$A$7:$A$18,0)),"not in schedule"))</f>
        <v/>
      </c>
      <c r="AC194" s="31">
        <f>IF(B194="","",N(R194)-N(X194))</f>
        <v/>
      </c>
      <c r="AD194" s="84">
        <f>IF(B194="","",IF(Z194&lt;&gt;"",Z194,IF(N(G194)&gt;0,N(N194)/G194,"")))</f>
        <v/>
      </c>
      <c r="AE194" s="17">
        <f>IF(OR(B194="",C194=""),"",WORKDAY(C194,Inputs!$C$122,Lists!$N$4:$N$30))</f>
        <v/>
      </c>
      <c r="AF194">
        <f>IF(B194="","",IF(U194="","missing",IF(U194&gt;AE194,"Y","N")))</f>
        <v/>
      </c>
    </row>
    <row r="195">
      <c r="A195" s="92" t="n"/>
      <c r="B195" s="92" t="n"/>
      <c r="C195" s="91" t="n"/>
      <c r="D195" s="92" t="n"/>
      <c r="E195" s="92" t="n"/>
      <c r="F195" s="92" t="n"/>
      <c r="G195" s="92" t="n"/>
      <c r="H195" s="92" t="n"/>
      <c r="I195" s="92" t="n"/>
      <c r="J195" s="92" t="n"/>
      <c r="K195" s="92" t="n"/>
      <c r="L195" s="92" t="n"/>
      <c r="M195" s="92" t="n"/>
      <c r="N195" s="92" t="n"/>
      <c r="O195" s="92" t="n"/>
      <c r="P195" s="92" t="n"/>
      <c r="Q195" s="92" t="n"/>
      <c r="R195" s="94" t="n"/>
      <c r="S195" s="91" t="n"/>
      <c r="T195" s="94" t="n"/>
      <c r="U195" s="91" t="n"/>
      <c r="V195" s="92" t="n"/>
      <c r="W195" s="92" t="n"/>
      <c r="X195" s="94" t="n"/>
      <c r="Y195" s="91" t="n"/>
      <c r="Z195" s="92" t="n"/>
      <c r="AB195">
        <f>IF(B195="","",IFERROR(INDEX(Schedule!$N$7:$N$18,MATCH(B195,Schedule!$A$7:$A$18,0)),"not in schedule"))</f>
        <v/>
      </c>
      <c r="AC195" s="31">
        <f>IF(B195="","",N(R195)-N(X195))</f>
        <v/>
      </c>
      <c r="AD195" s="84">
        <f>IF(B195="","",IF(Z195&lt;&gt;"",Z195,IF(N(G195)&gt;0,N(N195)/G195,"")))</f>
        <v/>
      </c>
      <c r="AE195" s="17">
        <f>IF(OR(B195="",C195=""),"",WORKDAY(C195,Inputs!$C$122,Lists!$N$4:$N$30))</f>
        <v/>
      </c>
      <c r="AF195">
        <f>IF(B195="","",IF(U195="","missing",IF(U195&gt;AE195,"Y","N")))</f>
        <v/>
      </c>
    </row>
    <row r="196">
      <c r="A196" s="92" t="n"/>
      <c r="B196" s="92" t="n"/>
      <c r="C196" s="91" t="n"/>
      <c r="D196" s="92" t="n"/>
      <c r="E196" s="92" t="n"/>
      <c r="F196" s="92" t="n"/>
      <c r="G196" s="92" t="n"/>
      <c r="H196" s="92" t="n"/>
      <c r="I196" s="92" t="n"/>
      <c r="J196" s="92" t="n"/>
      <c r="K196" s="92" t="n"/>
      <c r="L196" s="92" t="n"/>
      <c r="M196" s="92" t="n"/>
      <c r="N196" s="92" t="n"/>
      <c r="O196" s="92" t="n"/>
      <c r="P196" s="92" t="n"/>
      <c r="Q196" s="92" t="n"/>
      <c r="R196" s="94" t="n"/>
      <c r="S196" s="91" t="n"/>
      <c r="T196" s="94" t="n"/>
      <c r="U196" s="91" t="n"/>
      <c r="V196" s="92" t="n"/>
      <c r="W196" s="92" t="n"/>
      <c r="X196" s="94" t="n"/>
      <c r="Y196" s="91" t="n"/>
      <c r="Z196" s="92" t="n"/>
      <c r="AB196">
        <f>IF(B196="","",IFERROR(INDEX(Schedule!$N$7:$N$18,MATCH(B196,Schedule!$A$7:$A$18,0)),"not in schedule"))</f>
        <v/>
      </c>
      <c r="AC196" s="31">
        <f>IF(B196="","",N(R196)-N(X196))</f>
        <v/>
      </c>
      <c r="AD196" s="84">
        <f>IF(B196="","",IF(Z196&lt;&gt;"",Z196,IF(N(G196)&gt;0,N(N196)/G196,"")))</f>
        <v/>
      </c>
      <c r="AE196" s="17">
        <f>IF(OR(B196="",C196=""),"",WORKDAY(C196,Inputs!$C$122,Lists!$N$4:$N$30))</f>
        <v/>
      </c>
      <c r="AF196">
        <f>IF(B196="","",IF(U196="","missing",IF(U196&gt;AE196,"Y","N")))</f>
        <v/>
      </c>
    </row>
    <row r="197">
      <c r="A197" s="92" t="n"/>
      <c r="B197" s="92" t="n"/>
      <c r="C197" s="91" t="n"/>
      <c r="D197" s="92" t="n"/>
      <c r="E197" s="92" t="n"/>
      <c r="F197" s="92" t="n"/>
      <c r="G197" s="92" t="n"/>
      <c r="H197" s="92" t="n"/>
      <c r="I197" s="92" t="n"/>
      <c r="J197" s="92" t="n"/>
      <c r="K197" s="92" t="n"/>
      <c r="L197" s="92" t="n"/>
      <c r="M197" s="92" t="n"/>
      <c r="N197" s="92" t="n"/>
      <c r="O197" s="92" t="n"/>
      <c r="P197" s="92" t="n"/>
      <c r="Q197" s="92" t="n"/>
      <c r="R197" s="94" t="n"/>
      <c r="S197" s="91" t="n"/>
      <c r="T197" s="94" t="n"/>
      <c r="U197" s="91" t="n"/>
      <c r="V197" s="92" t="n"/>
      <c r="W197" s="92" t="n"/>
      <c r="X197" s="94" t="n"/>
      <c r="Y197" s="91" t="n"/>
      <c r="Z197" s="92" t="n"/>
      <c r="AB197">
        <f>IF(B197="","",IFERROR(INDEX(Schedule!$N$7:$N$18,MATCH(B197,Schedule!$A$7:$A$18,0)),"not in schedule"))</f>
        <v/>
      </c>
      <c r="AC197" s="31">
        <f>IF(B197="","",N(R197)-N(X197))</f>
        <v/>
      </c>
      <c r="AD197" s="84">
        <f>IF(B197="","",IF(Z197&lt;&gt;"",Z197,IF(N(G197)&gt;0,N(N197)/G197,"")))</f>
        <v/>
      </c>
      <c r="AE197" s="17">
        <f>IF(OR(B197="",C197=""),"",WORKDAY(C197,Inputs!$C$122,Lists!$N$4:$N$30))</f>
        <v/>
      </c>
      <c r="AF197">
        <f>IF(B197="","",IF(U197="","missing",IF(U197&gt;AE197,"Y","N")))</f>
        <v/>
      </c>
    </row>
    <row r="198">
      <c r="A198" s="92" t="n"/>
      <c r="B198" s="92" t="n"/>
      <c r="C198" s="91" t="n"/>
      <c r="D198" s="92" t="n"/>
      <c r="E198" s="92" t="n"/>
      <c r="F198" s="92" t="n"/>
      <c r="G198" s="92" t="n"/>
      <c r="H198" s="92" t="n"/>
      <c r="I198" s="92" t="n"/>
      <c r="J198" s="92" t="n"/>
      <c r="K198" s="92" t="n"/>
      <c r="L198" s="92" t="n"/>
      <c r="M198" s="92" t="n"/>
      <c r="N198" s="92" t="n"/>
      <c r="O198" s="92" t="n"/>
      <c r="P198" s="92" t="n"/>
      <c r="Q198" s="92" t="n"/>
      <c r="R198" s="94" t="n"/>
      <c r="S198" s="91" t="n"/>
      <c r="T198" s="94" t="n"/>
      <c r="U198" s="91" t="n"/>
      <c r="V198" s="92" t="n"/>
      <c r="W198" s="92" t="n"/>
      <c r="X198" s="94" t="n"/>
      <c r="Y198" s="91" t="n"/>
      <c r="Z198" s="92" t="n"/>
      <c r="AB198">
        <f>IF(B198="","",IFERROR(INDEX(Schedule!$N$7:$N$18,MATCH(B198,Schedule!$A$7:$A$18,0)),"not in schedule"))</f>
        <v/>
      </c>
      <c r="AC198" s="31">
        <f>IF(B198="","",N(R198)-N(X198))</f>
        <v/>
      </c>
      <c r="AD198" s="84">
        <f>IF(B198="","",IF(Z198&lt;&gt;"",Z198,IF(N(G198)&gt;0,N(N198)/G198,"")))</f>
        <v/>
      </c>
      <c r="AE198" s="17">
        <f>IF(OR(B198="",C198=""),"",WORKDAY(C198,Inputs!$C$122,Lists!$N$4:$N$30))</f>
        <v/>
      </c>
      <c r="AF198">
        <f>IF(B198="","",IF(U198="","missing",IF(U198&gt;AE198,"Y","N")))</f>
        <v/>
      </c>
    </row>
    <row r="199">
      <c r="A199" s="92" t="n"/>
      <c r="B199" s="92" t="n"/>
      <c r="C199" s="91" t="n"/>
      <c r="D199" s="92" t="n"/>
      <c r="E199" s="92" t="n"/>
      <c r="F199" s="92" t="n"/>
      <c r="G199" s="92" t="n"/>
      <c r="H199" s="92" t="n"/>
      <c r="I199" s="92" t="n"/>
      <c r="J199" s="92" t="n"/>
      <c r="K199" s="92" t="n"/>
      <c r="L199" s="92" t="n"/>
      <c r="M199" s="92" t="n"/>
      <c r="N199" s="92" t="n"/>
      <c r="O199" s="92" t="n"/>
      <c r="P199" s="92" t="n"/>
      <c r="Q199" s="92" t="n"/>
      <c r="R199" s="94" t="n"/>
      <c r="S199" s="91" t="n"/>
      <c r="T199" s="94" t="n"/>
      <c r="U199" s="91" t="n"/>
      <c r="V199" s="92" t="n"/>
      <c r="W199" s="92" t="n"/>
      <c r="X199" s="94" t="n"/>
      <c r="Y199" s="91" t="n"/>
      <c r="Z199" s="92" t="n"/>
      <c r="AB199">
        <f>IF(B199="","",IFERROR(INDEX(Schedule!$N$7:$N$18,MATCH(B199,Schedule!$A$7:$A$18,0)),"not in schedule"))</f>
        <v/>
      </c>
      <c r="AC199" s="31">
        <f>IF(B199="","",N(R199)-N(X199))</f>
        <v/>
      </c>
      <c r="AD199" s="84">
        <f>IF(B199="","",IF(Z199&lt;&gt;"",Z199,IF(N(G199)&gt;0,N(N199)/G199,"")))</f>
        <v/>
      </c>
      <c r="AE199" s="17">
        <f>IF(OR(B199="",C199=""),"",WORKDAY(C199,Inputs!$C$122,Lists!$N$4:$N$30))</f>
        <v/>
      </c>
      <c r="AF199">
        <f>IF(B199="","",IF(U199="","missing",IF(U199&gt;AE199,"Y","N")))</f>
        <v/>
      </c>
    </row>
    <row r="200">
      <c r="A200" s="92" t="n"/>
      <c r="B200" s="92" t="n"/>
      <c r="C200" s="91" t="n"/>
      <c r="D200" s="92" t="n"/>
      <c r="E200" s="92" t="n"/>
      <c r="F200" s="92" t="n"/>
      <c r="G200" s="92" t="n"/>
      <c r="H200" s="92" t="n"/>
      <c r="I200" s="92" t="n"/>
      <c r="J200" s="92" t="n"/>
      <c r="K200" s="92" t="n"/>
      <c r="L200" s="92" t="n"/>
      <c r="M200" s="92" t="n"/>
      <c r="N200" s="92" t="n"/>
      <c r="O200" s="92" t="n"/>
      <c r="P200" s="92" t="n"/>
      <c r="Q200" s="92" t="n"/>
      <c r="R200" s="94" t="n"/>
      <c r="S200" s="91" t="n"/>
      <c r="T200" s="94" t="n"/>
      <c r="U200" s="91" t="n"/>
      <c r="V200" s="92" t="n"/>
      <c r="W200" s="92" t="n"/>
      <c r="X200" s="94" t="n"/>
      <c r="Y200" s="91" t="n"/>
      <c r="Z200" s="92" t="n"/>
      <c r="AB200">
        <f>IF(B200="","",IFERROR(INDEX(Schedule!$N$7:$N$18,MATCH(B200,Schedule!$A$7:$A$18,0)),"not in schedule"))</f>
        <v/>
      </c>
      <c r="AC200" s="31">
        <f>IF(B200="","",N(R200)-N(X200))</f>
        <v/>
      </c>
      <c r="AD200" s="84">
        <f>IF(B200="","",IF(Z200&lt;&gt;"",Z200,IF(N(G200)&gt;0,N(N200)/G200,"")))</f>
        <v/>
      </c>
      <c r="AE200" s="17">
        <f>IF(OR(B200="",C200=""),"",WORKDAY(C200,Inputs!$C$122,Lists!$N$4:$N$30))</f>
        <v/>
      </c>
      <c r="AF200">
        <f>IF(B200="","",IF(U200="","missing",IF(U200&gt;AE200,"Y","N")))</f>
        <v/>
      </c>
    </row>
    <row r="201">
      <c r="A201" s="92" t="n"/>
      <c r="B201" s="92" t="n"/>
      <c r="C201" s="91" t="n"/>
      <c r="D201" s="92" t="n"/>
      <c r="E201" s="92" t="n"/>
      <c r="F201" s="92" t="n"/>
      <c r="G201" s="92" t="n"/>
      <c r="H201" s="92" t="n"/>
      <c r="I201" s="92" t="n"/>
      <c r="J201" s="92" t="n"/>
      <c r="K201" s="92" t="n"/>
      <c r="L201" s="92" t="n"/>
      <c r="M201" s="92" t="n"/>
      <c r="N201" s="92" t="n"/>
      <c r="O201" s="92" t="n"/>
      <c r="P201" s="92" t="n"/>
      <c r="Q201" s="92" t="n"/>
      <c r="R201" s="94" t="n"/>
      <c r="S201" s="91" t="n"/>
      <c r="T201" s="94" t="n"/>
      <c r="U201" s="91" t="n"/>
      <c r="V201" s="92" t="n"/>
      <c r="W201" s="92" t="n"/>
      <c r="X201" s="94" t="n"/>
      <c r="Y201" s="91" t="n"/>
      <c r="Z201" s="92" t="n"/>
      <c r="AB201">
        <f>IF(B201="","",IFERROR(INDEX(Schedule!$N$7:$N$18,MATCH(B201,Schedule!$A$7:$A$18,0)),"not in schedule"))</f>
        <v/>
      </c>
      <c r="AC201" s="31">
        <f>IF(B201="","",N(R201)-N(X201))</f>
        <v/>
      </c>
      <c r="AD201" s="84">
        <f>IF(B201="","",IF(Z201&lt;&gt;"",Z201,IF(N(G201)&gt;0,N(N201)/G201,"")))</f>
        <v/>
      </c>
      <c r="AE201" s="17">
        <f>IF(OR(B201="",C201=""),"",WORKDAY(C201,Inputs!$C$122,Lists!$N$4:$N$30))</f>
        <v/>
      </c>
      <c r="AF201">
        <f>IF(B201="","",IF(U201="","missing",IF(U201&gt;AE201,"Y","N")))</f>
        <v/>
      </c>
    </row>
    <row r="202">
      <c r="A202" s="92" t="n"/>
      <c r="B202" s="92" t="n"/>
      <c r="C202" s="91" t="n"/>
      <c r="D202" s="92" t="n"/>
      <c r="E202" s="92" t="n"/>
      <c r="F202" s="92" t="n"/>
      <c r="G202" s="92" t="n"/>
      <c r="H202" s="92" t="n"/>
      <c r="I202" s="92" t="n"/>
      <c r="J202" s="92" t="n"/>
      <c r="K202" s="92" t="n"/>
      <c r="L202" s="92" t="n"/>
      <c r="M202" s="92" t="n"/>
      <c r="N202" s="92" t="n"/>
      <c r="O202" s="92" t="n"/>
      <c r="P202" s="92" t="n"/>
      <c r="Q202" s="92" t="n"/>
      <c r="R202" s="94" t="n"/>
      <c r="S202" s="91" t="n"/>
      <c r="T202" s="94" t="n"/>
      <c r="U202" s="91" t="n"/>
      <c r="V202" s="92" t="n"/>
      <c r="W202" s="92" t="n"/>
      <c r="X202" s="94" t="n"/>
      <c r="Y202" s="91" t="n"/>
      <c r="Z202" s="92" t="n"/>
      <c r="AB202">
        <f>IF(B202="","",IFERROR(INDEX(Schedule!$N$7:$N$18,MATCH(B202,Schedule!$A$7:$A$18,0)),"not in schedule"))</f>
        <v/>
      </c>
      <c r="AC202" s="31">
        <f>IF(B202="","",N(R202)-N(X202))</f>
        <v/>
      </c>
      <c r="AD202" s="84">
        <f>IF(B202="","",IF(Z202&lt;&gt;"",Z202,IF(N(G202)&gt;0,N(N202)/G202,"")))</f>
        <v/>
      </c>
      <c r="AE202" s="17">
        <f>IF(OR(B202="",C202=""),"",WORKDAY(C202,Inputs!$C$122,Lists!$N$4:$N$30))</f>
        <v/>
      </c>
      <c r="AF202">
        <f>IF(B202="","",IF(U202="","missing",IF(U202&gt;AE202,"Y","N")))</f>
        <v/>
      </c>
    </row>
    <row r="203">
      <c r="A203" s="92" t="n"/>
      <c r="B203" s="92" t="n"/>
      <c r="C203" s="91" t="n"/>
      <c r="D203" s="92" t="n"/>
      <c r="E203" s="92" t="n"/>
      <c r="F203" s="92" t="n"/>
      <c r="G203" s="92" t="n"/>
      <c r="H203" s="92" t="n"/>
      <c r="I203" s="92" t="n"/>
      <c r="J203" s="92" t="n"/>
      <c r="K203" s="92" t="n"/>
      <c r="L203" s="92" t="n"/>
      <c r="M203" s="92" t="n"/>
      <c r="N203" s="92" t="n"/>
      <c r="O203" s="92" t="n"/>
      <c r="P203" s="92" t="n"/>
      <c r="Q203" s="92" t="n"/>
      <c r="R203" s="94" t="n"/>
      <c r="S203" s="91" t="n"/>
      <c r="T203" s="94" t="n"/>
      <c r="U203" s="91" t="n"/>
      <c r="V203" s="92" t="n"/>
      <c r="W203" s="92" t="n"/>
      <c r="X203" s="94" t="n"/>
      <c r="Y203" s="91" t="n"/>
      <c r="Z203" s="92" t="n"/>
      <c r="AB203">
        <f>IF(B203="","",IFERROR(INDEX(Schedule!$N$7:$N$18,MATCH(B203,Schedule!$A$7:$A$18,0)),"not in schedule"))</f>
        <v/>
      </c>
      <c r="AC203" s="31">
        <f>IF(B203="","",N(R203)-N(X203))</f>
        <v/>
      </c>
      <c r="AD203" s="84">
        <f>IF(B203="","",IF(Z203&lt;&gt;"",Z203,IF(N(G203)&gt;0,N(N203)/G203,"")))</f>
        <v/>
      </c>
      <c r="AE203" s="17">
        <f>IF(OR(B203="",C203=""),"",WORKDAY(C203,Inputs!$C$122,Lists!$N$4:$N$30))</f>
        <v/>
      </c>
      <c r="AF203">
        <f>IF(B203="","",IF(U203="","missing",IF(U203&gt;AE203,"Y","N")))</f>
        <v/>
      </c>
    </row>
    <row r="204">
      <c r="A204" s="92" t="n"/>
      <c r="B204" s="92" t="n"/>
      <c r="C204" s="91" t="n"/>
      <c r="D204" s="92" t="n"/>
      <c r="E204" s="92" t="n"/>
      <c r="F204" s="92" t="n"/>
      <c r="G204" s="92" t="n"/>
      <c r="H204" s="92" t="n"/>
      <c r="I204" s="92" t="n"/>
      <c r="J204" s="92" t="n"/>
      <c r="K204" s="92" t="n"/>
      <c r="L204" s="92" t="n"/>
      <c r="M204" s="92" t="n"/>
      <c r="N204" s="92" t="n"/>
      <c r="O204" s="92" t="n"/>
      <c r="P204" s="92" t="n"/>
      <c r="Q204" s="92" t="n"/>
      <c r="R204" s="94" t="n"/>
      <c r="S204" s="91" t="n"/>
      <c r="T204" s="94" t="n"/>
      <c r="U204" s="91" t="n"/>
      <c r="V204" s="92" t="n"/>
      <c r="W204" s="92" t="n"/>
      <c r="X204" s="94" t="n"/>
      <c r="Y204" s="91" t="n"/>
      <c r="Z204" s="92" t="n"/>
      <c r="AB204">
        <f>IF(B204="","",IFERROR(INDEX(Schedule!$N$7:$N$18,MATCH(B204,Schedule!$A$7:$A$18,0)),"not in schedule"))</f>
        <v/>
      </c>
      <c r="AC204" s="31">
        <f>IF(B204="","",N(R204)-N(X204))</f>
        <v/>
      </c>
      <c r="AD204" s="84">
        <f>IF(B204="","",IF(Z204&lt;&gt;"",Z204,IF(N(G204)&gt;0,N(N204)/G204,"")))</f>
        <v/>
      </c>
      <c r="AE204" s="17">
        <f>IF(OR(B204="",C204=""),"",WORKDAY(C204,Inputs!$C$122,Lists!$N$4:$N$30))</f>
        <v/>
      </c>
      <c r="AF204">
        <f>IF(B204="","",IF(U204="","missing",IF(U204&gt;AE204,"Y","N")))</f>
        <v/>
      </c>
    </row>
  </sheetData>
  <mergeCells count="1">
    <mergeCell ref="A3:Z3"/>
  </mergeCells>
  <dataValidations count="4">
    <dataValidation sqref="D5:D204" showDropDown="0" showInputMessage="0" showErrorMessage="0" allowBlank="1" errorTitle="Not in the list" error="Pick a value from the list." type="list">
      <formula1>=Lists!$A$4:$A$6</formula1>
    </dataValidation>
    <dataValidation sqref="E5:E204" showDropDown="0" showInputMessage="0" showErrorMessage="0" allowBlank="1" errorTitle="Not in the list" error="Pick a value from the list." type="list">
      <formula1>=Lists!$B$4:$B$5</formula1>
    </dataValidation>
    <dataValidation sqref="V5:V204" showDropDown="0" showInputMessage="0" showErrorMessage="0" allowBlank="1" errorTitle="Not in the list" error="Pick a value from the list." type="list">
      <formula1>=Lists!$I$4:$I$6</formula1>
    </dataValidation>
    <dataValidation sqref="W5:W204" showDropDown="0" showInputMessage="0" showErrorMessage="0" allowBlank="1" errorTitle="Not in the list" error="Pick a value from the list." type="list">
      <formula1>=Lists!$J$4:$J$6</formula1>
    </dataValidation>
  </dataValidations>
  <pageMargins left="0.75" right="0.75" top="1" bottom="1" header="0.5" footer="0.5"/>
</worksheet>
</file>

<file path=xl/worksheets/sheet17.xml><?xml version="1.0" encoding="utf-8"?>
<worksheet xmlns="http://schemas.openxmlformats.org/spreadsheetml/2006/main">
  <sheetPr>
    <tabColor rgb="008FB98B"/>
    <outlinePr summaryBelow="1" summaryRight="1"/>
    <pageSetUpPr/>
  </sheetPr>
  <dimension ref="A1:K10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40" customWidth="1" min="9" max="9"/>
    <col width="3" customWidth="1" min="10" max="10"/>
    <col width="16" customWidth="1" min="11" max="11"/>
  </cols>
  <sheetData>
    <row r="1">
      <c r="A1" s="1" t="inlineStr">
        <is>
          <t>Actuals: one row per drop, direct costs only</t>
        </is>
      </c>
    </row>
    <row r="2">
      <c r="A2" s="2" t="inlineStr">
        <is>
          <t>Paste campaign-ops/exports/drop_costs.csv with its header in row 4 (columns A to I). Monthly overhead is not here; Cash_Flow pays it once.</t>
        </is>
      </c>
    </row>
    <row r="4" ht="32" customHeight="1">
      <c r="A4" s="10" t="inlineStr">
        <is>
          <t>drop_id</t>
        </is>
      </c>
      <c r="B4" s="10" t="inlineStr">
        <is>
          <t>drop_date</t>
        </is>
      </c>
      <c r="C4" s="10" t="inlineStr">
        <is>
          <t>delivery_model</t>
        </is>
      </c>
      <c r="D4" s="10" t="inlineStr">
        <is>
          <t>offices</t>
        </is>
      </c>
      <c r="E4" s="10" t="inlineStr">
        <is>
          <t>brands</t>
        </is>
      </c>
      <c r="F4" s="10" t="inlineStr">
        <is>
          <t>kit_cost_usd</t>
        </is>
      </c>
      <c r="G4" s="10" t="inlineStr">
        <is>
          <t>transport_cost_usd</t>
        </is>
      </c>
      <c r="H4" s="10" t="inlineStr">
        <is>
          <t>other_direct_cost_usd</t>
        </is>
      </c>
      <c r="I4" s="10" t="inlineStr">
        <is>
          <t>notes</t>
        </is>
      </c>
      <c r="K4" s="10" t="inlineStr">
        <is>
          <t>drop actuals in?</t>
        </is>
      </c>
    </row>
    <row r="5">
      <c r="A5" s="92" t="n"/>
      <c r="B5" s="91" t="n"/>
      <c r="C5" s="92" t="n"/>
      <c r="D5" s="92" t="n"/>
      <c r="E5" s="92" t="n"/>
      <c r="F5" s="94" t="n"/>
      <c r="G5" s="94" t="n"/>
      <c r="H5" s="94" t="n"/>
      <c r="I5" s="92" t="n"/>
      <c r="K5">
        <f>IF(A5="","",IFERROR(INDEX(Schedule!$N$7:$N$18,MATCH(A5,Schedule!$A$7:$A$18,0)),"not in schedule"))</f>
        <v/>
      </c>
    </row>
    <row r="6">
      <c r="A6" s="92" t="n"/>
      <c r="B6" s="91" t="n"/>
      <c r="C6" s="92" t="n"/>
      <c r="D6" s="92" t="n"/>
      <c r="E6" s="92" t="n"/>
      <c r="F6" s="94" t="n"/>
      <c r="G6" s="94" t="n"/>
      <c r="H6" s="94" t="n"/>
      <c r="I6" s="92" t="n"/>
      <c r="K6">
        <f>IF(A6="","",IFERROR(INDEX(Schedule!$N$7:$N$18,MATCH(A6,Schedule!$A$7:$A$18,0)),"not in schedule"))</f>
        <v/>
      </c>
    </row>
    <row r="7">
      <c r="A7" s="92" t="n"/>
      <c r="B7" s="91" t="n"/>
      <c r="C7" s="92" t="n"/>
      <c r="D7" s="92" t="n"/>
      <c r="E7" s="92" t="n"/>
      <c r="F7" s="94" t="n"/>
      <c r="G7" s="94" t="n"/>
      <c r="H7" s="94" t="n"/>
      <c r="I7" s="92" t="n"/>
      <c r="K7">
        <f>IF(A7="","",IFERROR(INDEX(Schedule!$N$7:$N$18,MATCH(A7,Schedule!$A$7:$A$18,0)),"not in schedule"))</f>
        <v/>
      </c>
    </row>
    <row r="8">
      <c r="A8" s="92" t="n"/>
      <c r="B8" s="91" t="n"/>
      <c r="C8" s="92" t="n"/>
      <c r="D8" s="92" t="n"/>
      <c r="E8" s="92" t="n"/>
      <c r="F8" s="94" t="n"/>
      <c r="G8" s="94" t="n"/>
      <c r="H8" s="94" t="n"/>
      <c r="I8" s="92" t="n"/>
      <c r="K8">
        <f>IF(A8="","",IFERROR(INDEX(Schedule!$N$7:$N$18,MATCH(A8,Schedule!$A$7:$A$18,0)),"not in schedule"))</f>
        <v/>
      </c>
    </row>
    <row r="9">
      <c r="A9" s="92" t="n"/>
      <c r="B9" s="91" t="n"/>
      <c r="C9" s="92" t="n"/>
      <c r="D9" s="92" t="n"/>
      <c r="E9" s="92" t="n"/>
      <c r="F9" s="94" t="n"/>
      <c r="G9" s="94" t="n"/>
      <c r="H9" s="94" t="n"/>
      <c r="I9" s="92" t="n"/>
      <c r="K9">
        <f>IF(A9="","",IFERROR(INDEX(Schedule!$N$7:$N$18,MATCH(A9,Schedule!$A$7:$A$18,0)),"not in schedule"))</f>
        <v/>
      </c>
    </row>
    <row r="10">
      <c r="A10" s="92" t="n"/>
      <c r="B10" s="91" t="n"/>
      <c r="C10" s="92" t="n"/>
      <c r="D10" s="92" t="n"/>
      <c r="E10" s="92" t="n"/>
      <c r="F10" s="94" t="n"/>
      <c r="G10" s="94" t="n"/>
      <c r="H10" s="94" t="n"/>
      <c r="I10" s="92" t="n"/>
      <c r="K10">
        <f>IF(A10="","",IFERROR(INDEX(Schedule!$N$7:$N$18,MATCH(A10,Schedule!$A$7:$A$18,0)),"not in schedule"))</f>
        <v/>
      </c>
    </row>
    <row r="11">
      <c r="A11" s="92" t="n"/>
      <c r="B11" s="91" t="n"/>
      <c r="C11" s="92" t="n"/>
      <c r="D11" s="92" t="n"/>
      <c r="E11" s="92" t="n"/>
      <c r="F11" s="94" t="n"/>
      <c r="G11" s="94" t="n"/>
      <c r="H11" s="94" t="n"/>
      <c r="I11" s="92" t="n"/>
      <c r="K11">
        <f>IF(A11="","",IFERROR(INDEX(Schedule!$N$7:$N$18,MATCH(A11,Schedule!$A$7:$A$18,0)),"not in schedule"))</f>
        <v/>
      </c>
    </row>
    <row r="12">
      <c r="A12" s="92" t="n"/>
      <c r="B12" s="91" t="n"/>
      <c r="C12" s="92" t="n"/>
      <c r="D12" s="92" t="n"/>
      <c r="E12" s="92" t="n"/>
      <c r="F12" s="94" t="n"/>
      <c r="G12" s="94" t="n"/>
      <c r="H12" s="94" t="n"/>
      <c r="I12" s="92" t="n"/>
      <c r="K12">
        <f>IF(A12="","",IFERROR(INDEX(Schedule!$N$7:$N$18,MATCH(A12,Schedule!$A$7:$A$18,0)),"not in schedule"))</f>
        <v/>
      </c>
    </row>
    <row r="13">
      <c r="A13" s="92" t="n"/>
      <c r="B13" s="91" t="n"/>
      <c r="C13" s="92" t="n"/>
      <c r="D13" s="92" t="n"/>
      <c r="E13" s="92" t="n"/>
      <c r="F13" s="94" t="n"/>
      <c r="G13" s="94" t="n"/>
      <c r="H13" s="94" t="n"/>
      <c r="I13" s="92" t="n"/>
      <c r="K13">
        <f>IF(A13="","",IFERROR(INDEX(Schedule!$N$7:$N$18,MATCH(A13,Schedule!$A$7:$A$18,0)),"not in schedule"))</f>
        <v/>
      </c>
    </row>
    <row r="14">
      <c r="A14" s="92" t="n"/>
      <c r="B14" s="91" t="n"/>
      <c r="C14" s="92" t="n"/>
      <c r="D14" s="92" t="n"/>
      <c r="E14" s="92" t="n"/>
      <c r="F14" s="94" t="n"/>
      <c r="G14" s="94" t="n"/>
      <c r="H14" s="94" t="n"/>
      <c r="I14" s="92" t="n"/>
      <c r="K14">
        <f>IF(A14="","",IFERROR(INDEX(Schedule!$N$7:$N$18,MATCH(A14,Schedule!$A$7:$A$18,0)),"not in schedule"))</f>
        <v/>
      </c>
    </row>
    <row r="15">
      <c r="A15" s="92" t="n"/>
      <c r="B15" s="91" t="n"/>
      <c r="C15" s="92" t="n"/>
      <c r="D15" s="92" t="n"/>
      <c r="E15" s="92" t="n"/>
      <c r="F15" s="94" t="n"/>
      <c r="G15" s="94" t="n"/>
      <c r="H15" s="94" t="n"/>
      <c r="I15" s="92" t="n"/>
      <c r="K15">
        <f>IF(A15="","",IFERROR(INDEX(Schedule!$N$7:$N$18,MATCH(A15,Schedule!$A$7:$A$18,0)),"not in schedule"))</f>
        <v/>
      </c>
    </row>
    <row r="16">
      <c r="A16" s="92" t="n"/>
      <c r="B16" s="91" t="n"/>
      <c r="C16" s="92" t="n"/>
      <c r="D16" s="92" t="n"/>
      <c r="E16" s="92" t="n"/>
      <c r="F16" s="94" t="n"/>
      <c r="G16" s="94" t="n"/>
      <c r="H16" s="94" t="n"/>
      <c r="I16" s="92" t="n"/>
      <c r="K16">
        <f>IF(A16="","",IFERROR(INDEX(Schedule!$N$7:$N$18,MATCH(A16,Schedule!$A$7:$A$18,0)),"not in schedule"))</f>
        <v/>
      </c>
    </row>
    <row r="17">
      <c r="A17" s="92" t="n"/>
      <c r="B17" s="91" t="n"/>
      <c r="C17" s="92" t="n"/>
      <c r="D17" s="92" t="n"/>
      <c r="E17" s="92" t="n"/>
      <c r="F17" s="94" t="n"/>
      <c r="G17" s="94" t="n"/>
      <c r="H17" s="94" t="n"/>
      <c r="I17" s="92" t="n"/>
      <c r="K17">
        <f>IF(A17="","",IFERROR(INDEX(Schedule!$N$7:$N$18,MATCH(A17,Schedule!$A$7:$A$18,0)),"not in schedule"))</f>
        <v/>
      </c>
    </row>
    <row r="18">
      <c r="A18" s="92" t="n"/>
      <c r="B18" s="91" t="n"/>
      <c r="C18" s="92" t="n"/>
      <c r="D18" s="92" t="n"/>
      <c r="E18" s="92" t="n"/>
      <c r="F18" s="94" t="n"/>
      <c r="G18" s="94" t="n"/>
      <c r="H18" s="94" t="n"/>
      <c r="I18" s="92" t="n"/>
      <c r="K18">
        <f>IF(A18="","",IFERROR(INDEX(Schedule!$N$7:$N$18,MATCH(A18,Schedule!$A$7:$A$18,0)),"not in schedule"))</f>
        <v/>
      </c>
    </row>
    <row r="19">
      <c r="A19" s="92" t="n"/>
      <c r="B19" s="91" t="n"/>
      <c r="C19" s="92" t="n"/>
      <c r="D19" s="92" t="n"/>
      <c r="E19" s="92" t="n"/>
      <c r="F19" s="94" t="n"/>
      <c r="G19" s="94" t="n"/>
      <c r="H19" s="94" t="n"/>
      <c r="I19" s="92" t="n"/>
      <c r="K19">
        <f>IF(A19="","",IFERROR(INDEX(Schedule!$N$7:$N$18,MATCH(A19,Schedule!$A$7:$A$18,0)),"not in schedule"))</f>
        <v/>
      </c>
    </row>
    <row r="20">
      <c r="A20" s="92" t="n"/>
      <c r="B20" s="91" t="n"/>
      <c r="C20" s="92" t="n"/>
      <c r="D20" s="92" t="n"/>
      <c r="E20" s="92" t="n"/>
      <c r="F20" s="94" t="n"/>
      <c r="G20" s="94" t="n"/>
      <c r="H20" s="94" t="n"/>
      <c r="I20" s="92" t="n"/>
      <c r="K20">
        <f>IF(A20="","",IFERROR(INDEX(Schedule!$N$7:$N$18,MATCH(A20,Schedule!$A$7:$A$18,0)),"not in schedule"))</f>
        <v/>
      </c>
    </row>
    <row r="21">
      <c r="A21" s="92" t="n"/>
      <c r="B21" s="91" t="n"/>
      <c r="C21" s="92" t="n"/>
      <c r="D21" s="92" t="n"/>
      <c r="E21" s="92" t="n"/>
      <c r="F21" s="94" t="n"/>
      <c r="G21" s="94" t="n"/>
      <c r="H21" s="94" t="n"/>
      <c r="I21" s="92" t="n"/>
      <c r="K21">
        <f>IF(A21="","",IFERROR(INDEX(Schedule!$N$7:$N$18,MATCH(A21,Schedule!$A$7:$A$18,0)),"not in schedule"))</f>
        <v/>
      </c>
    </row>
    <row r="22">
      <c r="A22" s="92" t="n"/>
      <c r="B22" s="91" t="n"/>
      <c r="C22" s="92" t="n"/>
      <c r="D22" s="92" t="n"/>
      <c r="E22" s="92" t="n"/>
      <c r="F22" s="94" t="n"/>
      <c r="G22" s="94" t="n"/>
      <c r="H22" s="94" t="n"/>
      <c r="I22" s="92" t="n"/>
      <c r="K22">
        <f>IF(A22="","",IFERROR(INDEX(Schedule!$N$7:$N$18,MATCH(A22,Schedule!$A$7:$A$18,0)),"not in schedule"))</f>
        <v/>
      </c>
    </row>
    <row r="23">
      <c r="A23" s="92" t="n"/>
      <c r="B23" s="91" t="n"/>
      <c r="C23" s="92" t="n"/>
      <c r="D23" s="92" t="n"/>
      <c r="E23" s="92" t="n"/>
      <c r="F23" s="94" t="n"/>
      <c r="G23" s="94" t="n"/>
      <c r="H23" s="94" t="n"/>
      <c r="I23" s="92" t="n"/>
      <c r="K23">
        <f>IF(A23="","",IFERROR(INDEX(Schedule!$N$7:$N$18,MATCH(A23,Schedule!$A$7:$A$18,0)),"not in schedule"))</f>
        <v/>
      </c>
    </row>
    <row r="24">
      <c r="A24" s="92" t="n"/>
      <c r="B24" s="91" t="n"/>
      <c r="C24" s="92" t="n"/>
      <c r="D24" s="92" t="n"/>
      <c r="E24" s="92" t="n"/>
      <c r="F24" s="94" t="n"/>
      <c r="G24" s="94" t="n"/>
      <c r="H24" s="94" t="n"/>
      <c r="I24" s="92" t="n"/>
      <c r="K24">
        <f>IF(A24="","",IFERROR(INDEX(Schedule!$N$7:$N$18,MATCH(A24,Schedule!$A$7:$A$18,0)),"not in schedule"))</f>
        <v/>
      </c>
    </row>
    <row r="25">
      <c r="A25" s="92" t="n"/>
      <c r="B25" s="91" t="n"/>
      <c r="C25" s="92" t="n"/>
      <c r="D25" s="92" t="n"/>
      <c r="E25" s="92" t="n"/>
      <c r="F25" s="94" t="n"/>
      <c r="G25" s="94" t="n"/>
      <c r="H25" s="94" t="n"/>
      <c r="I25" s="92" t="n"/>
      <c r="K25">
        <f>IF(A25="","",IFERROR(INDEX(Schedule!$N$7:$N$18,MATCH(A25,Schedule!$A$7:$A$18,0)),"not in schedule"))</f>
        <v/>
      </c>
    </row>
    <row r="26">
      <c r="A26" s="92" t="n"/>
      <c r="B26" s="91" t="n"/>
      <c r="C26" s="92" t="n"/>
      <c r="D26" s="92" t="n"/>
      <c r="E26" s="92" t="n"/>
      <c r="F26" s="94" t="n"/>
      <c r="G26" s="94" t="n"/>
      <c r="H26" s="94" t="n"/>
      <c r="I26" s="92" t="n"/>
      <c r="K26">
        <f>IF(A26="","",IFERROR(INDEX(Schedule!$N$7:$N$18,MATCH(A26,Schedule!$A$7:$A$18,0)),"not in schedule"))</f>
        <v/>
      </c>
    </row>
    <row r="27">
      <c r="A27" s="92" t="n"/>
      <c r="B27" s="91" t="n"/>
      <c r="C27" s="92" t="n"/>
      <c r="D27" s="92" t="n"/>
      <c r="E27" s="92" t="n"/>
      <c r="F27" s="94" t="n"/>
      <c r="G27" s="94" t="n"/>
      <c r="H27" s="94" t="n"/>
      <c r="I27" s="92" t="n"/>
      <c r="K27">
        <f>IF(A27="","",IFERROR(INDEX(Schedule!$N$7:$N$18,MATCH(A27,Schedule!$A$7:$A$18,0)),"not in schedule"))</f>
        <v/>
      </c>
    </row>
    <row r="28">
      <c r="A28" s="92" t="n"/>
      <c r="B28" s="91" t="n"/>
      <c r="C28" s="92" t="n"/>
      <c r="D28" s="92" t="n"/>
      <c r="E28" s="92" t="n"/>
      <c r="F28" s="94" t="n"/>
      <c r="G28" s="94" t="n"/>
      <c r="H28" s="94" t="n"/>
      <c r="I28" s="92" t="n"/>
      <c r="K28">
        <f>IF(A28="","",IFERROR(INDEX(Schedule!$N$7:$N$18,MATCH(A28,Schedule!$A$7:$A$18,0)),"not in schedule"))</f>
        <v/>
      </c>
    </row>
    <row r="29">
      <c r="A29" s="92" t="n"/>
      <c r="B29" s="91" t="n"/>
      <c r="C29" s="92" t="n"/>
      <c r="D29" s="92" t="n"/>
      <c r="E29" s="92" t="n"/>
      <c r="F29" s="94" t="n"/>
      <c r="G29" s="94" t="n"/>
      <c r="H29" s="94" t="n"/>
      <c r="I29" s="92" t="n"/>
      <c r="K29">
        <f>IF(A29="","",IFERROR(INDEX(Schedule!$N$7:$N$18,MATCH(A29,Schedule!$A$7:$A$18,0)),"not in schedule"))</f>
        <v/>
      </c>
    </row>
    <row r="30">
      <c r="A30" s="92" t="n"/>
      <c r="B30" s="91" t="n"/>
      <c r="C30" s="92" t="n"/>
      <c r="D30" s="92" t="n"/>
      <c r="E30" s="92" t="n"/>
      <c r="F30" s="94" t="n"/>
      <c r="G30" s="94" t="n"/>
      <c r="H30" s="94" t="n"/>
      <c r="I30" s="92" t="n"/>
      <c r="K30">
        <f>IF(A30="","",IFERROR(INDEX(Schedule!$N$7:$N$18,MATCH(A30,Schedule!$A$7:$A$18,0)),"not in schedule"))</f>
        <v/>
      </c>
    </row>
    <row r="31">
      <c r="A31" s="92" t="n"/>
      <c r="B31" s="91" t="n"/>
      <c r="C31" s="92" t="n"/>
      <c r="D31" s="92" t="n"/>
      <c r="E31" s="92" t="n"/>
      <c r="F31" s="94" t="n"/>
      <c r="G31" s="94" t="n"/>
      <c r="H31" s="94" t="n"/>
      <c r="I31" s="92" t="n"/>
      <c r="K31">
        <f>IF(A31="","",IFERROR(INDEX(Schedule!$N$7:$N$18,MATCH(A31,Schedule!$A$7:$A$18,0)),"not in schedule"))</f>
        <v/>
      </c>
    </row>
    <row r="32">
      <c r="A32" s="92" t="n"/>
      <c r="B32" s="91" t="n"/>
      <c r="C32" s="92" t="n"/>
      <c r="D32" s="92" t="n"/>
      <c r="E32" s="92" t="n"/>
      <c r="F32" s="94" t="n"/>
      <c r="G32" s="94" t="n"/>
      <c r="H32" s="94" t="n"/>
      <c r="I32" s="92" t="n"/>
      <c r="K32">
        <f>IF(A32="","",IFERROR(INDEX(Schedule!$N$7:$N$18,MATCH(A32,Schedule!$A$7:$A$18,0)),"not in schedule"))</f>
        <v/>
      </c>
    </row>
    <row r="33">
      <c r="A33" s="92" t="n"/>
      <c r="B33" s="91" t="n"/>
      <c r="C33" s="92" t="n"/>
      <c r="D33" s="92" t="n"/>
      <c r="E33" s="92" t="n"/>
      <c r="F33" s="94" t="n"/>
      <c r="G33" s="94" t="n"/>
      <c r="H33" s="94" t="n"/>
      <c r="I33" s="92" t="n"/>
      <c r="K33">
        <f>IF(A33="","",IFERROR(INDEX(Schedule!$N$7:$N$18,MATCH(A33,Schedule!$A$7:$A$18,0)),"not in schedule"))</f>
        <v/>
      </c>
    </row>
    <row r="34">
      <c r="A34" s="92" t="n"/>
      <c r="B34" s="91" t="n"/>
      <c r="C34" s="92" t="n"/>
      <c r="D34" s="92" t="n"/>
      <c r="E34" s="92" t="n"/>
      <c r="F34" s="94" t="n"/>
      <c r="G34" s="94" t="n"/>
      <c r="H34" s="94" t="n"/>
      <c r="I34" s="92" t="n"/>
      <c r="K34">
        <f>IF(A34="","",IFERROR(INDEX(Schedule!$N$7:$N$18,MATCH(A34,Schedule!$A$7:$A$18,0)),"not in schedule"))</f>
        <v/>
      </c>
    </row>
    <row r="35">
      <c r="A35" s="92" t="n"/>
      <c r="B35" s="91" t="n"/>
      <c r="C35" s="92" t="n"/>
      <c r="D35" s="92" t="n"/>
      <c r="E35" s="92" t="n"/>
      <c r="F35" s="94" t="n"/>
      <c r="G35" s="94" t="n"/>
      <c r="H35" s="94" t="n"/>
      <c r="I35" s="92" t="n"/>
      <c r="K35">
        <f>IF(A35="","",IFERROR(INDEX(Schedule!$N$7:$N$18,MATCH(A35,Schedule!$A$7:$A$18,0)),"not in schedule"))</f>
        <v/>
      </c>
    </row>
    <row r="36">
      <c r="A36" s="92" t="n"/>
      <c r="B36" s="91" t="n"/>
      <c r="C36" s="92" t="n"/>
      <c r="D36" s="92" t="n"/>
      <c r="E36" s="92" t="n"/>
      <c r="F36" s="94" t="n"/>
      <c r="G36" s="94" t="n"/>
      <c r="H36" s="94" t="n"/>
      <c r="I36" s="92" t="n"/>
      <c r="K36">
        <f>IF(A36="","",IFERROR(INDEX(Schedule!$N$7:$N$18,MATCH(A36,Schedule!$A$7:$A$18,0)),"not in schedule"))</f>
        <v/>
      </c>
    </row>
    <row r="37">
      <c r="A37" s="92" t="n"/>
      <c r="B37" s="91" t="n"/>
      <c r="C37" s="92" t="n"/>
      <c r="D37" s="92" t="n"/>
      <c r="E37" s="92" t="n"/>
      <c r="F37" s="94" t="n"/>
      <c r="G37" s="94" t="n"/>
      <c r="H37" s="94" t="n"/>
      <c r="I37" s="92" t="n"/>
      <c r="K37">
        <f>IF(A37="","",IFERROR(INDEX(Schedule!$N$7:$N$18,MATCH(A37,Schedule!$A$7:$A$18,0)),"not in schedule"))</f>
        <v/>
      </c>
    </row>
    <row r="38">
      <c r="A38" s="92" t="n"/>
      <c r="B38" s="91" t="n"/>
      <c r="C38" s="92" t="n"/>
      <c r="D38" s="92" t="n"/>
      <c r="E38" s="92" t="n"/>
      <c r="F38" s="94" t="n"/>
      <c r="G38" s="94" t="n"/>
      <c r="H38" s="94" t="n"/>
      <c r="I38" s="92" t="n"/>
      <c r="K38">
        <f>IF(A38="","",IFERROR(INDEX(Schedule!$N$7:$N$18,MATCH(A38,Schedule!$A$7:$A$18,0)),"not in schedule"))</f>
        <v/>
      </c>
    </row>
    <row r="39">
      <c r="A39" s="92" t="n"/>
      <c r="B39" s="91" t="n"/>
      <c r="C39" s="92" t="n"/>
      <c r="D39" s="92" t="n"/>
      <c r="E39" s="92" t="n"/>
      <c r="F39" s="94" t="n"/>
      <c r="G39" s="94" t="n"/>
      <c r="H39" s="94" t="n"/>
      <c r="I39" s="92" t="n"/>
      <c r="K39">
        <f>IF(A39="","",IFERROR(INDEX(Schedule!$N$7:$N$18,MATCH(A39,Schedule!$A$7:$A$18,0)),"not in schedule"))</f>
        <v/>
      </c>
    </row>
    <row r="40">
      <c r="A40" s="92" t="n"/>
      <c r="B40" s="91" t="n"/>
      <c r="C40" s="92" t="n"/>
      <c r="D40" s="92" t="n"/>
      <c r="E40" s="92" t="n"/>
      <c r="F40" s="94" t="n"/>
      <c r="G40" s="94" t="n"/>
      <c r="H40" s="94" t="n"/>
      <c r="I40" s="92" t="n"/>
      <c r="K40">
        <f>IF(A40="","",IFERROR(INDEX(Schedule!$N$7:$N$18,MATCH(A40,Schedule!$A$7:$A$18,0)),"not in schedule"))</f>
        <v/>
      </c>
    </row>
    <row r="41">
      <c r="A41" s="92" t="n"/>
      <c r="B41" s="91" t="n"/>
      <c r="C41" s="92" t="n"/>
      <c r="D41" s="92" t="n"/>
      <c r="E41" s="92" t="n"/>
      <c r="F41" s="94" t="n"/>
      <c r="G41" s="94" t="n"/>
      <c r="H41" s="94" t="n"/>
      <c r="I41" s="92" t="n"/>
      <c r="K41">
        <f>IF(A41="","",IFERROR(INDEX(Schedule!$N$7:$N$18,MATCH(A41,Schedule!$A$7:$A$18,0)),"not in schedule"))</f>
        <v/>
      </c>
    </row>
    <row r="42">
      <c r="A42" s="92" t="n"/>
      <c r="B42" s="91" t="n"/>
      <c r="C42" s="92" t="n"/>
      <c r="D42" s="92" t="n"/>
      <c r="E42" s="92" t="n"/>
      <c r="F42" s="94" t="n"/>
      <c r="G42" s="94" t="n"/>
      <c r="H42" s="94" t="n"/>
      <c r="I42" s="92" t="n"/>
      <c r="K42">
        <f>IF(A42="","",IFERROR(INDEX(Schedule!$N$7:$N$18,MATCH(A42,Schedule!$A$7:$A$18,0)),"not in schedule"))</f>
        <v/>
      </c>
    </row>
    <row r="43">
      <c r="A43" s="92" t="n"/>
      <c r="B43" s="91" t="n"/>
      <c r="C43" s="92" t="n"/>
      <c r="D43" s="92" t="n"/>
      <c r="E43" s="92" t="n"/>
      <c r="F43" s="94" t="n"/>
      <c r="G43" s="94" t="n"/>
      <c r="H43" s="94" t="n"/>
      <c r="I43" s="92" t="n"/>
      <c r="K43">
        <f>IF(A43="","",IFERROR(INDEX(Schedule!$N$7:$N$18,MATCH(A43,Schedule!$A$7:$A$18,0)),"not in schedule"))</f>
        <v/>
      </c>
    </row>
    <row r="44">
      <c r="A44" s="92" t="n"/>
      <c r="B44" s="91" t="n"/>
      <c r="C44" s="92" t="n"/>
      <c r="D44" s="92" t="n"/>
      <c r="E44" s="92" t="n"/>
      <c r="F44" s="94" t="n"/>
      <c r="G44" s="94" t="n"/>
      <c r="H44" s="94" t="n"/>
      <c r="I44" s="92" t="n"/>
      <c r="K44">
        <f>IF(A44="","",IFERROR(INDEX(Schedule!$N$7:$N$18,MATCH(A44,Schedule!$A$7:$A$18,0)),"not in schedule"))</f>
        <v/>
      </c>
    </row>
    <row r="45">
      <c r="A45" s="92" t="n"/>
      <c r="B45" s="91" t="n"/>
      <c r="C45" s="92" t="n"/>
      <c r="D45" s="92" t="n"/>
      <c r="E45" s="92" t="n"/>
      <c r="F45" s="94" t="n"/>
      <c r="G45" s="94" t="n"/>
      <c r="H45" s="94" t="n"/>
      <c r="I45" s="92" t="n"/>
      <c r="K45">
        <f>IF(A45="","",IFERROR(INDEX(Schedule!$N$7:$N$18,MATCH(A45,Schedule!$A$7:$A$18,0)),"not in schedule"))</f>
        <v/>
      </c>
    </row>
    <row r="46">
      <c r="A46" s="92" t="n"/>
      <c r="B46" s="91" t="n"/>
      <c r="C46" s="92" t="n"/>
      <c r="D46" s="92" t="n"/>
      <c r="E46" s="92" t="n"/>
      <c r="F46" s="94" t="n"/>
      <c r="G46" s="94" t="n"/>
      <c r="H46" s="94" t="n"/>
      <c r="I46" s="92" t="n"/>
      <c r="K46">
        <f>IF(A46="","",IFERROR(INDEX(Schedule!$N$7:$N$18,MATCH(A46,Schedule!$A$7:$A$18,0)),"not in schedule"))</f>
        <v/>
      </c>
    </row>
    <row r="47">
      <c r="A47" s="92" t="n"/>
      <c r="B47" s="91" t="n"/>
      <c r="C47" s="92" t="n"/>
      <c r="D47" s="92" t="n"/>
      <c r="E47" s="92" t="n"/>
      <c r="F47" s="94" t="n"/>
      <c r="G47" s="94" t="n"/>
      <c r="H47" s="94" t="n"/>
      <c r="I47" s="92" t="n"/>
      <c r="K47">
        <f>IF(A47="","",IFERROR(INDEX(Schedule!$N$7:$N$18,MATCH(A47,Schedule!$A$7:$A$18,0)),"not in schedule"))</f>
        <v/>
      </c>
    </row>
    <row r="48">
      <c r="A48" s="92" t="n"/>
      <c r="B48" s="91" t="n"/>
      <c r="C48" s="92" t="n"/>
      <c r="D48" s="92" t="n"/>
      <c r="E48" s="92" t="n"/>
      <c r="F48" s="94" t="n"/>
      <c r="G48" s="94" t="n"/>
      <c r="H48" s="94" t="n"/>
      <c r="I48" s="92" t="n"/>
      <c r="K48">
        <f>IF(A48="","",IFERROR(INDEX(Schedule!$N$7:$N$18,MATCH(A48,Schedule!$A$7:$A$18,0)),"not in schedule"))</f>
        <v/>
      </c>
    </row>
    <row r="49">
      <c r="A49" s="92" t="n"/>
      <c r="B49" s="91" t="n"/>
      <c r="C49" s="92" t="n"/>
      <c r="D49" s="92" t="n"/>
      <c r="E49" s="92" t="n"/>
      <c r="F49" s="94" t="n"/>
      <c r="G49" s="94" t="n"/>
      <c r="H49" s="94" t="n"/>
      <c r="I49" s="92" t="n"/>
      <c r="K49">
        <f>IF(A49="","",IFERROR(INDEX(Schedule!$N$7:$N$18,MATCH(A49,Schedule!$A$7:$A$18,0)),"not in schedule"))</f>
        <v/>
      </c>
    </row>
    <row r="50">
      <c r="A50" s="92" t="n"/>
      <c r="B50" s="91" t="n"/>
      <c r="C50" s="92" t="n"/>
      <c r="D50" s="92" t="n"/>
      <c r="E50" s="92" t="n"/>
      <c r="F50" s="94" t="n"/>
      <c r="G50" s="94" t="n"/>
      <c r="H50" s="94" t="n"/>
      <c r="I50" s="92" t="n"/>
      <c r="K50">
        <f>IF(A50="","",IFERROR(INDEX(Schedule!$N$7:$N$18,MATCH(A50,Schedule!$A$7:$A$18,0)),"not in schedule"))</f>
        <v/>
      </c>
    </row>
    <row r="51">
      <c r="A51" s="92" t="n"/>
      <c r="B51" s="91" t="n"/>
      <c r="C51" s="92" t="n"/>
      <c r="D51" s="92" t="n"/>
      <c r="E51" s="92" t="n"/>
      <c r="F51" s="94" t="n"/>
      <c r="G51" s="94" t="n"/>
      <c r="H51" s="94" t="n"/>
      <c r="I51" s="92" t="n"/>
      <c r="K51">
        <f>IF(A51="","",IFERROR(INDEX(Schedule!$N$7:$N$18,MATCH(A51,Schedule!$A$7:$A$18,0)),"not in schedule"))</f>
        <v/>
      </c>
    </row>
    <row r="52">
      <c r="A52" s="92" t="n"/>
      <c r="B52" s="91" t="n"/>
      <c r="C52" s="92" t="n"/>
      <c r="D52" s="92" t="n"/>
      <c r="E52" s="92" t="n"/>
      <c r="F52" s="94" t="n"/>
      <c r="G52" s="94" t="n"/>
      <c r="H52" s="94" t="n"/>
      <c r="I52" s="92" t="n"/>
      <c r="K52">
        <f>IF(A52="","",IFERROR(INDEX(Schedule!$N$7:$N$18,MATCH(A52,Schedule!$A$7:$A$18,0)),"not in schedule"))</f>
        <v/>
      </c>
    </row>
    <row r="53">
      <c r="A53" s="92" t="n"/>
      <c r="B53" s="91" t="n"/>
      <c r="C53" s="92" t="n"/>
      <c r="D53" s="92" t="n"/>
      <c r="E53" s="92" t="n"/>
      <c r="F53" s="94" t="n"/>
      <c r="G53" s="94" t="n"/>
      <c r="H53" s="94" t="n"/>
      <c r="I53" s="92" t="n"/>
      <c r="K53">
        <f>IF(A53="","",IFERROR(INDEX(Schedule!$N$7:$N$18,MATCH(A53,Schedule!$A$7:$A$18,0)),"not in schedule"))</f>
        <v/>
      </c>
    </row>
    <row r="54">
      <c r="A54" s="92" t="n"/>
      <c r="B54" s="91" t="n"/>
      <c r="C54" s="92" t="n"/>
      <c r="D54" s="92" t="n"/>
      <c r="E54" s="92" t="n"/>
      <c r="F54" s="94" t="n"/>
      <c r="G54" s="94" t="n"/>
      <c r="H54" s="94" t="n"/>
      <c r="I54" s="92" t="n"/>
      <c r="K54">
        <f>IF(A54="","",IFERROR(INDEX(Schedule!$N$7:$N$18,MATCH(A54,Schedule!$A$7:$A$18,0)),"not in schedule"))</f>
        <v/>
      </c>
    </row>
    <row r="55">
      <c r="A55" s="92" t="n"/>
      <c r="B55" s="91" t="n"/>
      <c r="C55" s="92" t="n"/>
      <c r="D55" s="92" t="n"/>
      <c r="E55" s="92" t="n"/>
      <c r="F55" s="94" t="n"/>
      <c r="G55" s="94" t="n"/>
      <c r="H55" s="94" t="n"/>
      <c r="I55" s="92" t="n"/>
      <c r="K55">
        <f>IF(A55="","",IFERROR(INDEX(Schedule!$N$7:$N$18,MATCH(A55,Schedule!$A$7:$A$18,0)),"not in schedule"))</f>
        <v/>
      </c>
    </row>
    <row r="56">
      <c r="A56" s="92" t="n"/>
      <c r="B56" s="91" t="n"/>
      <c r="C56" s="92" t="n"/>
      <c r="D56" s="92" t="n"/>
      <c r="E56" s="92" t="n"/>
      <c r="F56" s="94" t="n"/>
      <c r="G56" s="94" t="n"/>
      <c r="H56" s="94" t="n"/>
      <c r="I56" s="92" t="n"/>
      <c r="K56">
        <f>IF(A56="","",IFERROR(INDEX(Schedule!$N$7:$N$18,MATCH(A56,Schedule!$A$7:$A$18,0)),"not in schedule"))</f>
        <v/>
      </c>
    </row>
    <row r="57">
      <c r="A57" s="92" t="n"/>
      <c r="B57" s="91" t="n"/>
      <c r="C57" s="92" t="n"/>
      <c r="D57" s="92" t="n"/>
      <c r="E57" s="92" t="n"/>
      <c r="F57" s="94" t="n"/>
      <c r="G57" s="94" t="n"/>
      <c r="H57" s="94" t="n"/>
      <c r="I57" s="92" t="n"/>
      <c r="K57">
        <f>IF(A57="","",IFERROR(INDEX(Schedule!$N$7:$N$18,MATCH(A57,Schedule!$A$7:$A$18,0)),"not in schedule"))</f>
        <v/>
      </c>
    </row>
    <row r="58">
      <c r="A58" s="92" t="n"/>
      <c r="B58" s="91" t="n"/>
      <c r="C58" s="92" t="n"/>
      <c r="D58" s="92" t="n"/>
      <c r="E58" s="92" t="n"/>
      <c r="F58" s="94" t="n"/>
      <c r="G58" s="94" t="n"/>
      <c r="H58" s="94" t="n"/>
      <c r="I58" s="92" t="n"/>
      <c r="K58">
        <f>IF(A58="","",IFERROR(INDEX(Schedule!$N$7:$N$18,MATCH(A58,Schedule!$A$7:$A$18,0)),"not in schedule"))</f>
        <v/>
      </c>
    </row>
    <row r="59">
      <c r="A59" s="92" t="n"/>
      <c r="B59" s="91" t="n"/>
      <c r="C59" s="92" t="n"/>
      <c r="D59" s="92" t="n"/>
      <c r="E59" s="92" t="n"/>
      <c r="F59" s="94" t="n"/>
      <c r="G59" s="94" t="n"/>
      <c r="H59" s="94" t="n"/>
      <c r="I59" s="92" t="n"/>
      <c r="K59">
        <f>IF(A59="","",IFERROR(INDEX(Schedule!$N$7:$N$18,MATCH(A59,Schedule!$A$7:$A$18,0)),"not in schedule"))</f>
        <v/>
      </c>
    </row>
    <row r="60">
      <c r="A60" s="92" t="n"/>
      <c r="B60" s="91" t="n"/>
      <c r="C60" s="92" t="n"/>
      <c r="D60" s="92" t="n"/>
      <c r="E60" s="92" t="n"/>
      <c r="F60" s="94" t="n"/>
      <c r="G60" s="94" t="n"/>
      <c r="H60" s="94" t="n"/>
      <c r="I60" s="92" t="n"/>
      <c r="K60">
        <f>IF(A60="","",IFERROR(INDEX(Schedule!$N$7:$N$18,MATCH(A60,Schedule!$A$7:$A$18,0)),"not in schedule"))</f>
        <v/>
      </c>
    </row>
    <row r="61">
      <c r="A61" s="92" t="n"/>
      <c r="B61" s="91" t="n"/>
      <c r="C61" s="92" t="n"/>
      <c r="D61" s="92" t="n"/>
      <c r="E61" s="92" t="n"/>
      <c r="F61" s="94" t="n"/>
      <c r="G61" s="94" t="n"/>
      <c r="H61" s="94" t="n"/>
      <c r="I61" s="92" t="n"/>
      <c r="K61">
        <f>IF(A61="","",IFERROR(INDEX(Schedule!$N$7:$N$18,MATCH(A61,Schedule!$A$7:$A$18,0)),"not in schedule"))</f>
        <v/>
      </c>
    </row>
    <row r="62">
      <c r="A62" s="92" t="n"/>
      <c r="B62" s="91" t="n"/>
      <c r="C62" s="92" t="n"/>
      <c r="D62" s="92" t="n"/>
      <c r="E62" s="92" t="n"/>
      <c r="F62" s="94" t="n"/>
      <c r="G62" s="94" t="n"/>
      <c r="H62" s="94" t="n"/>
      <c r="I62" s="92" t="n"/>
      <c r="K62">
        <f>IF(A62="","",IFERROR(INDEX(Schedule!$N$7:$N$18,MATCH(A62,Schedule!$A$7:$A$18,0)),"not in schedule"))</f>
        <v/>
      </c>
    </row>
    <row r="63">
      <c r="A63" s="92" t="n"/>
      <c r="B63" s="91" t="n"/>
      <c r="C63" s="92" t="n"/>
      <c r="D63" s="92" t="n"/>
      <c r="E63" s="92" t="n"/>
      <c r="F63" s="94" t="n"/>
      <c r="G63" s="94" t="n"/>
      <c r="H63" s="94" t="n"/>
      <c r="I63" s="92" t="n"/>
      <c r="K63">
        <f>IF(A63="","",IFERROR(INDEX(Schedule!$N$7:$N$18,MATCH(A63,Schedule!$A$7:$A$18,0)),"not in schedule"))</f>
        <v/>
      </c>
    </row>
    <row r="64">
      <c r="A64" s="92" t="n"/>
      <c r="B64" s="91" t="n"/>
      <c r="C64" s="92" t="n"/>
      <c r="D64" s="92" t="n"/>
      <c r="E64" s="92" t="n"/>
      <c r="F64" s="94" t="n"/>
      <c r="G64" s="94" t="n"/>
      <c r="H64" s="94" t="n"/>
      <c r="I64" s="92" t="n"/>
      <c r="K64">
        <f>IF(A64="","",IFERROR(INDEX(Schedule!$N$7:$N$18,MATCH(A64,Schedule!$A$7:$A$18,0)),"not in schedule"))</f>
        <v/>
      </c>
    </row>
    <row r="65">
      <c r="A65" s="92" t="n"/>
      <c r="B65" s="91" t="n"/>
      <c r="C65" s="92" t="n"/>
      <c r="D65" s="92" t="n"/>
      <c r="E65" s="92" t="n"/>
      <c r="F65" s="94" t="n"/>
      <c r="G65" s="94" t="n"/>
      <c r="H65" s="94" t="n"/>
      <c r="I65" s="92" t="n"/>
      <c r="K65">
        <f>IF(A65="","",IFERROR(INDEX(Schedule!$N$7:$N$18,MATCH(A65,Schedule!$A$7:$A$18,0)),"not in schedule"))</f>
        <v/>
      </c>
    </row>
    <row r="66">
      <c r="A66" s="92" t="n"/>
      <c r="B66" s="91" t="n"/>
      <c r="C66" s="92" t="n"/>
      <c r="D66" s="92" t="n"/>
      <c r="E66" s="92" t="n"/>
      <c r="F66" s="94" t="n"/>
      <c r="G66" s="94" t="n"/>
      <c r="H66" s="94" t="n"/>
      <c r="I66" s="92" t="n"/>
      <c r="K66">
        <f>IF(A66="","",IFERROR(INDEX(Schedule!$N$7:$N$18,MATCH(A66,Schedule!$A$7:$A$18,0)),"not in schedule"))</f>
        <v/>
      </c>
    </row>
    <row r="67">
      <c r="A67" s="92" t="n"/>
      <c r="B67" s="91" t="n"/>
      <c r="C67" s="92" t="n"/>
      <c r="D67" s="92" t="n"/>
      <c r="E67" s="92" t="n"/>
      <c r="F67" s="94" t="n"/>
      <c r="G67" s="94" t="n"/>
      <c r="H67" s="94" t="n"/>
      <c r="I67" s="92" t="n"/>
      <c r="K67">
        <f>IF(A67="","",IFERROR(INDEX(Schedule!$N$7:$N$18,MATCH(A67,Schedule!$A$7:$A$18,0)),"not in schedule"))</f>
        <v/>
      </c>
    </row>
    <row r="68">
      <c r="A68" s="92" t="n"/>
      <c r="B68" s="91" t="n"/>
      <c r="C68" s="92" t="n"/>
      <c r="D68" s="92" t="n"/>
      <c r="E68" s="92" t="n"/>
      <c r="F68" s="94" t="n"/>
      <c r="G68" s="94" t="n"/>
      <c r="H68" s="94" t="n"/>
      <c r="I68" s="92" t="n"/>
      <c r="K68">
        <f>IF(A68="","",IFERROR(INDEX(Schedule!$N$7:$N$18,MATCH(A68,Schedule!$A$7:$A$18,0)),"not in schedule"))</f>
        <v/>
      </c>
    </row>
    <row r="69">
      <c r="A69" s="92" t="n"/>
      <c r="B69" s="91" t="n"/>
      <c r="C69" s="92" t="n"/>
      <c r="D69" s="92" t="n"/>
      <c r="E69" s="92" t="n"/>
      <c r="F69" s="94" t="n"/>
      <c r="G69" s="94" t="n"/>
      <c r="H69" s="94" t="n"/>
      <c r="I69" s="92" t="n"/>
      <c r="K69">
        <f>IF(A69="","",IFERROR(INDEX(Schedule!$N$7:$N$18,MATCH(A69,Schedule!$A$7:$A$18,0)),"not in schedule"))</f>
        <v/>
      </c>
    </row>
    <row r="70">
      <c r="A70" s="92" t="n"/>
      <c r="B70" s="91" t="n"/>
      <c r="C70" s="92" t="n"/>
      <c r="D70" s="92" t="n"/>
      <c r="E70" s="92" t="n"/>
      <c r="F70" s="94" t="n"/>
      <c r="G70" s="94" t="n"/>
      <c r="H70" s="94" t="n"/>
      <c r="I70" s="92" t="n"/>
      <c r="K70">
        <f>IF(A70="","",IFERROR(INDEX(Schedule!$N$7:$N$18,MATCH(A70,Schedule!$A$7:$A$18,0)),"not in schedule"))</f>
        <v/>
      </c>
    </row>
    <row r="71">
      <c r="A71" s="92" t="n"/>
      <c r="B71" s="91" t="n"/>
      <c r="C71" s="92" t="n"/>
      <c r="D71" s="92" t="n"/>
      <c r="E71" s="92" t="n"/>
      <c r="F71" s="94" t="n"/>
      <c r="G71" s="94" t="n"/>
      <c r="H71" s="94" t="n"/>
      <c r="I71" s="92" t="n"/>
      <c r="K71">
        <f>IF(A71="","",IFERROR(INDEX(Schedule!$N$7:$N$18,MATCH(A71,Schedule!$A$7:$A$18,0)),"not in schedule"))</f>
        <v/>
      </c>
    </row>
    <row r="72">
      <c r="A72" s="92" t="n"/>
      <c r="B72" s="91" t="n"/>
      <c r="C72" s="92" t="n"/>
      <c r="D72" s="92" t="n"/>
      <c r="E72" s="92" t="n"/>
      <c r="F72" s="94" t="n"/>
      <c r="G72" s="94" t="n"/>
      <c r="H72" s="94" t="n"/>
      <c r="I72" s="92" t="n"/>
      <c r="K72">
        <f>IF(A72="","",IFERROR(INDEX(Schedule!$N$7:$N$18,MATCH(A72,Schedule!$A$7:$A$18,0)),"not in schedule"))</f>
        <v/>
      </c>
    </row>
    <row r="73">
      <c r="A73" s="92" t="n"/>
      <c r="B73" s="91" t="n"/>
      <c r="C73" s="92" t="n"/>
      <c r="D73" s="92" t="n"/>
      <c r="E73" s="92" t="n"/>
      <c r="F73" s="94" t="n"/>
      <c r="G73" s="94" t="n"/>
      <c r="H73" s="94" t="n"/>
      <c r="I73" s="92" t="n"/>
      <c r="K73">
        <f>IF(A73="","",IFERROR(INDEX(Schedule!$N$7:$N$18,MATCH(A73,Schedule!$A$7:$A$18,0)),"not in schedule"))</f>
        <v/>
      </c>
    </row>
    <row r="74">
      <c r="A74" s="92" t="n"/>
      <c r="B74" s="91" t="n"/>
      <c r="C74" s="92" t="n"/>
      <c r="D74" s="92" t="n"/>
      <c r="E74" s="92" t="n"/>
      <c r="F74" s="94" t="n"/>
      <c r="G74" s="94" t="n"/>
      <c r="H74" s="94" t="n"/>
      <c r="I74" s="92" t="n"/>
      <c r="K74">
        <f>IF(A74="","",IFERROR(INDEX(Schedule!$N$7:$N$18,MATCH(A74,Schedule!$A$7:$A$18,0)),"not in schedule"))</f>
        <v/>
      </c>
    </row>
    <row r="75">
      <c r="A75" s="92" t="n"/>
      <c r="B75" s="91" t="n"/>
      <c r="C75" s="92" t="n"/>
      <c r="D75" s="92" t="n"/>
      <c r="E75" s="92" t="n"/>
      <c r="F75" s="94" t="n"/>
      <c r="G75" s="94" t="n"/>
      <c r="H75" s="94" t="n"/>
      <c r="I75" s="92" t="n"/>
      <c r="K75">
        <f>IF(A75="","",IFERROR(INDEX(Schedule!$N$7:$N$18,MATCH(A75,Schedule!$A$7:$A$18,0)),"not in schedule"))</f>
        <v/>
      </c>
    </row>
    <row r="76">
      <c r="A76" s="92" t="n"/>
      <c r="B76" s="91" t="n"/>
      <c r="C76" s="92" t="n"/>
      <c r="D76" s="92" t="n"/>
      <c r="E76" s="92" t="n"/>
      <c r="F76" s="94" t="n"/>
      <c r="G76" s="94" t="n"/>
      <c r="H76" s="94" t="n"/>
      <c r="I76" s="92" t="n"/>
      <c r="K76">
        <f>IF(A76="","",IFERROR(INDEX(Schedule!$N$7:$N$18,MATCH(A76,Schedule!$A$7:$A$18,0)),"not in schedule"))</f>
        <v/>
      </c>
    </row>
    <row r="77">
      <c r="A77" s="92" t="n"/>
      <c r="B77" s="91" t="n"/>
      <c r="C77" s="92" t="n"/>
      <c r="D77" s="92" t="n"/>
      <c r="E77" s="92" t="n"/>
      <c r="F77" s="94" t="n"/>
      <c r="G77" s="94" t="n"/>
      <c r="H77" s="94" t="n"/>
      <c r="I77" s="92" t="n"/>
      <c r="K77">
        <f>IF(A77="","",IFERROR(INDEX(Schedule!$N$7:$N$18,MATCH(A77,Schedule!$A$7:$A$18,0)),"not in schedule"))</f>
        <v/>
      </c>
    </row>
    <row r="78">
      <c r="A78" s="92" t="n"/>
      <c r="B78" s="91" t="n"/>
      <c r="C78" s="92" t="n"/>
      <c r="D78" s="92" t="n"/>
      <c r="E78" s="92" t="n"/>
      <c r="F78" s="94" t="n"/>
      <c r="G78" s="94" t="n"/>
      <c r="H78" s="94" t="n"/>
      <c r="I78" s="92" t="n"/>
      <c r="K78">
        <f>IF(A78="","",IFERROR(INDEX(Schedule!$N$7:$N$18,MATCH(A78,Schedule!$A$7:$A$18,0)),"not in schedule"))</f>
        <v/>
      </c>
    </row>
    <row r="79">
      <c r="A79" s="92" t="n"/>
      <c r="B79" s="91" t="n"/>
      <c r="C79" s="92" t="n"/>
      <c r="D79" s="92" t="n"/>
      <c r="E79" s="92" t="n"/>
      <c r="F79" s="94" t="n"/>
      <c r="G79" s="94" t="n"/>
      <c r="H79" s="94" t="n"/>
      <c r="I79" s="92" t="n"/>
      <c r="K79">
        <f>IF(A79="","",IFERROR(INDEX(Schedule!$N$7:$N$18,MATCH(A79,Schedule!$A$7:$A$18,0)),"not in schedule"))</f>
        <v/>
      </c>
    </row>
    <row r="80">
      <c r="A80" s="92" t="n"/>
      <c r="B80" s="91" t="n"/>
      <c r="C80" s="92" t="n"/>
      <c r="D80" s="92" t="n"/>
      <c r="E80" s="92" t="n"/>
      <c r="F80" s="94" t="n"/>
      <c r="G80" s="94" t="n"/>
      <c r="H80" s="94" t="n"/>
      <c r="I80" s="92" t="n"/>
      <c r="K80">
        <f>IF(A80="","",IFERROR(INDEX(Schedule!$N$7:$N$18,MATCH(A80,Schedule!$A$7:$A$18,0)),"not in schedule"))</f>
        <v/>
      </c>
    </row>
    <row r="81">
      <c r="A81" s="92" t="n"/>
      <c r="B81" s="91" t="n"/>
      <c r="C81" s="92" t="n"/>
      <c r="D81" s="92" t="n"/>
      <c r="E81" s="92" t="n"/>
      <c r="F81" s="94" t="n"/>
      <c r="G81" s="94" t="n"/>
      <c r="H81" s="94" t="n"/>
      <c r="I81" s="92" t="n"/>
      <c r="K81">
        <f>IF(A81="","",IFERROR(INDEX(Schedule!$N$7:$N$18,MATCH(A81,Schedule!$A$7:$A$18,0)),"not in schedule"))</f>
        <v/>
      </c>
    </row>
    <row r="82">
      <c r="A82" s="92" t="n"/>
      <c r="B82" s="91" t="n"/>
      <c r="C82" s="92" t="n"/>
      <c r="D82" s="92" t="n"/>
      <c r="E82" s="92" t="n"/>
      <c r="F82" s="94" t="n"/>
      <c r="G82" s="94" t="n"/>
      <c r="H82" s="94" t="n"/>
      <c r="I82" s="92" t="n"/>
      <c r="K82">
        <f>IF(A82="","",IFERROR(INDEX(Schedule!$N$7:$N$18,MATCH(A82,Schedule!$A$7:$A$18,0)),"not in schedule"))</f>
        <v/>
      </c>
    </row>
    <row r="83">
      <c r="A83" s="92" t="n"/>
      <c r="B83" s="91" t="n"/>
      <c r="C83" s="92" t="n"/>
      <c r="D83" s="92" t="n"/>
      <c r="E83" s="92" t="n"/>
      <c r="F83" s="94" t="n"/>
      <c r="G83" s="94" t="n"/>
      <c r="H83" s="94" t="n"/>
      <c r="I83" s="92" t="n"/>
      <c r="K83">
        <f>IF(A83="","",IFERROR(INDEX(Schedule!$N$7:$N$18,MATCH(A83,Schedule!$A$7:$A$18,0)),"not in schedule"))</f>
        <v/>
      </c>
    </row>
    <row r="84">
      <c r="A84" s="92" t="n"/>
      <c r="B84" s="91" t="n"/>
      <c r="C84" s="92" t="n"/>
      <c r="D84" s="92" t="n"/>
      <c r="E84" s="92" t="n"/>
      <c r="F84" s="94" t="n"/>
      <c r="G84" s="94" t="n"/>
      <c r="H84" s="94" t="n"/>
      <c r="I84" s="92" t="n"/>
      <c r="K84">
        <f>IF(A84="","",IFERROR(INDEX(Schedule!$N$7:$N$18,MATCH(A84,Schedule!$A$7:$A$18,0)),"not in schedule"))</f>
        <v/>
      </c>
    </row>
    <row r="85">
      <c r="A85" s="92" t="n"/>
      <c r="B85" s="91" t="n"/>
      <c r="C85" s="92" t="n"/>
      <c r="D85" s="92" t="n"/>
      <c r="E85" s="92" t="n"/>
      <c r="F85" s="94" t="n"/>
      <c r="G85" s="94" t="n"/>
      <c r="H85" s="94" t="n"/>
      <c r="I85" s="92" t="n"/>
      <c r="K85">
        <f>IF(A85="","",IFERROR(INDEX(Schedule!$N$7:$N$18,MATCH(A85,Schedule!$A$7:$A$18,0)),"not in schedule"))</f>
        <v/>
      </c>
    </row>
    <row r="86">
      <c r="A86" s="92" t="n"/>
      <c r="B86" s="91" t="n"/>
      <c r="C86" s="92" t="n"/>
      <c r="D86" s="92" t="n"/>
      <c r="E86" s="92" t="n"/>
      <c r="F86" s="94" t="n"/>
      <c r="G86" s="94" t="n"/>
      <c r="H86" s="94" t="n"/>
      <c r="I86" s="92" t="n"/>
      <c r="K86">
        <f>IF(A86="","",IFERROR(INDEX(Schedule!$N$7:$N$18,MATCH(A86,Schedule!$A$7:$A$18,0)),"not in schedule"))</f>
        <v/>
      </c>
    </row>
    <row r="87">
      <c r="A87" s="92" t="n"/>
      <c r="B87" s="91" t="n"/>
      <c r="C87" s="92" t="n"/>
      <c r="D87" s="92" t="n"/>
      <c r="E87" s="92" t="n"/>
      <c r="F87" s="94" t="n"/>
      <c r="G87" s="94" t="n"/>
      <c r="H87" s="94" t="n"/>
      <c r="I87" s="92" t="n"/>
      <c r="K87">
        <f>IF(A87="","",IFERROR(INDEX(Schedule!$N$7:$N$18,MATCH(A87,Schedule!$A$7:$A$18,0)),"not in schedule"))</f>
        <v/>
      </c>
    </row>
    <row r="88">
      <c r="A88" s="92" t="n"/>
      <c r="B88" s="91" t="n"/>
      <c r="C88" s="92" t="n"/>
      <c r="D88" s="92" t="n"/>
      <c r="E88" s="92" t="n"/>
      <c r="F88" s="94" t="n"/>
      <c r="G88" s="94" t="n"/>
      <c r="H88" s="94" t="n"/>
      <c r="I88" s="92" t="n"/>
      <c r="K88">
        <f>IF(A88="","",IFERROR(INDEX(Schedule!$N$7:$N$18,MATCH(A88,Schedule!$A$7:$A$18,0)),"not in schedule"))</f>
        <v/>
      </c>
    </row>
    <row r="89">
      <c r="A89" s="92" t="n"/>
      <c r="B89" s="91" t="n"/>
      <c r="C89" s="92" t="n"/>
      <c r="D89" s="92" t="n"/>
      <c r="E89" s="92" t="n"/>
      <c r="F89" s="94" t="n"/>
      <c r="G89" s="94" t="n"/>
      <c r="H89" s="94" t="n"/>
      <c r="I89" s="92" t="n"/>
      <c r="K89">
        <f>IF(A89="","",IFERROR(INDEX(Schedule!$N$7:$N$18,MATCH(A89,Schedule!$A$7:$A$18,0)),"not in schedule"))</f>
        <v/>
      </c>
    </row>
    <row r="90">
      <c r="A90" s="92" t="n"/>
      <c r="B90" s="91" t="n"/>
      <c r="C90" s="92" t="n"/>
      <c r="D90" s="92" t="n"/>
      <c r="E90" s="92" t="n"/>
      <c r="F90" s="94" t="n"/>
      <c r="G90" s="94" t="n"/>
      <c r="H90" s="94" t="n"/>
      <c r="I90" s="92" t="n"/>
      <c r="K90">
        <f>IF(A90="","",IFERROR(INDEX(Schedule!$N$7:$N$18,MATCH(A90,Schedule!$A$7:$A$18,0)),"not in schedule"))</f>
        <v/>
      </c>
    </row>
    <row r="91">
      <c r="A91" s="92" t="n"/>
      <c r="B91" s="91" t="n"/>
      <c r="C91" s="92" t="n"/>
      <c r="D91" s="92" t="n"/>
      <c r="E91" s="92" t="n"/>
      <c r="F91" s="94" t="n"/>
      <c r="G91" s="94" t="n"/>
      <c r="H91" s="94" t="n"/>
      <c r="I91" s="92" t="n"/>
      <c r="K91">
        <f>IF(A91="","",IFERROR(INDEX(Schedule!$N$7:$N$18,MATCH(A91,Schedule!$A$7:$A$18,0)),"not in schedule"))</f>
        <v/>
      </c>
    </row>
    <row r="92">
      <c r="A92" s="92" t="n"/>
      <c r="B92" s="91" t="n"/>
      <c r="C92" s="92" t="n"/>
      <c r="D92" s="92" t="n"/>
      <c r="E92" s="92" t="n"/>
      <c r="F92" s="94" t="n"/>
      <c r="G92" s="94" t="n"/>
      <c r="H92" s="94" t="n"/>
      <c r="I92" s="92" t="n"/>
      <c r="K92">
        <f>IF(A92="","",IFERROR(INDEX(Schedule!$N$7:$N$18,MATCH(A92,Schedule!$A$7:$A$18,0)),"not in schedule"))</f>
        <v/>
      </c>
    </row>
    <row r="93">
      <c r="A93" s="92" t="n"/>
      <c r="B93" s="91" t="n"/>
      <c r="C93" s="92" t="n"/>
      <c r="D93" s="92" t="n"/>
      <c r="E93" s="92" t="n"/>
      <c r="F93" s="94" t="n"/>
      <c r="G93" s="94" t="n"/>
      <c r="H93" s="94" t="n"/>
      <c r="I93" s="92" t="n"/>
      <c r="K93">
        <f>IF(A93="","",IFERROR(INDEX(Schedule!$N$7:$N$18,MATCH(A93,Schedule!$A$7:$A$18,0)),"not in schedule"))</f>
        <v/>
      </c>
    </row>
    <row r="94">
      <c r="A94" s="92" t="n"/>
      <c r="B94" s="91" t="n"/>
      <c r="C94" s="92" t="n"/>
      <c r="D94" s="92" t="n"/>
      <c r="E94" s="92" t="n"/>
      <c r="F94" s="94" t="n"/>
      <c r="G94" s="94" t="n"/>
      <c r="H94" s="94" t="n"/>
      <c r="I94" s="92" t="n"/>
      <c r="K94">
        <f>IF(A94="","",IFERROR(INDEX(Schedule!$N$7:$N$18,MATCH(A94,Schedule!$A$7:$A$18,0)),"not in schedule"))</f>
        <v/>
      </c>
    </row>
    <row r="95">
      <c r="A95" s="92" t="n"/>
      <c r="B95" s="91" t="n"/>
      <c r="C95" s="92" t="n"/>
      <c r="D95" s="92" t="n"/>
      <c r="E95" s="92" t="n"/>
      <c r="F95" s="94" t="n"/>
      <c r="G95" s="94" t="n"/>
      <c r="H95" s="94" t="n"/>
      <c r="I95" s="92" t="n"/>
      <c r="K95">
        <f>IF(A95="","",IFERROR(INDEX(Schedule!$N$7:$N$18,MATCH(A95,Schedule!$A$7:$A$18,0)),"not in schedule"))</f>
        <v/>
      </c>
    </row>
    <row r="96">
      <c r="A96" s="92" t="n"/>
      <c r="B96" s="91" t="n"/>
      <c r="C96" s="92" t="n"/>
      <c r="D96" s="92" t="n"/>
      <c r="E96" s="92" t="n"/>
      <c r="F96" s="94" t="n"/>
      <c r="G96" s="94" t="n"/>
      <c r="H96" s="94" t="n"/>
      <c r="I96" s="92" t="n"/>
      <c r="K96">
        <f>IF(A96="","",IFERROR(INDEX(Schedule!$N$7:$N$18,MATCH(A96,Schedule!$A$7:$A$18,0)),"not in schedule"))</f>
        <v/>
      </c>
    </row>
    <row r="97">
      <c r="A97" s="92" t="n"/>
      <c r="B97" s="91" t="n"/>
      <c r="C97" s="92" t="n"/>
      <c r="D97" s="92" t="n"/>
      <c r="E97" s="92" t="n"/>
      <c r="F97" s="94" t="n"/>
      <c r="G97" s="94" t="n"/>
      <c r="H97" s="94" t="n"/>
      <c r="I97" s="92" t="n"/>
      <c r="K97">
        <f>IF(A97="","",IFERROR(INDEX(Schedule!$N$7:$N$18,MATCH(A97,Schedule!$A$7:$A$18,0)),"not in schedule"))</f>
        <v/>
      </c>
    </row>
    <row r="98">
      <c r="A98" s="92" t="n"/>
      <c r="B98" s="91" t="n"/>
      <c r="C98" s="92" t="n"/>
      <c r="D98" s="92" t="n"/>
      <c r="E98" s="92" t="n"/>
      <c r="F98" s="94" t="n"/>
      <c r="G98" s="94" t="n"/>
      <c r="H98" s="94" t="n"/>
      <c r="I98" s="92" t="n"/>
      <c r="K98">
        <f>IF(A98="","",IFERROR(INDEX(Schedule!$N$7:$N$18,MATCH(A98,Schedule!$A$7:$A$18,0)),"not in schedule"))</f>
        <v/>
      </c>
    </row>
    <row r="99">
      <c r="A99" s="92" t="n"/>
      <c r="B99" s="91" t="n"/>
      <c r="C99" s="92" t="n"/>
      <c r="D99" s="92" t="n"/>
      <c r="E99" s="92" t="n"/>
      <c r="F99" s="94" t="n"/>
      <c r="G99" s="94" t="n"/>
      <c r="H99" s="94" t="n"/>
      <c r="I99" s="92" t="n"/>
      <c r="K99">
        <f>IF(A99="","",IFERROR(INDEX(Schedule!$N$7:$N$18,MATCH(A99,Schedule!$A$7:$A$18,0)),"not in schedule"))</f>
        <v/>
      </c>
    </row>
    <row r="100">
      <c r="A100" s="92" t="n"/>
      <c r="B100" s="91" t="n"/>
      <c r="C100" s="92" t="n"/>
      <c r="D100" s="92" t="n"/>
      <c r="E100" s="92" t="n"/>
      <c r="F100" s="94" t="n"/>
      <c r="G100" s="94" t="n"/>
      <c r="H100" s="94" t="n"/>
      <c r="I100" s="92" t="n"/>
      <c r="K100">
        <f>IF(A100="","",IFERROR(INDEX(Schedule!$N$7:$N$18,MATCH(A100,Schedule!$A$7:$A$18,0)),"not in schedule"))</f>
        <v/>
      </c>
    </row>
    <row r="101">
      <c r="A101" s="92" t="n"/>
      <c r="B101" s="91" t="n"/>
      <c r="C101" s="92" t="n"/>
      <c r="D101" s="92" t="n"/>
      <c r="E101" s="92" t="n"/>
      <c r="F101" s="94" t="n"/>
      <c r="G101" s="94" t="n"/>
      <c r="H101" s="94" t="n"/>
      <c r="I101" s="92" t="n"/>
      <c r="K101">
        <f>IF(A101="","",IFERROR(INDEX(Schedule!$N$7:$N$18,MATCH(A101,Schedule!$A$7:$A$18,0)),"not in schedule"))</f>
        <v/>
      </c>
    </row>
    <row r="102">
      <c r="A102" s="92" t="n"/>
      <c r="B102" s="91" t="n"/>
      <c r="C102" s="92" t="n"/>
      <c r="D102" s="92" t="n"/>
      <c r="E102" s="92" t="n"/>
      <c r="F102" s="94" t="n"/>
      <c r="G102" s="94" t="n"/>
      <c r="H102" s="94" t="n"/>
      <c r="I102" s="92" t="n"/>
      <c r="K102">
        <f>IF(A102="","",IFERROR(INDEX(Schedule!$N$7:$N$18,MATCH(A102,Schedule!$A$7:$A$18,0)),"not in schedule"))</f>
        <v/>
      </c>
    </row>
    <row r="103">
      <c r="A103" s="92" t="n"/>
      <c r="B103" s="91" t="n"/>
      <c r="C103" s="92" t="n"/>
      <c r="D103" s="92" t="n"/>
      <c r="E103" s="92" t="n"/>
      <c r="F103" s="94" t="n"/>
      <c r="G103" s="94" t="n"/>
      <c r="H103" s="94" t="n"/>
      <c r="I103" s="92" t="n"/>
      <c r="K103">
        <f>IF(A103="","",IFERROR(INDEX(Schedule!$N$7:$N$18,MATCH(A103,Schedule!$A$7:$A$18,0)),"not in schedule"))</f>
        <v/>
      </c>
    </row>
    <row r="104">
      <c r="A104" s="92" t="n"/>
      <c r="B104" s="91" t="n"/>
      <c r="C104" s="92" t="n"/>
      <c r="D104" s="92" t="n"/>
      <c r="E104" s="92" t="n"/>
      <c r="F104" s="94" t="n"/>
      <c r="G104" s="94" t="n"/>
      <c r="H104" s="94" t="n"/>
      <c r="I104" s="92" t="n"/>
      <c r="K104">
        <f>IF(A104="","",IFERROR(INDEX(Schedule!$N$7:$N$18,MATCH(A104,Schedule!$A$7:$A$18,0)),"not in schedule"))</f>
        <v/>
      </c>
    </row>
  </sheetData>
  <dataValidations count="1">
    <dataValidation sqref="C5:C104" showDropDown="0" showInputMessage="0" showErrorMessage="0" allowBlank="1" errorTitle="Not in the list" error="Pick a value from the list." type="list">
      <formula1>=Lists!$A$4:$A$6</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L18"/>
  <sheetViews>
    <sheetView zoomScale="90" workbookViewId="0">
      <pane xSplit="1" ySplit="6" topLeftCell="B7"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s>
  <sheetData>
    <row r="1">
      <c r="A1" s="1" t="inlineStr">
        <is>
          <t>Actuals rolled up per drop</t>
        </is>
      </c>
    </row>
    <row r="2">
      <c r="A2" s="2" t="inlineStr">
        <is>
          <t>Read-only. Sums Actuals_Campaigns, Actuals_DropCosts and the hours logs by drop_id. Ladder rungs stay in separate columns.</t>
        </is>
      </c>
    </row>
    <row r="3">
      <c r="A3" s="7" t="inlineStr">
        <is>
          <t>Incremental purchases are not measured; the column says so. No column measures sales lift.</t>
        </is>
      </c>
    </row>
    <row r="6" ht="70" customHeight="1">
      <c r="A6" s="10" t="inlineStr">
        <is>
          <t>drop_id</t>
        </is>
      </c>
      <c r="B6" s="10" t="inlineStr">
        <is>
          <t>Drop date</t>
        </is>
      </c>
      <c r="C6" s="10" t="inlineStr">
        <is>
          <t>Actuals in</t>
        </is>
      </c>
      <c r="D6" s="10" t="inlineStr">
        <is>
          <t>Revenue</t>
        </is>
      </c>
      <c r="E6" s="10" t="inlineStr">
        <is>
          <t>Card processing</t>
        </is>
      </c>
      <c r="F6" s="10" t="inlineStr">
        <is>
          <t>Display kits</t>
        </is>
      </c>
      <c r="G6" s="10" t="inlineStr">
        <is>
          <t>Transport</t>
        </is>
      </c>
      <c r="H6" s="10" t="inlineStr">
        <is>
          <t>Other direct</t>
        </is>
      </c>
      <c r="I6" s="10" t="inlineStr">
        <is>
          <t>Overhead allocations (same views as plan)</t>
        </is>
      </c>
      <c r="J6" s="10" t="inlineStr">
        <is>
          <t>Hard costs</t>
        </is>
      </c>
      <c r="K6" s="10" t="inlineStr">
        <is>
          <t>brand_sales (h)</t>
        </is>
      </c>
      <c r="L6" s="10" t="inlineStr">
        <is>
          <t>office_coordination (h)</t>
        </is>
      </c>
      <c r="M6" s="10" t="inlineStr">
        <is>
          <t>receiving_kitting (h)</t>
        </is>
      </c>
      <c r="N6" s="10" t="inlineStr">
        <is>
          <t>drop_day (h)</t>
        </is>
      </c>
      <c r="O6" s="10" t="inlineStr">
        <is>
          <t>checks_pickup (h)</t>
        </is>
      </c>
      <c r="P6" s="10" t="inlineStr">
        <is>
          <t>reporting_debriefs (h)</t>
        </is>
      </c>
      <c r="Q6" s="10" t="inlineStr">
        <is>
          <t>admin_invoicing (h)</t>
        </is>
      </c>
      <c r="R6" s="10" t="inlineStr">
        <is>
          <t>Founder hours</t>
        </is>
      </c>
      <c r="S6" s="10" t="inlineStr">
        <is>
          <t>Contribution</t>
        </is>
      </c>
      <c r="T6" s="10" t="inlineStr">
        <is>
          <t>Contribution per founder hour</t>
        </is>
      </c>
      <c r="U6" s="10" t="inlineStr">
        <is>
          <t>units_received</t>
        </is>
      </c>
      <c r="V6" s="10" t="inlineStr">
        <is>
          <t>units_delivered</t>
        </is>
      </c>
      <c r="W6" s="10" t="inlineStr">
        <is>
          <t>units_placed</t>
        </is>
      </c>
      <c r="X6" s="10" t="inlineStr">
        <is>
          <t>units_placed_within_1bd</t>
        </is>
      </c>
      <c r="Y6" s="10" t="inlineStr">
        <is>
          <t>units_topped_up</t>
        </is>
      </c>
      <c r="Z6" s="10" t="inlineStr">
        <is>
          <t>units_depleted_day5</t>
        </is>
      </c>
      <c r="AA6" s="10" t="inlineStr">
        <is>
          <t>survey_responses</t>
        </is>
      </c>
      <c r="AB6" s="10" t="inlineStr">
        <is>
          <t>survey_tried_yes</t>
        </is>
      </c>
      <c r="AC6" s="10" t="inlineStr">
        <is>
          <t>qr_scans</t>
        </is>
      </c>
      <c r="AD6" s="10" t="inlineStr">
        <is>
          <t>code_redemptions_day30</t>
        </is>
      </c>
      <c r="AE6" s="10" t="inlineStr">
        <is>
          <t>incremental</t>
        </is>
      </c>
      <c r="AF6" s="10" t="inlineStr">
        <is>
          <t>Brand campaigns</t>
        </is>
      </c>
      <c r="AG6" s="10" t="inlineStr">
        <is>
          <t>Placed within 1 business day (share of delivered)</t>
        </is>
      </c>
      <c r="AH6" s="10" t="inlineStr">
        <is>
          <t>Campaigns under the responses-per-office threshold</t>
        </is>
      </c>
      <c r="AI6" s="10" t="inlineStr">
        <is>
          <t>Reports late or missing</t>
        </is>
      </c>
      <c r="AJ6" s="10" t="inlineStr">
        <is>
          <t>Brands that would buy again (yes)</t>
        </is>
      </c>
      <c r="AK6" s="10" t="inlineStr">
        <is>
          <t>Renewed Y</t>
        </is>
      </c>
      <c r="AL6" s="10" t="inlineStr">
        <is>
          <t>Renewed N</t>
        </is>
      </c>
    </row>
    <row r="7">
      <c r="A7">
        <f>Drop_PnL!A7</f>
        <v/>
      </c>
      <c r="B7" s="17">
        <f>Drop_PnL!B7</f>
        <v/>
      </c>
      <c r="C7">
        <f>Drop_PnL!AZ7</f>
        <v/>
      </c>
      <c r="D7" s="31">
        <f>SUMIFS(Actuals_Campaigns!$R$5:$R$204,Actuals_Campaigns!$B$5:$B$204,A7)</f>
        <v/>
      </c>
      <c r="E7" s="31">
        <f>SUMIFS(Actuals_Campaigns!$T$5:$T$204,Actuals_Campaigns!$B$5:$B$204,A7)</f>
        <v/>
      </c>
      <c r="F7" s="31">
        <f>SUMIFS(Actuals_DropCosts!$F$5:$F$104,Actuals_DropCosts!$A$5:$A$104,A7)</f>
        <v/>
      </c>
      <c r="G7" s="31">
        <f>SUMIFS(Actuals_DropCosts!$G$5:$G$104,Actuals_DropCosts!$A$5:$A$104,A7)</f>
        <v/>
      </c>
      <c r="H7" s="31">
        <f>SUMIFS(Actuals_DropCosts!$H$5:$H$104,Actuals_DropCosts!$A$5:$A$104,A7)</f>
        <v/>
      </c>
      <c r="I7" s="31">
        <f>Drop_PnL!AM7</f>
        <v/>
      </c>
      <c r="J7" s="33">
        <f>SUM(E7:I7)</f>
        <v/>
      </c>
      <c r="K7" s="32">
        <f>Hours_Log!I5</f>
        <v/>
      </c>
      <c r="L7" s="32">
        <f>Hours_Log!J5</f>
        <v/>
      </c>
      <c r="M7" s="32">
        <f>Hours_Log!K5</f>
        <v/>
      </c>
      <c r="N7" s="32">
        <f>Hours_Log!L5</f>
        <v/>
      </c>
      <c r="O7" s="32">
        <f>Hours_Log!M5</f>
        <v/>
      </c>
      <c r="P7" s="32">
        <f>Hours_Log!N5</f>
        <v/>
      </c>
      <c r="Q7" s="32">
        <f>Hours_Log!O5</f>
        <v/>
      </c>
      <c r="R7" s="34">
        <f>SUM(K7:Q7)</f>
        <v/>
      </c>
      <c r="S7" s="33">
        <f>D7-J7</f>
        <v/>
      </c>
      <c r="T7" s="27">
        <f>IF(R7&gt;0,S7/R7,"n/a")</f>
        <v/>
      </c>
      <c r="U7" s="22">
        <f>SUMIFS(Actuals_Campaigns!$H$5:$H$204,Actuals_Campaigns!$B$5:$B$204,A7)</f>
        <v/>
      </c>
      <c r="V7" s="22">
        <f>SUMIFS(Actuals_Campaigns!$I$5:$I$204,Actuals_Campaigns!$B$5:$B$204,A7)</f>
        <v/>
      </c>
      <c r="W7" s="22">
        <f>SUMIFS(Actuals_Campaigns!$J$5:$J$204,Actuals_Campaigns!$B$5:$B$204,A7)</f>
        <v/>
      </c>
      <c r="X7" s="22">
        <f>SUMIFS(Actuals_Campaigns!$K$5:$K$204,Actuals_Campaigns!$B$5:$B$204,A7)</f>
        <v/>
      </c>
      <c r="Y7" s="22">
        <f>SUMIFS(Actuals_Campaigns!$L$5:$L$204,Actuals_Campaigns!$B$5:$B$204,A7)</f>
        <v/>
      </c>
      <c r="Z7" s="22">
        <f>SUMIFS(Actuals_Campaigns!$M$5:$M$204,Actuals_Campaigns!$B$5:$B$204,A7)</f>
        <v/>
      </c>
      <c r="AA7" s="22">
        <f>SUMIFS(Actuals_Campaigns!$N$5:$N$204,Actuals_Campaigns!$B$5:$B$204,A7)</f>
        <v/>
      </c>
      <c r="AB7" s="22">
        <f>SUMIFS(Actuals_Campaigns!$O$5:$O$204,Actuals_Campaigns!$B$5:$B$204,A7)</f>
        <v/>
      </c>
      <c r="AC7" s="22">
        <f>SUMIFS(Actuals_Campaigns!$P$5:$P$204,Actuals_Campaigns!$B$5:$B$204,A7)</f>
        <v/>
      </c>
      <c r="AD7" s="22">
        <f>SUMIFS(Actuals_Campaigns!$Q$5:$Q$204,Actuals_Campaigns!$B$5:$B$204,A7)</f>
        <v/>
      </c>
      <c r="AE7" s="28" t="inlineStr">
        <is>
          <t>not measured</t>
        </is>
      </c>
      <c r="AF7" s="18">
        <f>COUNTIF(Actuals_Campaigns!$B$5:$B$204,A7)</f>
        <v/>
      </c>
      <c r="AG7" s="24">
        <f>IF(V7&gt;0,X7/V7,"")</f>
        <v/>
      </c>
      <c r="AH7" s="18">
        <f>IF(AF7=0,"",COUNTIFS(Actuals_Campaigns!$B$5:$B$204,A7,Actuals_Campaigns!$AD$5:$AD$204,"&lt;"&amp;Inputs!$C$121))</f>
        <v/>
      </c>
      <c r="AI7" s="18">
        <f>IF(AF7=0,"",COUNTIFS(Actuals_Campaigns!$B$5:$B$204,A7,Actuals_Campaigns!$AF$5:$AF$204,"Y")+COUNTIFS(Actuals_Campaigns!$B$5:$B$204,A7,Actuals_Campaigns!$AF$5:$AF$204,"missing"))</f>
        <v/>
      </c>
      <c r="AJ7" s="18">
        <f>IF(AF7=0,"",COUNTIFS(Actuals_Campaigns!$B$5:$B$204,A7,Actuals_Campaigns!$V$5:$V$204,"yes"))</f>
        <v/>
      </c>
      <c r="AK7" s="18">
        <f>COUNTIFS(Actuals_Campaigns!$B$5:$B$204,A7,Actuals_Campaigns!$W$5:$W$204,"Y")</f>
        <v/>
      </c>
      <c r="AL7" s="18">
        <f>COUNTIFS(Actuals_Campaigns!$B$5:$B$204,A7,Actuals_Campaigns!$W$5:$W$204,"N")</f>
        <v/>
      </c>
    </row>
    <row r="8">
      <c r="A8">
        <f>Drop_PnL!A8</f>
        <v/>
      </c>
      <c r="B8" s="17">
        <f>Drop_PnL!B8</f>
        <v/>
      </c>
      <c r="C8">
        <f>Drop_PnL!AZ8</f>
        <v/>
      </c>
      <c r="D8" s="31">
        <f>SUMIFS(Actuals_Campaigns!$R$5:$R$204,Actuals_Campaigns!$B$5:$B$204,A8)</f>
        <v/>
      </c>
      <c r="E8" s="31">
        <f>SUMIFS(Actuals_Campaigns!$T$5:$T$204,Actuals_Campaigns!$B$5:$B$204,A8)</f>
        <v/>
      </c>
      <c r="F8" s="31">
        <f>SUMIFS(Actuals_DropCosts!$F$5:$F$104,Actuals_DropCosts!$A$5:$A$104,A8)</f>
        <v/>
      </c>
      <c r="G8" s="31">
        <f>SUMIFS(Actuals_DropCosts!$G$5:$G$104,Actuals_DropCosts!$A$5:$A$104,A8)</f>
        <v/>
      </c>
      <c r="H8" s="31">
        <f>SUMIFS(Actuals_DropCosts!$H$5:$H$104,Actuals_DropCosts!$A$5:$A$104,A8)</f>
        <v/>
      </c>
      <c r="I8" s="31">
        <f>Drop_PnL!AM8</f>
        <v/>
      </c>
      <c r="J8" s="33">
        <f>SUM(E8:I8)</f>
        <v/>
      </c>
      <c r="K8" s="32">
        <f>Hours_Log!I6</f>
        <v/>
      </c>
      <c r="L8" s="32">
        <f>Hours_Log!J6</f>
        <v/>
      </c>
      <c r="M8" s="32">
        <f>Hours_Log!K6</f>
        <v/>
      </c>
      <c r="N8" s="32">
        <f>Hours_Log!L6</f>
        <v/>
      </c>
      <c r="O8" s="32">
        <f>Hours_Log!M6</f>
        <v/>
      </c>
      <c r="P8" s="32">
        <f>Hours_Log!N6</f>
        <v/>
      </c>
      <c r="Q8" s="32">
        <f>Hours_Log!O6</f>
        <v/>
      </c>
      <c r="R8" s="34">
        <f>SUM(K8:Q8)</f>
        <v/>
      </c>
      <c r="S8" s="33">
        <f>D8-J8</f>
        <v/>
      </c>
      <c r="T8" s="27">
        <f>IF(R8&gt;0,S8/R8,"n/a")</f>
        <v/>
      </c>
      <c r="U8" s="22">
        <f>SUMIFS(Actuals_Campaigns!$H$5:$H$204,Actuals_Campaigns!$B$5:$B$204,A8)</f>
        <v/>
      </c>
      <c r="V8" s="22">
        <f>SUMIFS(Actuals_Campaigns!$I$5:$I$204,Actuals_Campaigns!$B$5:$B$204,A8)</f>
        <v/>
      </c>
      <c r="W8" s="22">
        <f>SUMIFS(Actuals_Campaigns!$J$5:$J$204,Actuals_Campaigns!$B$5:$B$204,A8)</f>
        <v/>
      </c>
      <c r="X8" s="22">
        <f>SUMIFS(Actuals_Campaigns!$K$5:$K$204,Actuals_Campaigns!$B$5:$B$204,A8)</f>
        <v/>
      </c>
      <c r="Y8" s="22">
        <f>SUMIFS(Actuals_Campaigns!$L$5:$L$204,Actuals_Campaigns!$B$5:$B$204,A8)</f>
        <v/>
      </c>
      <c r="Z8" s="22">
        <f>SUMIFS(Actuals_Campaigns!$M$5:$M$204,Actuals_Campaigns!$B$5:$B$204,A8)</f>
        <v/>
      </c>
      <c r="AA8" s="22">
        <f>SUMIFS(Actuals_Campaigns!$N$5:$N$204,Actuals_Campaigns!$B$5:$B$204,A8)</f>
        <v/>
      </c>
      <c r="AB8" s="22">
        <f>SUMIFS(Actuals_Campaigns!$O$5:$O$204,Actuals_Campaigns!$B$5:$B$204,A8)</f>
        <v/>
      </c>
      <c r="AC8" s="22">
        <f>SUMIFS(Actuals_Campaigns!$P$5:$P$204,Actuals_Campaigns!$B$5:$B$204,A8)</f>
        <v/>
      </c>
      <c r="AD8" s="22">
        <f>SUMIFS(Actuals_Campaigns!$Q$5:$Q$204,Actuals_Campaigns!$B$5:$B$204,A8)</f>
        <v/>
      </c>
      <c r="AE8" s="28" t="inlineStr">
        <is>
          <t>not measured</t>
        </is>
      </c>
      <c r="AF8" s="18">
        <f>COUNTIF(Actuals_Campaigns!$B$5:$B$204,A8)</f>
        <v/>
      </c>
      <c r="AG8" s="24">
        <f>IF(V8&gt;0,X8/V8,"")</f>
        <v/>
      </c>
      <c r="AH8" s="18">
        <f>IF(AF8=0,"",COUNTIFS(Actuals_Campaigns!$B$5:$B$204,A8,Actuals_Campaigns!$AD$5:$AD$204,"&lt;"&amp;Inputs!$C$121))</f>
        <v/>
      </c>
      <c r="AI8" s="18">
        <f>IF(AF8=0,"",COUNTIFS(Actuals_Campaigns!$B$5:$B$204,A8,Actuals_Campaigns!$AF$5:$AF$204,"Y")+COUNTIFS(Actuals_Campaigns!$B$5:$B$204,A8,Actuals_Campaigns!$AF$5:$AF$204,"missing"))</f>
        <v/>
      </c>
      <c r="AJ8" s="18">
        <f>IF(AF8=0,"",COUNTIFS(Actuals_Campaigns!$B$5:$B$204,A8,Actuals_Campaigns!$V$5:$V$204,"yes"))</f>
        <v/>
      </c>
      <c r="AK8" s="18">
        <f>COUNTIFS(Actuals_Campaigns!$B$5:$B$204,A8,Actuals_Campaigns!$W$5:$W$204,"Y")</f>
        <v/>
      </c>
      <c r="AL8" s="18">
        <f>COUNTIFS(Actuals_Campaigns!$B$5:$B$204,A8,Actuals_Campaigns!$W$5:$W$204,"N")</f>
        <v/>
      </c>
    </row>
    <row r="9">
      <c r="A9">
        <f>Drop_PnL!A9</f>
        <v/>
      </c>
      <c r="B9" s="17">
        <f>Drop_PnL!B9</f>
        <v/>
      </c>
      <c r="C9">
        <f>Drop_PnL!AZ9</f>
        <v/>
      </c>
      <c r="D9" s="31">
        <f>SUMIFS(Actuals_Campaigns!$R$5:$R$204,Actuals_Campaigns!$B$5:$B$204,A9)</f>
        <v/>
      </c>
      <c r="E9" s="31">
        <f>SUMIFS(Actuals_Campaigns!$T$5:$T$204,Actuals_Campaigns!$B$5:$B$204,A9)</f>
        <v/>
      </c>
      <c r="F9" s="31">
        <f>SUMIFS(Actuals_DropCosts!$F$5:$F$104,Actuals_DropCosts!$A$5:$A$104,A9)</f>
        <v/>
      </c>
      <c r="G9" s="31">
        <f>SUMIFS(Actuals_DropCosts!$G$5:$G$104,Actuals_DropCosts!$A$5:$A$104,A9)</f>
        <v/>
      </c>
      <c r="H9" s="31">
        <f>SUMIFS(Actuals_DropCosts!$H$5:$H$104,Actuals_DropCosts!$A$5:$A$104,A9)</f>
        <v/>
      </c>
      <c r="I9" s="31">
        <f>Drop_PnL!AM9</f>
        <v/>
      </c>
      <c r="J9" s="33">
        <f>SUM(E9:I9)</f>
        <v/>
      </c>
      <c r="K9" s="32">
        <f>Hours_Log!I7</f>
        <v/>
      </c>
      <c r="L9" s="32">
        <f>Hours_Log!J7</f>
        <v/>
      </c>
      <c r="M9" s="32">
        <f>Hours_Log!K7</f>
        <v/>
      </c>
      <c r="N9" s="32">
        <f>Hours_Log!L7</f>
        <v/>
      </c>
      <c r="O9" s="32">
        <f>Hours_Log!M7</f>
        <v/>
      </c>
      <c r="P9" s="32">
        <f>Hours_Log!N7</f>
        <v/>
      </c>
      <c r="Q9" s="32">
        <f>Hours_Log!O7</f>
        <v/>
      </c>
      <c r="R9" s="34">
        <f>SUM(K9:Q9)</f>
        <v/>
      </c>
      <c r="S9" s="33">
        <f>D9-J9</f>
        <v/>
      </c>
      <c r="T9" s="27">
        <f>IF(R9&gt;0,S9/R9,"n/a")</f>
        <v/>
      </c>
      <c r="U9" s="22">
        <f>SUMIFS(Actuals_Campaigns!$H$5:$H$204,Actuals_Campaigns!$B$5:$B$204,A9)</f>
        <v/>
      </c>
      <c r="V9" s="22">
        <f>SUMIFS(Actuals_Campaigns!$I$5:$I$204,Actuals_Campaigns!$B$5:$B$204,A9)</f>
        <v/>
      </c>
      <c r="W9" s="22">
        <f>SUMIFS(Actuals_Campaigns!$J$5:$J$204,Actuals_Campaigns!$B$5:$B$204,A9)</f>
        <v/>
      </c>
      <c r="X9" s="22">
        <f>SUMIFS(Actuals_Campaigns!$K$5:$K$204,Actuals_Campaigns!$B$5:$B$204,A9)</f>
        <v/>
      </c>
      <c r="Y9" s="22">
        <f>SUMIFS(Actuals_Campaigns!$L$5:$L$204,Actuals_Campaigns!$B$5:$B$204,A9)</f>
        <v/>
      </c>
      <c r="Z9" s="22">
        <f>SUMIFS(Actuals_Campaigns!$M$5:$M$204,Actuals_Campaigns!$B$5:$B$204,A9)</f>
        <v/>
      </c>
      <c r="AA9" s="22">
        <f>SUMIFS(Actuals_Campaigns!$N$5:$N$204,Actuals_Campaigns!$B$5:$B$204,A9)</f>
        <v/>
      </c>
      <c r="AB9" s="22">
        <f>SUMIFS(Actuals_Campaigns!$O$5:$O$204,Actuals_Campaigns!$B$5:$B$204,A9)</f>
        <v/>
      </c>
      <c r="AC9" s="22">
        <f>SUMIFS(Actuals_Campaigns!$P$5:$P$204,Actuals_Campaigns!$B$5:$B$204,A9)</f>
        <v/>
      </c>
      <c r="AD9" s="22">
        <f>SUMIFS(Actuals_Campaigns!$Q$5:$Q$204,Actuals_Campaigns!$B$5:$B$204,A9)</f>
        <v/>
      </c>
      <c r="AE9" s="28" t="inlineStr">
        <is>
          <t>not measured</t>
        </is>
      </c>
      <c r="AF9" s="18">
        <f>COUNTIF(Actuals_Campaigns!$B$5:$B$204,A9)</f>
        <v/>
      </c>
      <c r="AG9" s="24">
        <f>IF(V9&gt;0,X9/V9,"")</f>
        <v/>
      </c>
      <c r="AH9" s="18">
        <f>IF(AF9=0,"",COUNTIFS(Actuals_Campaigns!$B$5:$B$204,A9,Actuals_Campaigns!$AD$5:$AD$204,"&lt;"&amp;Inputs!$C$121))</f>
        <v/>
      </c>
      <c r="AI9" s="18">
        <f>IF(AF9=0,"",COUNTIFS(Actuals_Campaigns!$B$5:$B$204,A9,Actuals_Campaigns!$AF$5:$AF$204,"Y")+COUNTIFS(Actuals_Campaigns!$B$5:$B$204,A9,Actuals_Campaigns!$AF$5:$AF$204,"missing"))</f>
        <v/>
      </c>
      <c r="AJ9" s="18">
        <f>IF(AF9=0,"",COUNTIFS(Actuals_Campaigns!$B$5:$B$204,A9,Actuals_Campaigns!$V$5:$V$204,"yes"))</f>
        <v/>
      </c>
      <c r="AK9" s="18">
        <f>COUNTIFS(Actuals_Campaigns!$B$5:$B$204,A9,Actuals_Campaigns!$W$5:$W$204,"Y")</f>
        <v/>
      </c>
      <c r="AL9" s="18">
        <f>COUNTIFS(Actuals_Campaigns!$B$5:$B$204,A9,Actuals_Campaigns!$W$5:$W$204,"N")</f>
        <v/>
      </c>
    </row>
    <row r="10">
      <c r="A10">
        <f>Drop_PnL!A10</f>
        <v/>
      </c>
      <c r="B10" s="17">
        <f>Drop_PnL!B10</f>
        <v/>
      </c>
      <c r="C10">
        <f>Drop_PnL!AZ10</f>
        <v/>
      </c>
      <c r="D10" s="31">
        <f>SUMIFS(Actuals_Campaigns!$R$5:$R$204,Actuals_Campaigns!$B$5:$B$204,A10)</f>
        <v/>
      </c>
      <c r="E10" s="31">
        <f>SUMIFS(Actuals_Campaigns!$T$5:$T$204,Actuals_Campaigns!$B$5:$B$204,A10)</f>
        <v/>
      </c>
      <c r="F10" s="31">
        <f>SUMIFS(Actuals_DropCosts!$F$5:$F$104,Actuals_DropCosts!$A$5:$A$104,A10)</f>
        <v/>
      </c>
      <c r="G10" s="31">
        <f>SUMIFS(Actuals_DropCosts!$G$5:$G$104,Actuals_DropCosts!$A$5:$A$104,A10)</f>
        <v/>
      </c>
      <c r="H10" s="31">
        <f>SUMIFS(Actuals_DropCosts!$H$5:$H$104,Actuals_DropCosts!$A$5:$A$104,A10)</f>
        <v/>
      </c>
      <c r="I10" s="31">
        <f>Drop_PnL!AM10</f>
        <v/>
      </c>
      <c r="J10" s="33">
        <f>SUM(E10:I10)</f>
        <v/>
      </c>
      <c r="K10" s="32">
        <f>Hours_Log!I8</f>
        <v/>
      </c>
      <c r="L10" s="32">
        <f>Hours_Log!J8</f>
        <v/>
      </c>
      <c r="M10" s="32">
        <f>Hours_Log!K8</f>
        <v/>
      </c>
      <c r="N10" s="32">
        <f>Hours_Log!L8</f>
        <v/>
      </c>
      <c r="O10" s="32">
        <f>Hours_Log!M8</f>
        <v/>
      </c>
      <c r="P10" s="32">
        <f>Hours_Log!N8</f>
        <v/>
      </c>
      <c r="Q10" s="32">
        <f>Hours_Log!O8</f>
        <v/>
      </c>
      <c r="R10" s="34">
        <f>SUM(K10:Q10)</f>
        <v/>
      </c>
      <c r="S10" s="33">
        <f>D10-J10</f>
        <v/>
      </c>
      <c r="T10" s="27">
        <f>IF(R10&gt;0,S10/R10,"n/a")</f>
        <v/>
      </c>
      <c r="U10" s="22">
        <f>SUMIFS(Actuals_Campaigns!$H$5:$H$204,Actuals_Campaigns!$B$5:$B$204,A10)</f>
        <v/>
      </c>
      <c r="V10" s="22">
        <f>SUMIFS(Actuals_Campaigns!$I$5:$I$204,Actuals_Campaigns!$B$5:$B$204,A10)</f>
        <v/>
      </c>
      <c r="W10" s="22">
        <f>SUMIFS(Actuals_Campaigns!$J$5:$J$204,Actuals_Campaigns!$B$5:$B$204,A10)</f>
        <v/>
      </c>
      <c r="X10" s="22">
        <f>SUMIFS(Actuals_Campaigns!$K$5:$K$204,Actuals_Campaigns!$B$5:$B$204,A10)</f>
        <v/>
      </c>
      <c r="Y10" s="22">
        <f>SUMIFS(Actuals_Campaigns!$L$5:$L$204,Actuals_Campaigns!$B$5:$B$204,A10)</f>
        <v/>
      </c>
      <c r="Z10" s="22">
        <f>SUMIFS(Actuals_Campaigns!$M$5:$M$204,Actuals_Campaigns!$B$5:$B$204,A10)</f>
        <v/>
      </c>
      <c r="AA10" s="22">
        <f>SUMIFS(Actuals_Campaigns!$N$5:$N$204,Actuals_Campaigns!$B$5:$B$204,A10)</f>
        <v/>
      </c>
      <c r="AB10" s="22">
        <f>SUMIFS(Actuals_Campaigns!$O$5:$O$204,Actuals_Campaigns!$B$5:$B$204,A10)</f>
        <v/>
      </c>
      <c r="AC10" s="22">
        <f>SUMIFS(Actuals_Campaigns!$P$5:$P$204,Actuals_Campaigns!$B$5:$B$204,A10)</f>
        <v/>
      </c>
      <c r="AD10" s="22">
        <f>SUMIFS(Actuals_Campaigns!$Q$5:$Q$204,Actuals_Campaigns!$B$5:$B$204,A10)</f>
        <v/>
      </c>
      <c r="AE10" s="28" t="inlineStr">
        <is>
          <t>not measured</t>
        </is>
      </c>
      <c r="AF10" s="18">
        <f>COUNTIF(Actuals_Campaigns!$B$5:$B$204,A10)</f>
        <v/>
      </c>
      <c r="AG10" s="24">
        <f>IF(V10&gt;0,X10/V10,"")</f>
        <v/>
      </c>
      <c r="AH10" s="18">
        <f>IF(AF10=0,"",COUNTIFS(Actuals_Campaigns!$B$5:$B$204,A10,Actuals_Campaigns!$AD$5:$AD$204,"&lt;"&amp;Inputs!$C$121))</f>
        <v/>
      </c>
      <c r="AI10" s="18">
        <f>IF(AF10=0,"",COUNTIFS(Actuals_Campaigns!$B$5:$B$204,A10,Actuals_Campaigns!$AF$5:$AF$204,"Y")+COUNTIFS(Actuals_Campaigns!$B$5:$B$204,A10,Actuals_Campaigns!$AF$5:$AF$204,"missing"))</f>
        <v/>
      </c>
      <c r="AJ10" s="18">
        <f>IF(AF10=0,"",COUNTIFS(Actuals_Campaigns!$B$5:$B$204,A10,Actuals_Campaigns!$V$5:$V$204,"yes"))</f>
        <v/>
      </c>
      <c r="AK10" s="18">
        <f>COUNTIFS(Actuals_Campaigns!$B$5:$B$204,A10,Actuals_Campaigns!$W$5:$W$204,"Y")</f>
        <v/>
      </c>
      <c r="AL10" s="18">
        <f>COUNTIFS(Actuals_Campaigns!$B$5:$B$204,A10,Actuals_Campaigns!$W$5:$W$204,"N")</f>
        <v/>
      </c>
    </row>
    <row r="11">
      <c r="A11">
        <f>Drop_PnL!A11</f>
        <v/>
      </c>
      <c r="B11" s="17">
        <f>Drop_PnL!B11</f>
        <v/>
      </c>
      <c r="C11">
        <f>Drop_PnL!AZ11</f>
        <v/>
      </c>
      <c r="D11" s="31">
        <f>SUMIFS(Actuals_Campaigns!$R$5:$R$204,Actuals_Campaigns!$B$5:$B$204,A11)</f>
        <v/>
      </c>
      <c r="E11" s="31">
        <f>SUMIFS(Actuals_Campaigns!$T$5:$T$204,Actuals_Campaigns!$B$5:$B$204,A11)</f>
        <v/>
      </c>
      <c r="F11" s="31">
        <f>SUMIFS(Actuals_DropCosts!$F$5:$F$104,Actuals_DropCosts!$A$5:$A$104,A11)</f>
        <v/>
      </c>
      <c r="G11" s="31">
        <f>SUMIFS(Actuals_DropCosts!$G$5:$G$104,Actuals_DropCosts!$A$5:$A$104,A11)</f>
        <v/>
      </c>
      <c r="H11" s="31">
        <f>SUMIFS(Actuals_DropCosts!$H$5:$H$104,Actuals_DropCosts!$A$5:$A$104,A11)</f>
        <v/>
      </c>
      <c r="I11" s="31">
        <f>Drop_PnL!AM11</f>
        <v/>
      </c>
      <c r="J11" s="33">
        <f>SUM(E11:I11)</f>
        <v/>
      </c>
      <c r="K11" s="32">
        <f>Hours_Log!I9</f>
        <v/>
      </c>
      <c r="L11" s="32">
        <f>Hours_Log!J9</f>
        <v/>
      </c>
      <c r="M11" s="32">
        <f>Hours_Log!K9</f>
        <v/>
      </c>
      <c r="N11" s="32">
        <f>Hours_Log!L9</f>
        <v/>
      </c>
      <c r="O11" s="32">
        <f>Hours_Log!M9</f>
        <v/>
      </c>
      <c r="P11" s="32">
        <f>Hours_Log!N9</f>
        <v/>
      </c>
      <c r="Q11" s="32">
        <f>Hours_Log!O9</f>
        <v/>
      </c>
      <c r="R11" s="34">
        <f>SUM(K11:Q11)</f>
        <v/>
      </c>
      <c r="S11" s="33">
        <f>D11-J11</f>
        <v/>
      </c>
      <c r="T11" s="27">
        <f>IF(R11&gt;0,S11/R11,"n/a")</f>
        <v/>
      </c>
      <c r="U11" s="22">
        <f>SUMIFS(Actuals_Campaigns!$H$5:$H$204,Actuals_Campaigns!$B$5:$B$204,A11)</f>
        <v/>
      </c>
      <c r="V11" s="22">
        <f>SUMIFS(Actuals_Campaigns!$I$5:$I$204,Actuals_Campaigns!$B$5:$B$204,A11)</f>
        <v/>
      </c>
      <c r="W11" s="22">
        <f>SUMIFS(Actuals_Campaigns!$J$5:$J$204,Actuals_Campaigns!$B$5:$B$204,A11)</f>
        <v/>
      </c>
      <c r="X11" s="22">
        <f>SUMIFS(Actuals_Campaigns!$K$5:$K$204,Actuals_Campaigns!$B$5:$B$204,A11)</f>
        <v/>
      </c>
      <c r="Y11" s="22">
        <f>SUMIFS(Actuals_Campaigns!$L$5:$L$204,Actuals_Campaigns!$B$5:$B$204,A11)</f>
        <v/>
      </c>
      <c r="Z11" s="22">
        <f>SUMIFS(Actuals_Campaigns!$M$5:$M$204,Actuals_Campaigns!$B$5:$B$204,A11)</f>
        <v/>
      </c>
      <c r="AA11" s="22">
        <f>SUMIFS(Actuals_Campaigns!$N$5:$N$204,Actuals_Campaigns!$B$5:$B$204,A11)</f>
        <v/>
      </c>
      <c r="AB11" s="22">
        <f>SUMIFS(Actuals_Campaigns!$O$5:$O$204,Actuals_Campaigns!$B$5:$B$204,A11)</f>
        <v/>
      </c>
      <c r="AC11" s="22">
        <f>SUMIFS(Actuals_Campaigns!$P$5:$P$204,Actuals_Campaigns!$B$5:$B$204,A11)</f>
        <v/>
      </c>
      <c r="AD11" s="22">
        <f>SUMIFS(Actuals_Campaigns!$Q$5:$Q$204,Actuals_Campaigns!$B$5:$B$204,A11)</f>
        <v/>
      </c>
      <c r="AE11" s="28" t="inlineStr">
        <is>
          <t>not measured</t>
        </is>
      </c>
      <c r="AF11" s="18">
        <f>COUNTIF(Actuals_Campaigns!$B$5:$B$204,A11)</f>
        <v/>
      </c>
      <c r="AG11" s="24">
        <f>IF(V11&gt;0,X11/V11,"")</f>
        <v/>
      </c>
      <c r="AH11" s="18">
        <f>IF(AF11=0,"",COUNTIFS(Actuals_Campaigns!$B$5:$B$204,A11,Actuals_Campaigns!$AD$5:$AD$204,"&lt;"&amp;Inputs!$C$121))</f>
        <v/>
      </c>
      <c r="AI11" s="18">
        <f>IF(AF11=0,"",COUNTIFS(Actuals_Campaigns!$B$5:$B$204,A11,Actuals_Campaigns!$AF$5:$AF$204,"Y")+COUNTIFS(Actuals_Campaigns!$B$5:$B$204,A11,Actuals_Campaigns!$AF$5:$AF$204,"missing"))</f>
        <v/>
      </c>
      <c r="AJ11" s="18">
        <f>IF(AF11=0,"",COUNTIFS(Actuals_Campaigns!$B$5:$B$204,A11,Actuals_Campaigns!$V$5:$V$204,"yes"))</f>
        <v/>
      </c>
      <c r="AK11" s="18">
        <f>COUNTIFS(Actuals_Campaigns!$B$5:$B$204,A11,Actuals_Campaigns!$W$5:$W$204,"Y")</f>
        <v/>
      </c>
      <c r="AL11" s="18">
        <f>COUNTIFS(Actuals_Campaigns!$B$5:$B$204,A11,Actuals_Campaigns!$W$5:$W$204,"N")</f>
        <v/>
      </c>
    </row>
    <row r="12">
      <c r="A12">
        <f>Drop_PnL!A12</f>
        <v/>
      </c>
      <c r="B12" s="17">
        <f>Drop_PnL!B12</f>
        <v/>
      </c>
      <c r="C12">
        <f>Drop_PnL!AZ12</f>
        <v/>
      </c>
      <c r="D12" s="31">
        <f>SUMIFS(Actuals_Campaigns!$R$5:$R$204,Actuals_Campaigns!$B$5:$B$204,A12)</f>
        <v/>
      </c>
      <c r="E12" s="31">
        <f>SUMIFS(Actuals_Campaigns!$T$5:$T$204,Actuals_Campaigns!$B$5:$B$204,A12)</f>
        <v/>
      </c>
      <c r="F12" s="31">
        <f>SUMIFS(Actuals_DropCosts!$F$5:$F$104,Actuals_DropCosts!$A$5:$A$104,A12)</f>
        <v/>
      </c>
      <c r="G12" s="31">
        <f>SUMIFS(Actuals_DropCosts!$G$5:$G$104,Actuals_DropCosts!$A$5:$A$104,A12)</f>
        <v/>
      </c>
      <c r="H12" s="31">
        <f>SUMIFS(Actuals_DropCosts!$H$5:$H$104,Actuals_DropCosts!$A$5:$A$104,A12)</f>
        <v/>
      </c>
      <c r="I12" s="31">
        <f>Drop_PnL!AM12</f>
        <v/>
      </c>
      <c r="J12" s="33">
        <f>SUM(E12:I12)</f>
        <v/>
      </c>
      <c r="K12" s="32">
        <f>Hours_Log!I10</f>
        <v/>
      </c>
      <c r="L12" s="32">
        <f>Hours_Log!J10</f>
        <v/>
      </c>
      <c r="M12" s="32">
        <f>Hours_Log!K10</f>
        <v/>
      </c>
      <c r="N12" s="32">
        <f>Hours_Log!L10</f>
        <v/>
      </c>
      <c r="O12" s="32">
        <f>Hours_Log!M10</f>
        <v/>
      </c>
      <c r="P12" s="32">
        <f>Hours_Log!N10</f>
        <v/>
      </c>
      <c r="Q12" s="32">
        <f>Hours_Log!O10</f>
        <v/>
      </c>
      <c r="R12" s="34">
        <f>SUM(K12:Q12)</f>
        <v/>
      </c>
      <c r="S12" s="33">
        <f>D12-J12</f>
        <v/>
      </c>
      <c r="T12" s="27">
        <f>IF(R12&gt;0,S12/R12,"n/a")</f>
        <v/>
      </c>
      <c r="U12" s="22">
        <f>SUMIFS(Actuals_Campaigns!$H$5:$H$204,Actuals_Campaigns!$B$5:$B$204,A12)</f>
        <v/>
      </c>
      <c r="V12" s="22">
        <f>SUMIFS(Actuals_Campaigns!$I$5:$I$204,Actuals_Campaigns!$B$5:$B$204,A12)</f>
        <v/>
      </c>
      <c r="W12" s="22">
        <f>SUMIFS(Actuals_Campaigns!$J$5:$J$204,Actuals_Campaigns!$B$5:$B$204,A12)</f>
        <v/>
      </c>
      <c r="X12" s="22">
        <f>SUMIFS(Actuals_Campaigns!$K$5:$K$204,Actuals_Campaigns!$B$5:$B$204,A12)</f>
        <v/>
      </c>
      <c r="Y12" s="22">
        <f>SUMIFS(Actuals_Campaigns!$L$5:$L$204,Actuals_Campaigns!$B$5:$B$204,A12)</f>
        <v/>
      </c>
      <c r="Z12" s="22">
        <f>SUMIFS(Actuals_Campaigns!$M$5:$M$204,Actuals_Campaigns!$B$5:$B$204,A12)</f>
        <v/>
      </c>
      <c r="AA12" s="22">
        <f>SUMIFS(Actuals_Campaigns!$N$5:$N$204,Actuals_Campaigns!$B$5:$B$204,A12)</f>
        <v/>
      </c>
      <c r="AB12" s="22">
        <f>SUMIFS(Actuals_Campaigns!$O$5:$O$204,Actuals_Campaigns!$B$5:$B$204,A12)</f>
        <v/>
      </c>
      <c r="AC12" s="22">
        <f>SUMIFS(Actuals_Campaigns!$P$5:$P$204,Actuals_Campaigns!$B$5:$B$204,A12)</f>
        <v/>
      </c>
      <c r="AD12" s="22">
        <f>SUMIFS(Actuals_Campaigns!$Q$5:$Q$204,Actuals_Campaigns!$B$5:$B$204,A12)</f>
        <v/>
      </c>
      <c r="AE12" s="28" t="inlineStr">
        <is>
          <t>not measured</t>
        </is>
      </c>
      <c r="AF12" s="18">
        <f>COUNTIF(Actuals_Campaigns!$B$5:$B$204,A12)</f>
        <v/>
      </c>
      <c r="AG12" s="24">
        <f>IF(V12&gt;0,X12/V12,"")</f>
        <v/>
      </c>
      <c r="AH12" s="18">
        <f>IF(AF12=0,"",COUNTIFS(Actuals_Campaigns!$B$5:$B$204,A12,Actuals_Campaigns!$AD$5:$AD$204,"&lt;"&amp;Inputs!$C$121))</f>
        <v/>
      </c>
      <c r="AI12" s="18">
        <f>IF(AF12=0,"",COUNTIFS(Actuals_Campaigns!$B$5:$B$204,A12,Actuals_Campaigns!$AF$5:$AF$204,"Y")+COUNTIFS(Actuals_Campaigns!$B$5:$B$204,A12,Actuals_Campaigns!$AF$5:$AF$204,"missing"))</f>
        <v/>
      </c>
      <c r="AJ12" s="18">
        <f>IF(AF12=0,"",COUNTIFS(Actuals_Campaigns!$B$5:$B$204,A12,Actuals_Campaigns!$V$5:$V$204,"yes"))</f>
        <v/>
      </c>
      <c r="AK12" s="18">
        <f>COUNTIFS(Actuals_Campaigns!$B$5:$B$204,A12,Actuals_Campaigns!$W$5:$W$204,"Y")</f>
        <v/>
      </c>
      <c r="AL12" s="18">
        <f>COUNTIFS(Actuals_Campaigns!$B$5:$B$204,A12,Actuals_Campaigns!$W$5:$W$204,"N")</f>
        <v/>
      </c>
    </row>
    <row r="13">
      <c r="A13">
        <f>Drop_PnL!A13</f>
        <v/>
      </c>
      <c r="B13" s="17">
        <f>Drop_PnL!B13</f>
        <v/>
      </c>
      <c r="C13">
        <f>Drop_PnL!AZ13</f>
        <v/>
      </c>
      <c r="D13" s="31">
        <f>SUMIFS(Actuals_Campaigns!$R$5:$R$204,Actuals_Campaigns!$B$5:$B$204,A13)</f>
        <v/>
      </c>
      <c r="E13" s="31">
        <f>SUMIFS(Actuals_Campaigns!$T$5:$T$204,Actuals_Campaigns!$B$5:$B$204,A13)</f>
        <v/>
      </c>
      <c r="F13" s="31">
        <f>SUMIFS(Actuals_DropCosts!$F$5:$F$104,Actuals_DropCosts!$A$5:$A$104,A13)</f>
        <v/>
      </c>
      <c r="G13" s="31">
        <f>SUMIFS(Actuals_DropCosts!$G$5:$G$104,Actuals_DropCosts!$A$5:$A$104,A13)</f>
        <v/>
      </c>
      <c r="H13" s="31">
        <f>SUMIFS(Actuals_DropCosts!$H$5:$H$104,Actuals_DropCosts!$A$5:$A$104,A13)</f>
        <v/>
      </c>
      <c r="I13" s="31">
        <f>Drop_PnL!AM13</f>
        <v/>
      </c>
      <c r="J13" s="33">
        <f>SUM(E13:I13)</f>
        <v/>
      </c>
      <c r="K13" s="32">
        <f>Hours_Log!I11</f>
        <v/>
      </c>
      <c r="L13" s="32">
        <f>Hours_Log!J11</f>
        <v/>
      </c>
      <c r="M13" s="32">
        <f>Hours_Log!K11</f>
        <v/>
      </c>
      <c r="N13" s="32">
        <f>Hours_Log!L11</f>
        <v/>
      </c>
      <c r="O13" s="32">
        <f>Hours_Log!M11</f>
        <v/>
      </c>
      <c r="P13" s="32">
        <f>Hours_Log!N11</f>
        <v/>
      </c>
      <c r="Q13" s="32">
        <f>Hours_Log!O11</f>
        <v/>
      </c>
      <c r="R13" s="34">
        <f>SUM(K13:Q13)</f>
        <v/>
      </c>
      <c r="S13" s="33">
        <f>D13-J13</f>
        <v/>
      </c>
      <c r="T13" s="27">
        <f>IF(R13&gt;0,S13/R13,"n/a")</f>
        <v/>
      </c>
      <c r="U13" s="22">
        <f>SUMIFS(Actuals_Campaigns!$H$5:$H$204,Actuals_Campaigns!$B$5:$B$204,A13)</f>
        <v/>
      </c>
      <c r="V13" s="22">
        <f>SUMIFS(Actuals_Campaigns!$I$5:$I$204,Actuals_Campaigns!$B$5:$B$204,A13)</f>
        <v/>
      </c>
      <c r="W13" s="22">
        <f>SUMIFS(Actuals_Campaigns!$J$5:$J$204,Actuals_Campaigns!$B$5:$B$204,A13)</f>
        <v/>
      </c>
      <c r="X13" s="22">
        <f>SUMIFS(Actuals_Campaigns!$K$5:$K$204,Actuals_Campaigns!$B$5:$B$204,A13)</f>
        <v/>
      </c>
      <c r="Y13" s="22">
        <f>SUMIFS(Actuals_Campaigns!$L$5:$L$204,Actuals_Campaigns!$B$5:$B$204,A13)</f>
        <v/>
      </c>
      <c r="Z13" s="22">
        <f>SUMIFS(Actuals_Campaigns!$M$5:$M$204,Actuals_Campaigns!$B$5:$B$204,A13)</f>
        <v/>
      </c>
      <c r="AA13" s="22">
        <f>SUMIFS(Actuals_Campaigns!$N$5:$N$204,Actuals_Campaigns!$B$5:$B$204,A13)</f>
        <v/>
      </c>
      <c r="AB13" s="22">
        <f>SUMIFS(Actuals_Campaigns!$O$5:$O$204,Actuals_Campaigns!$B$5:$B$204,A13)</f>
        <v/>
      </c>
      <c r="AC13" s="22">
        <f>SUMIFS(Actuals_Campaigns!$P$5:$P$204,Actuals_Campaigns!$B$5:$B$204,A13)</f>
        <v/>
      </c>
      <c r="AD13" s="22">
        <f>SUMIFS(Actuals_Campaigns!$Q$5:$Q$204,Actuals_Campaigns!$B$5:$B$204,A13)</f>
        <v/>
      </c>
      <c r="AE13" s="28" t="inlineStr">
        <is>
          <t>not measured</t>
        </is>
      </c>
      <c r="AF13" s="18">
        <f>COUNTIF(Actuals_Campaigns!$B$5:$B$204,A13)</f>
        <v/>
      </c>
      <c r="AG13" s="24">
        <f>IF(V13&gt;0,X13/V13,"")</f>
        <v/>
      </c>
      <c r="AH13" s="18">
        <f>IF(AF13=0,"",COUNTIFS(Actuals_Campaigns!$B$5:$B$204,A13,Actuals_Campaigns!$AD$5:$AD$204,"&lt;"&amp;Inputs!$C$121))</f>
        <v/>
      </c>
      <c r="AI13" s="18">
        <f>IF(AF13=0,"",COUNTIFS(Actuals_Campaigns!$B$5:$B$204,A13,Actuals_Campaigns!$AF$5:$AF$204,"Y")+COUNTIFS(Actuals_Campaigns!$B$5:$B$204,A13,Actuals_Campaigns!$AF$5:$AF$204,"missing"))</f>
        <v/>
      </c>
      <c r="AJ13" s="18">
        <f>IF(AF13=0,"",COUNTIFS(Actuals_Campaigns!$B$5:$B$204,A13,Actuals_Campaigns!$V$5:$V$204,"yes"))</f>
        <v/>
      </c>
      <c r="AK13" s="18">
        <f>COUNTIFS(Actuals_Campaigns!$B$5:$B$204,A13,Actuals_Campaigns!$W$5:$W$204,"Y")</f>
        <v/>
      </c>
      <c r="AL13" s="18">
        <f>COUNTIFS(Actuals_Campaigns!$B$5:$B$204,A13,Actuals_Campaigns!$W$5:$W$204,"N")</f>
        <v/>
      </c>
    </row>
    <row r="14">
      <c r="A14">
        <f>Drop_PnL!A14</f>
        <v/>
      </c>
      <c r="B14" s="17">
        <f>Drop_PnL!B14</f>
        <v/>
      </c>
      <c r="C14">
        <f>Drop_PnL!AZ14</f>
        <v/>
      </c>
      <c r="D14" s="31">
        <f>SUMIFS(Actuals_Campaigns!$R$5:$R$204,Actuals_Campaigns!$B$5:$B$204,A14)</f>
        <v/>
      </c>
      <c r="E14" s="31">
        <f>SUMIFS(Actuals_Campaigns!$T$5:$T$204,Actuals_Campaigns!$B$5:$B$204,A14)</f>
        <v/>
      </c>
      <c r="F14" s="31">
        <f>SUMIFS(Actuals_DropCosts!$F$5:$F$104,Actuals_DropCosts!$A$5:$A$104,A14)</f>
        <v/>
      </c>
      <c r="G14" s="31">
        <f>SUMIFS(Actuals_DropCosts!$G$5:$G$104,Actuals_DropCosts!$A$5:$A$104,A14)</f>
        <v/>
      </c>
      <c r="H14" s="31">
        <f>SUMIFS(Actuals_DropCosts!$H$5:$H$104,Actuals_DropCosts!$A$5:$A$104,A14)</f>
        <v/>
      </c>
      <c r="I14" s="31">
        <f>Drop_PnL!AM14</f>
        <v/>
      </c>
      <c r="J14" s="33">
        <f>SUM(E14:I14)</f>
        <v/>
      </c>
      <c r="K14" s="32">
        <f>Hours_Log!I12</f>
        <v/>
      </c>
      <c r="L14" s="32">
        <f>Hours_Log!J12</f>
        <v/>
      </c>
      <c r="M14" s="32">
        <f>Hours_Log!K12</f>
        <v/>
      </c>
      <c r="N14" s="32">
        <f>Hours_Log!L12</f>
        <v/>
      </c>
      <c r="O14" s="32">
        <f>Hours_Log!M12</f>
        <v/>
      </c>
      <c r="P14" s="32">
        <f>Hours_Log!N12</f>
        <v/>
      </c>
      <c r="Q14" s="32">
        <f>Hours_Log!O12</f>
        <v/>
      </c>
      <c r="R14" s="34">
        <f>SUM(K14:Q14)</f>
        <v/>
      </c>
      <c r="S14" s="33">
        <f>D14-J14</f>
        <v/>
      </c>
      <c r="T14" s="27">
        <f>IF(R14&gt;0,S14/R14,"n/a")</f>
        <v/>
      </c>
      <c r="U14" s="22">
        <f>SUMIFS(Actuals_Campaigns!$H$5:$H$204,Actuals_Campaigns!$B$5:$B$204,A14)</f>
        <v/>
      </c>
      <c r="V14" s="22">
        <f>SUMIFS(Actuals_Campaigns!$I$5:$I$204,Actuals_Campaigns!$B$5:$B$204,A14)</f>
        <v/>
      </c>
      <c r="W14" s="22">
        <f>SUMIFS(Actuals_Campaigns!$J$5:$J$204,Actuals_Campaigns!$B$5:$B$204,A14)</f>
        <v/>
      </c>
      <c r="X14" s="22">
        <f>SUMIFS(Actuals_Campaigns!$K$5:$K$204,Actuals_Campaigns!$B$5:$B$204,A14)</f>
        <v/>
      </c>
      <c r="Y14" s="22">
        <f>SUMIFS(Actuals_Campaigns!$L$5:$L$204,Actuals_Campaigns!$B$5:$B$204,A14)</f>
        <v/>
      </c>
      <c r="Z14" s="22">
        <f>SUMIFS(Actuals_Campaigns!$M$5:$M$204,Actuals_Campaigns!$B$5:$B$204,A14)</f>
        <v/>
      </c>
      <c r="AA14" s="22">
        <f>SUMIFS(Actuals_Campaigns!$N$5:$N$204,Actuals_Campaigns!$B$5:$B$204,A14)</f>
        <v/>
      </c>
      <c r="AB14" s="22">
        <f>SUMIFS(Actuals_Campaigns!$O$5:$O$204,Actuals_Campaigns!$B$5:$B$204,A14)</f>
        <v/>
      </c>
      <c r="AC14" s="22">
        <f>SUMIFS(Actuals_Campaigns!$P$5:$P$204,Actuals_Campaigns!$B$5:$B$204,A14)</f>
        <v/>
      </c>
      <c r="AD14" s="22">
        <f>SUMIFS(Actuals_Campaigns!$Q$5:$Q$204,Actuals_Campaigns!$B$5:$B$204,A14)</f>
        <v/>
      </c>
      <c r="AE14" s="28" t="inlineStr">
        <is>
          <t>not measured</t>
        </is>
      </c>
      <c r="AF14" s="18">
        <f>COUNTIF(Actuals_Campaigns!$B$5:$B$204,A14)</f>
        <v/>
      </c>
      <c r="AG14" s="24">
        <f>IF(V14&gt;0,X14/V14,"")</f>
        <v/>
      </c>
      <c r="AH14" s="18">
        <f>IF(AF14=0,"",COUNTIFS(Actuals_Campaigns!$B$5:$B$204,A14,Actuals_Campaigns!$AD$5:$AD$204,"&lt;"&amp;Inputs!$C$121))</f>
        <v/>
      </c>
      <c r="AI14" s="18">
        <f>IF(AF14=0,"",COUNTIFS(Actuals_Campaigns!$B$5:$B$204,A14,Actuals_Campaigns!$AF$5:$AF$204,"Y")+COUNTIFS(Actuals_Campaigns!$B$5:$B$204,A14,Actuals_Campaigns!$AF$5:$AF$204,"missing"))</f>
        <v/>
      </c>
      <c r="AJ14" s="18">
        <f>IF(AF14=0,"",COUNTIFS(Actuals_Campaigns!$B$5:$B$204,A14,Actuals_Campaigns!$V$5:$V$204,"yes"))</f>
        <v/>
      </c>
      <c r="AK14" s="18">
        <f>COUNTIFS(Actuals_Campaigns!$B$5:$B$204,A14,Actuals_Campaigns!$W$5:$W$204,"Y")</f>
        <v/>
      </c>
      <c r="AL14" s="18">
        <f>COUNTIFS(Actuals_Campaigns!$B$5:$B$204,A14,Actuals_Campaigns!$W$5:$W$204,"N")</f>
        <v/>
      </c>
    </row>
    <row r="15">
      <c r="A15">
        <f>Drop_PnL!A15</f>
        <v/>
      </c>
      <c r="B15" s="17">
        <f>Drop_PnL!B15</f>
        <v/>
      </c>
      <c r="C15">
        <f>Drop_PnL!AZ15</f>
        <v/>
      </c>
      <c r="D15" s="31">
        <f>SUMIFS(Actuals_Campaigns!$R$5:$R$204,Actuals_Campaigns!$B$5:$B$204,A15)</f>
        <v/>
      </c>
      <c r="E15" s="31">
        <f>SUMIFS(Actuals_Campaigns!$T$5:$T$204,Actuals_Campaigns!$B$5:$B$204,A15)</f>
        <v/>
      </c>
      <c r="F15" s="31">
        <f>SUMIFS(Actuals_DropCosts!$F$5:$F$104,Actuals_DropCosts!$A$5:$A$104,A15)</f>
        <v/>
      </c>
      <c r="G15" s="31">
        <f>SUMIFS(Actuals_DropCosts!$G$5:$G$104,Actuals_DropCosts!$A$5:$A$104,A15)</f>
        <v/>
      </c>
      <c r="H15" s="31">
        <f>SUMIFS(Actuals_DropCosts!$H$5:$H$104,Actuals_DropCosts!$A$5:$A$104,A15)</f>
        <v/>
      </c>
      <c r="I15" s="31">
        <f>Drop_PnL!AM15</f>
        <v/>
      </c>
      <c r="J15" s="33">
        <f>SUM(E15:I15)</f>
        <v/>
      </c>
      <c r="K15" s="32">
        <f>Hours_Log!I13</f>
        <v/>
      </c>
      <c r="L15" s="32">
        <f>Hours_Log!J13</f>
        <v/>
      </c>
      <c r="M15" s="32">
        <f>Hours_Log!K13</f>
        <v/>
      </c>
      <c r="N15" s="32">
        <f>Hours_Log!L13</f>
        <v/>
      </c>
      <c r="O15" s="32">
        <f>Hours_Log!M13</f>
        <v/>
      </c>
      <c r="P15" s="32">
        <f>Hours_Log!N13</f>
        <v/>
      </c>
      <c r="Q15" s="32">
        <f>Hours_Log!O13</f>
        <v/>
      </c>
      <c r="R15" s="34">
        <f>SUM(K15:Q15)</f>
        <v/>
      </c>
      <c r="S15" s="33">
        <f>D15-J15</f>
        <v/>
      </c>
      <c r="T15" s="27">
        <f>IF(R15&gt;0,S15/R15,"n/a")</f>
        <v/>
      </c>
      <c r="U15" s="22">
        <f>SUMIFS(Actuals_Campaigns!$H$5:$H$204,Actuals_Campaigns!$B$5:$B$204,A15)</f>
        <v/>
      </c>
      <c r="V15" s="22">
        <f>SUMIFS(Actuals_Campaigns!$I$5:$I$204,Actuals_Campaigns!$B$5:$B$204,A15)</f>
        <v/>
      </c>
      <c r="W15" s="22">
        <f>SUMIFS(Actuals_Campaigns!$J$5:$J$204,Actuals_Campaigns!$B$5:$B$204,A15)</f>
        <v/>
      </c>
      <c r="X15" s="22">
        <f>SUMIFS(Actuals_Campaigns!$K$5:$K$204,Actuals_Campaigns!$B$5:$B$204,A15)</f>
        <v/>
      </c>
      <c r="Y15" s="22">
        <f>SUMIFS(Actuals_Campaigns!$L$5:$L$204,Actuals_Campaigns!$B$5:$B$204,A15)</f>
        <v/>
      </c>
      <c r="Z15" s="22">
        <f>SUMIFS(Actuals_Campaigns!$M$5:$M$204,Actuals_Campaigns!$B$5:$B$204,A15)</f>
        <v/>
      </c>
      <c r="AA15" s="22">
        <f>SUMIFS(Actuals_Campaigns!$N$5:$N$204,Actuals_Campaigns!$B$5:$B$204,A15)</f>
        <v/>
      </c>
      <c r="AB15" s="22">
        <f>SUMIFS(Actuals_Campaigns!$O$5:$O$204,Actuals_Campaigns!$B$5:$B$204,A15)</f>
        <v/>
      </c>
      <c r="AC15" s="22">
        <f>SUMIFS(Actuals_Campaigns!$P$5:$P$204,Actuals_Campaigns!$B$5:$B$204,A15)</f>
        <v/>
      </c>
      <c r="AD15" s="22">
        <f>SUMIFS(Actuals_Campaigns!$Q$5:$Q$204,Actuals_Campaigns!$B$5:$B$204,A15)</f>
        <v/>
      </c>
      <c r="AE15" s="28" t="inlineStr">
        <is>
          <t>not measured</t>
        </is>
      </c>
      <c r="AF15" s="18">
        <f>COUNTIF(Actuals_Campaigns!$B$5:$B$204,A15)</f>
        <v/>
      </c>
      <c r="AG15" s="24">
        <f>IF(V15&gt;0,X15/V15,"")</f>
        <v/>
      </c>
      <c r="AH15" s="18">
        <f>IF(AF15=0,"",COUNTIFS(Actuals_Campaigns!$B$5:$B$204,A15,Actuals_Campaigns!$AD$5:$AD$204,"&lt;"&amp;Inputs!$C$121))</f>
        <v/>
      </c>
      <c r="AI15" s="18">
        <f>IF(AF15=0,"",COUNTIFS(Actuals_Campaigns!$B$5:$B$204,A15,Actuals_Campaigns!$AF$5:$AF$204,"Y")+COUNTIFS(Actuals_Campaigns!$B$5:$B$204,A15,Actuals_Campaigns!$AF$5:$AF$204,"missing"))</f>
        <v/>
      </c>
      <c r="AJ15" s="18">
        <f>IF(AF15=0,"",COUNTIFS(Actuals_Campaigns!$B$5:$B$204,A15,Actuals_Campaigns!$V$5:$V$204,"yes"))</f>
        <v/>
      </c>
      <c r="AK15" s="18">
        <f>COUNTIFS(Actuals_Campaigns!$B$5:$B$204,A15,Actuals_Campaigns!$W$5:$W$204,"Y")</f>
        <v/>
      </c>
      <c r="AL15" s="18">
        <f>COUNTIFS(Actuals_Campaigns!$B$5:$B$204,A15,Actuals_Campaigns!$W$5:$W$204,"N")</f>
        <v/>
      </c>
    </row>
    <row r="16">
      <c r="A16">
        <f>Drop_PnL!A16</f>
        <v/>
      </c>
      <c r="B16" s="17">
        <f>Drop_PnL!B16</f>
        <v/>
      </c>
      <c r="C16">
        <f>Drop_PnL!AZ16</f>
        <v/>
      </c>
      <c r="D16" s="31">
        <f>SUMIFS(Actuals_Campaigns!$R$5:$R$204,Actuals_Campaigns!$B$5:$B$204,A16)</f>
        <v/>
      </c>
      <c r="E16" s="31">
        <f>SUMIFS(Actuals_Campaigns!$T$5:$T$204,Actuals_Campaigns!$B$5:$B$204,A16)</f>
        <v/>
      </c>
      <c r="F16" s="31">
        <f>SUMIFS(Actuals_DropCosts!$F$5:$F$104,Actuals_DropCosts!$A$5:$A$104,A16)</f>
        <v/>
      </c>
      <c r="G16" s="31">
        <f>SUMIFS(Actuals_DropCosts!$G$5:$G$104,Actuals_DropCosts!$A$5:$A$104,A16)</f>
        <v/>
      </c>
      <c r="H16" s="31">
        <f>SUMIFS(Actuals_DropCosts!$H$5:$H$104,Actuals_DropCosts!$A$5:$A$104,A16)</f>
        <v/>
      </c>
      <c r="I16" s="31">
        <f>Drop_PnL!AM16</f>
        <v/>
      </c>
      <c r="J16" s="33">
        <f>SUM(E16:I16)</f>
        <v/>
      </c>
      <c r="K16" s="32">
        <f>Hours_Log!I14</f>
        <v/>
      </c>
      <c r="L16" s="32">
        <f>Hours_Log!J14</f>
        <v/>
      </c>
      <c r="M16" s="32">
        <f>Hours_Log!K14</f>
        <v/>
      </c>
      <c r="N16" s="32">
        <f>Hours_Log!L14</f>
        <v/>
      </c>
      <c r="O16" s="32">
        <f>Hours_Log!M14</f>
        <v/>
      </c>
      <c r="P16" s="32">
        <f>Hours_Log!N14</f>
        <v/>
      </c>
      <c r="Q16" s="32">
        <f>Hours_Log!O14</f>
        <v/>
      </c>
      <c r="R16" s="34">
        <f>SUM(K16:Q16)</f>
        <v/>
      </c>
      <c r="S16" s="33">
        <f>D16-J16</f>
        <v/>
      </c>
      <c r="T16" s="27">
        <f>IF(R16&gt;0,S16/R16,"n/a")</f>
        <v/>
      </c>
      <c r="U16" s="22">
        <f>SUMIFS(Actuals_Campaigns!$H$5:$H$204,Actuals_Campaigns!$B$5:$B$204,A16)</f>
        <v/>
      </c>
      <c r="V16" s="22">
        <f>SUMIFS(Actuals_Campaigns!$I$5:$I$204,Actuals_Campaigns!$B$5:$B$204,A16)</f>
        <v/>
      </c>
      <c r="W16" s="22">
        <f>SUMIFS(Actuals_Campaigns!$J$5:$J$204,Actuals_Campaigns!$B$5:$B$204,A16)</f>
        <v/>
      </c>
      <c r="X16" s="22">
        <f>SUMIFS(Actuals_Campaigns!$K$5:$K$204,Actuals_Campaigns!$B$5:$B$204,A16)</f>
        <v/>
      </c>
      <c r="Y16" s="22">
        <f>SUMIFS(Actuals_Campaigns!$L$5:$L$204,Actuals_Campaigns!$B$5:$B$204,A16)</f>
        <v/>
      </c>
      <c r="Z16" s="22">
        <f>SUMIFS(Actuals_Campaigns!$M$5:$M$204,Actuals_Campaigns!$B$5:$B$204,A16)</f>
        <v/>
      </c>
      <c r="AA16" s="22">
        <f>SUMIFS(Actuals_Campaigns!$N$5:$N$204,Actuals_Campaigns!$B$5:$B$204,A16)</f>
        <v/>
      </c>
      <c r="AB16" s="22">
        <f>SUMIFS(Actuals_Campaigns!$O$5:$O$204,Actuals_Campaigns!$B$5:$B$204,A16)</f>
        <v/>
      </c>
      <c r="AC16" s="22">
        <f>SUMIFS(Actuals_Campaigns!$P$5:$P$204,Actuals_Campaigns!$B$5:$B$204,A16)</f>
        <v/>
      </c>
      <c r="AD16" s="22">
        <f>SUMIFS(Actuals_Campaigns!$Q$5:$Q$204,Actuals_Campaigns!$B$5:$B$204,A16)</f>
        <v/>
      </c>
      <c r="AE16" s="28" t="inlineStr">
        <is>
          <t>not measured</t>
        </is>
      </c>
      <c r="AF16" s="18">
        <f>COUNTIF(Actuals_Campaigns!$B$5:$B$204,A16)</f>
        <v/>
      </c>
      <c r="AG16" s="24">
        <f>IF(V16&gt;0,X16/V16,"")</f>
        <v/>
      </c>
      <c r="AH16" s="18">
        <f>IF(AF16=0,"",COUNTIFS(Actuals_Campaigns!$B$5:$B$204,A16,Actuals_Campaigns!$AD$5:$AD$204,"&lt;"&amp;Inputs!$C$121))</f>
        <v/>
      </c>
      <c r="AI16" s="18">
        <f>IF(AF16=0,"",COUNTIFS(Actuals_Campaigns!$B$5:$B$204,A16,Actuals_Campaigns!$AF$5:$AF$204,"Y")+COUNTIFS(Actuals_Campaigns!$B$5:$B$204,A16,Actuals_Campaigns!$AF$5:$AF$204,"missing"))</f>
        <v/>
      </c>
      <c r="AJ16" s="18">
        <f>IF(AF16=0,"",COUNTIFS(Actuals_Campaigns!$B$5:$B$204,A16,Actuals_Campaigns!$V$5:$V$204,"yes"))</f>
        <v/>
      </c>
      <c r="AK16" s="18">
        <f>COUNTIFS(Actuals_Campaigns!$B$5:$B$204,A16,Actuals_Campaigns!$W$5:$W$204,"Y")</f>
        <v/>
      </c>
      <c r="AL16" s="18">
        <f>COUNTIFS(Actuals_Campaigns!$B$5:$B$204,A16,Actuals_Campaigns!$W$5:$W$204,"N")</f>
        <v/>
      </c>
    </row>
    <row r="17">
      <c r="A17">
        <f>Drop_PnL!A17</f>
        <v/>
      </c>
      <c r="B17" s="17">
        <f>Drop_PnL!B17</f>
        <v/>
      </c>
      <c r="C17">
        <f>Drop_PnL!AZ17</f>
        <v/>
      </c>
      <c r="D17" s="31">
        <f>SUMIFS(Actuals_Campaigns!$R$5:$R$204,Actuals_Campaigns!$B$5:$B$204,A17)</f>
        <v/>
      </c>
      <c r="E17" s="31">
        <f>SUMIFS(Actuals_Campaigns!$T$5:$T$204,Actuals_Campaigns!$B$5:$B$204,A17)</f>
        <v/>
      </c>
      <c r="F17" s="31">
        <f>SUMIFS(Actuals_DropCosts!$F$5:$F$104,Actuals_DropCosts!$A$5:$A$104,A17)</f>
        <v/>
      </c>
      <c r="G17" s="31">
        <f>SUMIFS(Actuals_DropCosts!$G$5:$G$104,Actuals_DropCosts!$A$5:$A$104,A17)</f>
        <v/>
      </c>
      <c r="H17" s="31">
        <f>SUMIFS(Actuals_DropCosts!$H$5:$H$104,Actuals_DropCosts!$A$5:$A$104,A17)</f>
        <v/>
      </c>
      <c r="I17" s="31">
        <f>Drop_PnL!AM17</f>
        <v/>
      </c>
      <c r="J17" s="33">
        <f>SUM(E17:I17)</f>
        <v/>
      </c>
      <c r="K17" s="32">
        <f>Hours_Log!I15</f>
        <v/>
      </c>
      <c r="L17" s="32">
        <f>Hours_Log!J15</f>
        <v/>
      </c>
      <c r="M17" s="32">
        <f>Hours_Log!K15</f>
        <v/>
      </c>
      <c r="N17" s="32">
        <f>Hours_Log!L15</f>
        <v/>
      </c>
      <c r="O17" s="32">
        <f>Hours_Log!M15</f>
        <v/>
      </c>
      <c r="P17" s="32">
        <f>Hours_Log!N15</f>
        <v/>
      </c>
      <c r="Q17" s="32">
        <f>Hours_Log!O15</f>
        <v/>
      </c>
      <c r="R17" s="34">
        <f>SUM(K17:Q17)</f>
        <v/>
      </c>
      <c r="S17" s="33">
        <f>D17-J17</f>
        <v/>
      </c>
      <c r="T17" s="27">
        <f>IF(R17&gt;0,S17/R17,"n/a")</f>
        <v/>
      </c>
      <c r="U17" s="22">
        <f>SUMIFS(Actuals_Campaigns!$H$5:$H$204,Actuals_Campaigns!$B$5:$B$204,A17)</f>
        <v/>
      </c>
      <c r="V17" s="22">
        <f>SUMIFS(Actuals_Campaigns!$I$5:$I$204,Actuals_Campaigns!$B$5:$B$204,A17)</f>
        <v/>
      </c>
      <c r="W17" s="22">
        <f>SUMIFS(Actuals_Campaigns!$J$5:$J$204,Actuals_Campaigns!$B$5:$B$204,A17)</f>
        <v/>
      </c>
      <c r="X17" s="22">
        <f>SUMIFS(Actuals_Campaigns!$K$5:$K$204,Actuals_Campaigns!$B$5:$B$204,A17)</f>
        <v/>
      </c>
      <c r="Y17" s="22">
        <f>SUMIFS(Actuals_Campaigns!$L$5:$L$204,Actuals_Campaigns!$B$5:$B$204,A17)</f>
        <v/>
      </c>
      <c r="Z17" s="22">
        <f>SUMIFS(Actuals_Campaigns!$M$5:$M$204,Actuals_Campaigns!$B$5:$B$204,A17)</f>
        <v/>
      </c>
      <c r="AA17" s="22">
        <f>SUMIFS(Actuals_Campaigns!$N$5:$N$204,Actuals_Campaigns!$B$5:$B$204,A17)</f>
        <v/>
      </c>
      <c r="AB17" s="22">
        <f>SUMIFS(Actuals_Campaigns!$O$5:$O$204,Actuals_Campaigns!$B$5:$B$204,A17)</f>
        <v/>
      </c>
      <c r="AC17" s="22">
        <f>SUMIFS(Actuals_Campaigns!$P$5:$P$204,Actuals_Campaigns!$B$5:$B$204,A17)</f>
        <v/>
      </c>
      <c r="AD17" s="22">
        <f>SUMIFS(Actuals_Campaigns!$Q$5:$Q$204,Actuals_Campaigns!$B$5:$B$204,A17)</f>
        <v/>
      </c>
      <c r="AE17" s="28" t="inlineStr">
        <is>
          <t>not measured</t>
        </is>
      </c>
      <c r="AF17" s="18">
        <f>COUNTIF(Actuals_Campaigns!$B$5:$B$204,A17)</f>
        <v/>
      </c>
      <c r="AG17" s="24">
        <f>IF(V17&gt;0,X17/V17,"")</f>
        <v/>
      </c>
      <c r="AH17" s="18">
        <f>IF(AF17=0,"",COUNTIFS(Actuals_Campaigns!$B$5:$B$204,A17,Actuals_Campaigns!$AD$5:$AD$204,"&lt;"&amp;Inputs!$C$121))</f>
        <v/>
      </c>
      <c r="AI17" s="18">
        <f>IF(AF17=0,"",COUNTIFS(Actuals_Campaigns!$B$5:$B$204,A17,Actuals_Campaigns!$AF$5:$AF$204,"Y")+COUNTIFS(Actuals_Campaigns!$B$5:$B$204,A17,Actuals_Campaigns!$AF$5:$AF$204,"missing"))</f>
        <v/>
      </c>
      <c r="AJ17" s="18">
        <f>IF(AF17=0,"",COUNTIFS(Actuals_Campaigns!$B$5:$B$204,A17,Actuals_Campaigns!$V$5:$V$204,"yes"))</f>
        <v/>
      </c>
      <c r="AK17" s="18">
        <f>COUNTIFS(Actuals_Campaigns!$B$5:$B$204,A17,Actuals_Campaigns!$W$5:$W$204,"Y")</f>
        <v/>
      </c>
      <c r="AL17" s="18">
        <f>COUNTIFS(Actuals_Campaigns!$B$5:$B$204,A17,Actuals_Campaigns!$W$5:$W$204,"N")</f>
        <v/>
      </c>
    </row>
    <row r="18">
      <c r="A18">
        <f>Drop_PnL!A18</f>
        <v/>
      </c>
      <c r="B18" s="17">
        <f>Drop_PnL!B18</f>
        <v/>
      </c>
      <c r="C18">
        <f>Drop_PnL!AZ18</f>
        <v/>
      </c>
      <c r="D18" s="31">
        <f>SUMIFS(Actuals_Campaigns!$R$5:$R$204,Actuals_Campaigns!$B$5:$B$204,A18)</f>
        <v/>
      </c>
      <c r="E18" s="31">
        <f>SUMIFS(Actuals_Campaigns!$T$5:$T$204,Actuals_Campaigns!$B$5:$B$204,A18)</f>
        <v/>
      </c>
      <c r="F18" s="31">
        <f>SUMIFS(Actuals_DropCosts!$F$5:$F$104,Actuals_DropCosts!$A$5:$A$104,A18)</f>
        <v/>
      </c>
      <c r="G18" s="31">
        <f>SUMIFS(Actuals_DropCosts!$G$5:$G$104,Actuals_DropCosts!$A$5:$A$104,A18)</f>
        <v/>
      </c>
      <c r="H18" s="31">
        <f>SUMIFS(Actuals_DropCosts!$H$5:$H$104,Actuals_DropCosts!$A$5:$A$104,A18)</f>
        <v/>
      </c>
      <c r="I18" s="31">
        <f>Drop_PnL!AM18</f>
        <v/>
      </c>
      <c r="J18" s="33">
        <f>SUM(E18:I18)</f>
        <v/>
      </c>
      <c r="K18" s="32">
        <f>Hours_Log!I16</f>
        <v/>
      </c>
      <c r="L18" s="32">
        <f>Hours_Log!J16</f>
        <v/>
      </c>
      <c r="M18" s="32">
        <f>Hours_Log!K16</f>
        <v/>
      </c>
      <c r="N18" s="32">
        <f>Hours_Log!L16</f>
        <v/>
      </c>
      <c r="O18" s="32">
        <f>Hours_Log!M16</f>
        <v/>
      </c>
      <c r="P18" s="32">
        <f>Hours_Log!N16</f>
        <v/>
      </c>
      <c r="Q18" s="32">
        <f>Hours_Log!O16</f>
        <v/>
      </c>
      <c r="R18" s="34">
        <f>SUM(K18:Q18)</f>
        <v/>
      </c>
      <c r="S18" s="33">
        <f>D18-J18</f>
        <v/>
      </c>
      <c r="T18" s="27">
        <f>IF(R18&gt;0,S18/R18,"n/a")</f>
        <v/>
      </c>
      <c r="U18" s="22">
        <f>SUMIFS(Actuals_Campaigns!$H$5:$H$204,Actuals_Campaigns!$B$5:$B$204,A18)</f>
        <v/>
      </c>
      <c r="V18" s="22">
        <f>SUMIFS(Actuals_Campaigns!$I$5:$I$204,Actuals_Campaigns!$B$5:$B$204,A18)</f>
        <v/>
      </c>
      <c r="W18" s="22">
        <f>SUMIFS(Actuals_Campaigns!$J$5:$J$204,Actuals_Campaigns!$B$5:$B$204,A18)</f>
        <v/>
      </c>
      <c r="X18" s="22">
        <f>SUMIFS(Actuals_Campaigns!$K$5:$K$204,Actuals_Campaigns!$B$5:$B$204,A18)</f>
        <v/>
      </c>
      <c r="Y18" s="22">
        <f>SUMIFS(Actuals_Campaigns!$L$5:$L$204,Actuals_Campaigns!$B$5:$B$204,A18)</f>
        <v/>
      </c>
      <c r="Z18" s="22">
        <f>SUMIFS(Actuals_Campaigns!$M$5:$M$204,Actuals_Campaigns!$B$5:$B$204,A18)</f>
        <v/>
      </c>
      <c r="AA18" s="22">
        <f>SUMIFS(Actuals_Campaigns!$N$5:$N$204,Actuals_Campaigns!$B$5:$B$204,A18)</f>
        <v/>
      </c>
      <c r="AB18" s="22">
        <f>SUMIFS(Actuals_Campaigns!$O$5:$O$204,Actuals_Campaigns!$B$5:$B$204,A18)</f>
        <v/>
      </c>
      <c r="AC18" s="22">
        <f>SUMIFS(Actuals_Campaigns!$P$5:$P$204,Actuals_Campaigns!$B$5:$B$204,A18)</f>
        <v/>
      </c>
      <c r="AD18" s="22">
        <f>SUMIFS(Actuals_Campaigns!$Q$5:$Q$204,Actuals_Campaigns!$B$5:$B$204,A18)</f>
        <v/>
      </c>
      <c r="AE18" s="28" t="inlineStr">
        <is>
          <t>not measured</t>
        </is>
      </c>
      <c r="AF18" s="18">
        <f>COUNTIF(Actuals_Campaigns!$B$5:$B$204,A18)</f>
        <v/>
      </c>
      <c r="AG18" s="24">
        <f>IF(V18&gt;0,X18/V18,"")</f>
        <v/>
      </c>
      <c r="AH18" s="18">
        <f>IF(AF18=0,"",COUNTIFS(Actuals_Campaigns!$B$5:$B$204,A18,Actuals_Campaigns!$AD$5:$AD$204,"&lt;"&amp;Inputs!$C$121))</f>
        <v/>
      </c>
      <c r="AI18" s="18">
        <f>IF(AF18=0,"",COUNTIFS(Actuals_Campaigns!$B$5:$B$204,A18,Actuals_Campaigns!$AF$5:$AF$204,"Y")+COUNTIFS(Actuals_Campaigns!$B$5:$B$204,A18,Actuals_Campaigns!$AF$5:$AF$204,"missing"))</f>
        <v/>
      </c>
      <c r="AJ18" s="18">
        <f>IF(AF18=0,"",COUNTIFS(Actuals_Campaigns!$B$5:$B$204,A18,Actuals_Campaigns!$V$5:$V$204,"yes"))</f>
        <v/>
      </c>
      <c r="AK18" s="18">
        <f>COUNTIFS(Actuals_Campaigns!$B$5:$B$204,A18,Actuals_Campaigns!$W$5:$W$204,"Y")</f>
        <v/>
      </c>
      <c r="AL18" s="18">
        <f>COUNTIFS(Actuals_Campaigns!$B$5:$B$204,A18,Actuals_Campaigns!$W$5:$W$204,"N")</f>
        <v/>
      </c>
    </row>
  </sheetData>
  <mergeCells count="1">
    <mergeCell ref="A3:T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55"/>
  <sheetViews>
    <sheetView zoomScale="90" workbookViewId="0">
      <pane ySplit="4" topLeftCell="A5" activePane="bottomLeft" state="frozen"/>
      <selection pane="bottomLeft" activeCell="A1" sqref="A1"/>
    </sheetView>
  </sheetViews>
  <sheetFormatPr baseColWidth="8" defaultRowHeight="15"/>
  <cols>
    <col width="12" customWidth="1" min="1" max="1"/>
    <col width="16" customWidth="1" min="2" max="2"/>
    <col width="12" customWidth="1" min="3" max="3"/>
    <col width="14" customWidth="1" min="4" max="4"/>
    <col width="60" customWidth="1" min="5" max="5"/>
  </cols>
  <sheetData>
    <row r="1">
      <c r="A1" s="1" t="inlineStr">
        <is>
          <t>Overhead payment schedule</t>
        </is>
      </c>
    </row>
    <row r="2">
      <c r="A2" s="2" t="inlineStr">
        <is>
          <t>Monthly costs as they are paid. Cash_Flow reads only these rows for overhead; per-drop allocations never reach the cash flow, so nothing is counted twice.</t>
        </is>
      </c>
    </row>
    <row r="4" ht="30" customHeight="1">
      <c r="A4" s="10" t="inlineStr">
        <is>
          <t>line</t>
        </is>
      </c>
      <c r="B4" s="10" t="inlineStr">
        <is>
          <t>payment number</t>
        </is>
      </c>
      <c r="C4" s="10" t="inlineStr">
        <is>
          <t>date</t>
        </is>
      </c>
      <c r="D4" s="10" t="inlineStr">
        <is>
          <t>amount (USD)</t>
        </is>
      </c>
      <c r="E4" s="10" t="inlineStr">
        <is>
          <t>rule</t>
        </is>
      </c>
    </row>
    <row r="5">
      <c r="A5" t="inlineStr">
        <is>
          <t>software</t>
        </is>
      </c>
      <c r="B5" t="n">
        <v>1</v>
      </c>
      <c r="C5" s="17">
        <f>EDATE(Inputs!$C$70,B5-1)</f>
        <v/>
      </c>
      <c r="D5" s="31">
        <f>IF(AND(C5&gt;=Inputs!$C$10,C5&lt;=Cash_Flow!$AB$6),Inputs!$C$69,0)</f>
        <v/>
      </c>
      <c r="E5" s="28" t="inlineStr">
        <is>
          <t>monthly from 'Software paid from'</t>
        </is>
      </c>
    </row>
    <row r="6">
      <c r="A6" t="inlineStr">
        <is>
          <t>software</t>
        </is>
      </c>
      <c r="B6" t="n">
        <v>2</v>
      </c>
      <c r="C6" s="17">
        <f>EDATE(Inputs!$C$70,B6-1)</f>
        <v/>
      </c>
      <c r="D6" s="31">
        <f>IF(AND(C6&gt;=Inputs!$C$10,C6&lt;=Cash_Flow!$AB$6),Inputs!$C$69,0)</f>
        <v/>
      </c>
      <c r="E6" s="28" t="inlineStr">
        <is>
          <t>monthly from 'Software paid from'</t>
        </is>
      </c>
    </row>
    <row r="7">
      <c r="A7" t="inlineStr">
        <is>
          <t>software</t>
        </is>
      </c>
      <c r="B7" t="n">
        <v>3</v>
      </c>
      <c r="C7" s="17">
        <f>EDATE(Inputs!$C$70,B7-1)</f>
        <v/>
      </c>
      <c r="D7" s="31">
        <f>IF(AND(C7&gt;=Inputs!$C$10,C7&lt;=Cash_Flow!$AB$6),Inputs!$C$69,0)</f>
        <v/>
      </c>
      <c r="E7" s="28" t="inlineStr">
        <is>
          <t>monthly from 'Software paid from'</t>
        </is>
      </c>
    </row>
    <row r="8">
      <c r="A8" t="inlineStr">
        <is>
          <t>software</t>
        </is>
      </c>
      <c r="B8" t="n">
        <v>4</v>
      </c>
      <c r="C8" s="17">
        <f>EDATE(Inputs!$C$70,B8-1)</f>
        <v/>
      </c>
      <c r="D8" s="31">
        <f>IF(AND(C8&gt;=Inputs!$C$10,C8&lt;=Cash_Flow!$AB$6),Inputs!$C$69,0)</f>
        <v/>
      </c>
      <c r="E8" s="28" t="inlineStr">
        <is>
          <t>monthly from 'Software paid from'</t>
        </is>
      </c>
    </row>
    <row r="9">
      <c r="A9" t="inlineStr">
        <is>
          <t>software</t>
        </is>
      </c>
      <c r="B9" t="n">
        <v>5</v>
      </c>
      <c r="C9" s="17">
        <f>EDATE(Inputs!$C$70,B9-1)</f>
        <v/>
      </c>
      <c r="D9" s="31">
        <f>IF(AND(C9&gt;=Inputs!$C$10,C9&lt;=Cash_Flow!$AB$6),Inputs!$C$69,0)</f>
        <v/>
      </c>
      <c r="E9" s="28" t="inlineStr">
        <is>
          <t>monthly from 'Software paid from'</t>
        </is>
      </c>
    </row>
    <row r="10">
      <c r="A10" t="inlineStr">
        <is>
          <t>software</t>
        </is>
      </c>
      <c r="B10" t="n">
        <v>6</v>
      </c>
      <c r="C10" s="17">
        <f>EDATE(Inputs!$C$70,B10-1)</f>
        <v/>
      </c>
      <c r="D10" s="31">
        <f>IF(AND(C10&gt;=Inputs!$C$10,C10&lt;=Cash_Flow!$AB$6),Inputs!$C$69,0)</f>
        <v/>
      </c>
      <c r="E10" s="28" t="inlineStr">
        <is>
          <t>monthly from 'Software paid from'</t>
        </is>
      </c>
    </row>
    <row r="11">
      <c r="A11" t="inlineStr">
        <is>
          <t>software</t>
        </is>
      </c>
      <c r="B11" t="n">
        <v>7</v>
      </c>
      <c r="C11" s="17">
        <f>EDATE(Inputs!$C$70,B11-1)</f>
        <v/>
      </c>
      <c r="D11" s="31">
        <f>IF(AND(C11&gt;=Inputs!$C$10,C11&lt;=Cash_Flow!$AB$6),Inputs!$C$69,0)</f>
        <v/>
      </c>
      <c r="E11" s="28" t="inlineStr">
        <is>
          <t>monthly from 'Software paid from'</t>
        </is>
      </c>
    </row>
    <row r="12">
      <c r="A12" t="inlineStr">
        <is>
          <t>software</t>
        </is>
      </c>
      <c r="B12" t="n">
        <v>8</v>
      </c>
      <c r="C12" s="17">
        <f>EDATE(Inputs!$C$70,B12-1)</f>
        <v/>
      </c>
      <c r="D12" s="31">
        <f>IF(AND(C12&gt;=Inputs!$C$10,C12&lt;=Cash_Flow!$AB$6),Inputs!$C$69,0)</f>
        <v/>
      </c>
      <c r="E12" s="28" t="inlineStr">
        <is>
          <t>monthly from 'Software paid from'</t>
        </is>
      </c>
    </row>
    <row r="13">
      <c r="A13" t="inlineStr">
        <is>
          <t>software</t>
        </is>
      </c>
      <c r="B13" t="n">
        <v>9</v>
      </c>
      <c r="C13" s="17">
        <f>EDATE(Inputs!$C$70,B13-1)</f>
        <v/>
      </c>
      <c r="D13" s="31">
        <f>IF(AND(C13&gt;=Inputs!$C$10,C13&lt;=Cash_Flow!$AB$6),Inputs!$C$69,0)</f>
        <v/>
      </c>
      <c r="E13" s="28" t="inlineStr">
        <is>
          <t>monthly from 'Software paid from'</t>
        </is>
      </c>
    </row>
    <row r="14">
      <c r="A14" t="inlineStr">
        <is>
          <t>software</t>
        </is>
      </c>
      <c r="B14" t="n">
        <v>10</v>
      </c>
      <c r="C14" s="17">
        <f>EDATE(Inputs!$C$70,B14-1)</f>
        <v/>
      </c>
      <c r="D14" s="31">
        <f>IF(AND(C14&gt;=Inputs!$C$10,C14&lt;=Cash_Flow!$AB$6),Inputs!$C$69,0)</f>
        <v/>
      </c>
      <c r="E14" s="28" t="inlineStr">
        <is>
          <t>monthly from 'Software paid from'</t>
        </is>
      </c>
    </row>
    <row r="15">
      <c r="A15" t="inlineStr">
        <is>
          <t>software</t>
        </is>
      </c>
      <c r="B15" t="n">
        <v>11</v>
      </c>
      <c r="C15" s="17">
        <f>EDATE(Inputs!$C$70,B15-1)</f>
        <v/>
      </c>
      <c r="D15" s="31">
        <f>IF(AND(C15&gt;=Inputs!$C$10,C15&lt;=Cash_Flow!$AB$6),Inputs!$C$69,0)</f>
        <v/>
      </c>
      <c r="E15" s="28" t="inlineStr">
        <is>
          <t>monthly from 'Software paid from'</t>
        </is>
      </c>
    </row>
    <row r="16">
      <c r="A16" t="inlineStr">
        <is>
          <t>software</t>
        </is>
      </c>
      <c r="B16" t="n">
        <v>12</v>
      </c>
      <c r="C16" s="17">
        <f>EDATE(Inputs!$C$70,B16-1)</f>
        <v/>
      </c>
      <c r="D16" s="31">
        <f>IF(AND(C16&gt;=Inputs!$C$10,C16&lt;=Cash_Flow!$AB$6),Inputs!$C$69,0)</f>
        <v/>
      </c>
      <c r="E16" s="28" t="inlineStr">
        <is>
          <t>monthly from 'Software paid from'</t>
        </is>
      </c>
    </row>
    <row r="17">
      <c r="A17" t="inlineStr">
        <is>
          <t>storage</t>
        </is>
      </c>
      <c r="B17" t="n">
        <v>1</v>
      </c>
      <c r="C17" s="17">
        <f>IF(Inputs!$C$67="","",EDATE(Inputs!$C$67,B17-1))</f>
        <v/>
      </c>
      <c r="D17" s="31">
        <f>IF(C17="",0,IF(AND(Inputs!$C$65="unit",C17&lt;=Cash_Flow!$AB$6,OR(Inputs!$C$68="",C17&lt;=Inputs!$C$68)),Inputs!$C$66,0))</f>
        <v/>
      </c>
      <c r="E17" s="28" t="inlineStr">
        <is>
          <t>monthly while Storage = unit, from the rental date to the release date</t>
        </is>
      </c>
    </row>
    <row r="18">
      <c r="A18" t="inlineStr">
        <is>
          <t>storage</t>
        </is>
      </c>
      <c r="B18" t="n">
        <v>2</v>
      </c>
      <c r="C18" s="17">
        <f>IF(Inputs!$C$67="","",EDATE(Inputs!$C$67,B18-1))</f>
        <v/>
      </c>
      <c r="D18" s="31">
        <f>IF(C18="",0,IF(AND(Inputs!$C$65="unit",C18&lt;=Cash_Flow!$AB$6,OR(Inputs!$C$68="",C18&lt;=Inputs!$C$68)),Inputs!$C$66,0))</f>
        <v/>
      </c>
      <c r="E18" s="28" t="inlineStr">
        <is>
          <t>monthly while Storage = unit, from the rental date to the release date</t>
        </is>
      </c>
    </row>
    <row r="19">
      <c r="A19" t="inlineStr">
        <is>
          <t>storage</t>
        </is>
      </c>
      <c r="B19" t="n">
        <v>3</v>
      </c>
      <c r="C19" s="17">
        <f>IF(Inputs!$C$67="","",EDATE(Inputs!$C$67,B19-1))</f>
        <v/>
      </c>
      <c r="D19" s="31">
        <f>IF(C19="",0,IF(AND(Inputs!$C$65="unit",C19&lt;=Cash_Flow!$AB$6,OR(Inputs!$C$68="",C19&lt;=Inputs!$C$68)),Inputs!$C$66,0))</f>
        <v/>
      </c>
      <c r="E19" s="28" t="inlineStr">
        <is>
          <t>monthly while Storage = unit, from the rental date to the release date</t>
        </is>
      </c>
    </row>
    <row r="20">
      <c r="A20" t="inlineStr">
        <is>
          <t>storage</t>
        </is>
      </c>
      <c r="B20" t="n">
        <v>4</v>
      </c>
      <c r="C20" s="17">
        <f>IF(Inputs!$C$67="","",EDATE(Inputs!$C$67,B20-1))</f>
        <v/>
      </c>
      <c r="D20" s="31">
        <f>IF(C20="",0,IF(AND(Inputs!$C$65="unit",C20&lt;=Cash_Flow!$AB$6,OR(Inputs!$C$68="",C20&lt;=Inputs!$C$68)),Inputs!$C$66,0))</f>
        <v/>
      </c>
      <c r="E20" s="28" t="inlineStr">
        <is>
          <t>monthly while Storage = unit, from the rental date to the release date</t>
        </is>
      </c>
    </row>
    <row r="21">
      <c r="A21" t="inlineStr">
        <is>
          <t>storage</t>
        </is>
      </c>
      <c r="B21" t="n">
        <v>5</v>
      </c>
      <c r="C21" s="17">
        <f>IF(Inputs!$C$67="","",EDATE(Inputs!$C$67,B21-1))</f>
        <v/>
      </c>
      <c r="D21" s="31">
        <f>IF(C21="",0,IF(AND(Inputs!$C$65="unit",C21&lt;=Cash_Flow!$AB$6,OR(Inputs!$C$68="",C21&lt;=Inputs!$C$68)),Inputs!$C$66,0))</f>
        <v/>
      </c>
      <c r="E21" s="28" t="inlineStr">
        <is>
          <t>monthly while Storage = unit, from the rental date to the release date</t>
        </is>
      </c>
    </row>
    <row r="22">
      <c r="A22" t="inlineStr">
        <is>
          <t>storage</t>
        </is>
      </c>
      <c r="B22" t="n">
        <v>6</v>
      </c>
      <c r="C22" s="17">
        <f>IF(Inputs!$C$67="","",EDATE(Inputs!$C$67,B22-1))</f>
        <v/>
      </c>
      <c r="D22" s="31">
        <f>IF(C22="",0,IF(AND(Inputs!$C$65="unit",C22&lt;=Cash_Flow!$AB$6,OR(Inputs!$C$68="",C22&lt;=Inputs!$C$68)),Inputs!$C$66,0))</f>
        <v/>
      </c>
      <c r="E22" s="28" t="inlineStr">
        <is>
          <t>monthly while Storage = unit, from the rental date to the release date</t>
        </is>
      </c>
    </row>
    <row r="23">
      <c r="A23" t="inlineStr">
        <is>
          <t>storage</t>
        </is>
      </c>
      <c r="B23" t="n">
        <v>7</v>
      </c>
      <c r="C23" s="17">
        <f>IF(Inputs!$C$67="","",EDATE(Inputs!$C$67,B23-1))</f>
        <v/>
      </c>
      <c r="D23" s="31">
        <f>IF(C23="",0,IF(AND(Inputs!$C$65="unit",C23&lt;=Cash_Flow!$AB$6,OR(Inputs!$C$68="",C23&lt;=Inputs!$C$68)),Inputs!$C$66,0))</f>
        <v/>
      </c>
      <c r="E23" s="28" t="inlineStr">
        <is>
          <t>monthly while Storage = unit, from the rental date to the release date</t>
        </is>
      </c>
    </row>
    <row r="24">
      <c r="A24" t="inlineStr">
        <is>
          <t>storage</t>
        </is>
      </c>
      <c r="B24" t="n">
        <v>8</v>
      </c>
      <c r="C24" s="17">
        <f>IF(Inputs!$C$67="","",EDATE(Inputs!$C$67,B24-1))</f>
        <v/>
      </c>
      <c r="D24" s="31">
        <f>IF(C24="",0,IF(AND(Inputs!$C$65="unit",C24&lt;=Cash_Flow!$AB$6,OR(Inputs!$C$68="",C24&lt;=Inputs!$C$68)),Inputs!$C$66,0))</f>
        <v/>
      </c>
      <c r="E24" s="28" t="inlineStr">
        <is>
          <t>monthly while Storage = unit, from the rental date to the release date</t>
        </is>
      </c>
    </row>
    <row r="25">
      <c r="A25" t="inlineStr">
        <is>
          <t>storage</t>
        </is>
      </c>
      <c r="B25" t="n">
        <v>9</v>
      </c>
      <c r="C25" s="17">
        <f>IF(Inputs!$C$67="","",EDATE(Inputs!$C$67,B25-1))</f>
        <v/>
      </c>
      <c r="D25" s="31">
        <f>IF(C25="",0,IF(AND(Inputs!$C$65="unit",C25&lt;=Cash_Flow!$AB$6,OR(Inputs!$C$68="",C25&lt;=Inputs!$C$68)),Inputs!$C$66,0))</f>
        <v/>
      </c>
      <c r="E25" s="28" t="inlineStr">
        <is>
          <t>monthly while Storage = unit, from the rental date to the release date</t>
        </is>
      </c>
    </row>
    <row r="26">
      <c r="A26" t="inlineStr">
        <is>
          <t>storage</t>
        </is>
      </c>
      <c r="B26" t="n">
        <v>10</v>
      </c>
      <c r="C26" s="17">
        <f>IF(Inputs!$C$67="","",EDATE(Inputs!$C$67,B26-1))</f>
        <v/>
      </c>
      <c r="D26" s="31">
        <f>IF(C26="",0,IF(AND(Inputs!$C$65="unit",C26&lt;=Cash_Flow!$AB$6,OR(Inputs!$C$68="",C26&lt;=Inputs!$C$68)),Inputs!$C$66,0))</f>
        <v/>
      </c>
      <c r="E26" s="28" t="inlineStr">
        <is>
          <t>monthly while Storage = unit, from the rental date to the release date</t>
        </is>
      </c>
    </row>
    <row r="27">
      <c r="A27" t="inlineStr">
        <is>
          <t>storage</t>
        </is>
      </c>
      <c r="B27" t="n">
        <v>11</v>
      </c>
      <c r="C27" s="17">
        <f>IF(Inputs!$C$67="","",EDATE(Inputs!$C$67,B27-1))</f>
        <v/>
      </c>
      <c r="D27" s="31">
        <f>IF(C27="",0,IF(AND(Inputs!$C$65="unit",C27&lt;=Cash_Flow!$AB$6,OR(Inputs!$C$68="",C27&lt;=Inputs!$C$68)),Inputs!$C$66,0))</f>
        <v/>
      </c>
      <c r="E27" s="28" t="inlineStr">
        <is>
          <t>monthly while Storage = unit, from the rental date to the release date</t>
        </is>
      </c>
    </row>
    <row r="28">
      <c r="A28" t="inlineStr">
        <is>
          <t>storage</t>
        </is>
      </c>
      <c r="B28" t="n">
        <v>12</v>
      </c>
      <c r="C28" s="17">
        <f>IF(Inputs!$C$67="","",EDATE(Inputs!$C$67,B28-1))</f>
        <v/>
      </c>
      <c r="D28" s="31">
        <f>IF(C28="",0,IF(AND(Inputs!$C$65="unit",C28&lt;=Cash_Flow!$AB$6,OR(Inputs!$C$68="",C28&lt;=Inputs!$C$68)),Inputs!$C$66,0))</f>
        <v/>
      </c>
      <c r="E28" s="28" t="inlineStr">
        <is>
          <t>monthly while Storage = unit, from the rental date to the release date</t>
        </is>
      </c>
    </row>
    <row r="29">
      <c r="A29" t="inlineStr">
        <is>
          <t>insurance</t>
        </is>
      </c>
      <c r="B29" t="n">
        <v>1</v>
      </c>
      <c r="C29" s="17">
        <f>EDATE(Inputs!$C$73,B29-1)</f>
        <v/>
      </c>
      <c r="D29" s="31">
        <f>IF(AND(Inputs!$C$72="monthly",C29&lt;=Cash_Flow!$AB$6),Inputs!$C$71,0)</f>
        <v/>
      </c>
      <c r="E29" s="28" t="inlineStr">
        <is>
          <t>monthly when billing = monthly</t>
        </is>
      </c>
    </row>
    <row r="30">
      <c r="A30" t="inlineStr">
        <is>
          <t>insurance</t>
        </is>
      </c>
      <c r="B30" t="n">
        <v>2</v>
      </c>
      <c r="C30" s="17">
        <f>EDATE(Inputs!$C$73,B30-1)</f>
        <v/>
      </c>
      <c r="D30" s="31">
        <f>IF(AND(Inputs!$C$72="monthly",C30&lt;=Cash_Flow!$AB$6),Inputs!$C$71,0)</f>
        <v/>
      </c>
      <c r="E30" s="28" t="inlineStr">
        <is>
          <t>monthly when billing = monthly</t>
        </is>
      </c>
    </row>
    <row r="31">
      <c r="A31" t="inlineStr">
        <is>
          <t>insurance</t>
        </is>
      </c>
      <c r="B31" t="n">
        <v>3</v>
      </c>
      <c r="C31" s="17">
        <f>EDATE(Inputs!$C$73,B31-1)</f>
        <v/>
      </c>
      <c r="D31" s="31">
        <f>IF(AND(Inputs!$C$72="monthly",C31&lt;=Cash_Flow!$AB$6),Inputs!$C$71,0)</f>
        <v/>
      </c>
      <c r="E31" s="28" t="inlineStr">
        <is>
          <t>monthly when billing = monthly</t>
        </is>
      </c>
    </row>
    <row r="32">
      <c r="A32" t="inlineStr">
        <is>
          <t>insurance</t>
        </is>
      </c>
      <c r="B32" t="n">
        <v>4</v>
      </c>
      <c r="C32" s="17">
        <f>EDATE(Inputs!$C$73,B32-1)</f>
        <v/>
      </c>
      <c r="D32" s="31">
        <f>IF(AND(Inputs!$C$72="monthly",C32&lt;=Cash_Flow!$AB$6),Inputs!$C$71,0)</f>
        <v/>
      </c>
      <c r="E32" s="28" t="inlineStr">
        <is>
          <t>monthly when billing = monthly</t>
        </is>
      </c>
    </row>
    <row r="33">
      <c r="A33" t="inlineStr">
        <is>
          <t>insurance</t>
        </is>
      </c>
      <c r="B33" t="n">
        <v>5</v>
      </c>
      <c r="C33" s="17">
        <f>EDATE(Inputs!$C$73,B33-1)</f>
        <v/>
      </c>
      <c r="D33" s="31">
        <f>IF(AND(Inputs!$C$72="monthly",C33&lt;=Cash_Flow!$AB$6),Inputs!$C$71,0)</f>
        <v/>
      </c>
      <c r="E33" s="28" t="inlineStr">
        <is>
          <t>monthly when billing = monthly</t>
        </is>
      </c>
    </row>
    <row r="34">
      <c r="A34" t="inlineStr">
        <is>
          <t>insurance</t>
        </is>
      </c>
      <c r="B34" t="n">
        <v>6</v>
      </c>
      <c r="C34" s="17">
        <f>EDATE(Inputs!$C$73,B34-1)</f>
        <v/>
      </c>
      <c r="D34" s="31">
        <f>IF(AND(Inputs!$C$72="monthly",C34&lt;=Cash_Flow!$AB$6),Inputs!$C$71,0)</f>
        <v/>
      </c>
      <c r="E34" s="28" t="inlineStr">
        <is>
          <t>monthly when billing = monthly</t>
        </is>
      </c>
    </row>
    <row r="35">
      <c r="A35" t="inlineStr">
        <is>
          <t>insurance</t>
        </is>
      </c>
      <c r="B35" t="n">
        <v>7</v>
      </c>
      <c r="C35" s="17">
        <f>EDATE(Inputs!$C$73,B35-1)</f>
        <v/>
      </c>
      <c r="D35" s="31">
        <f>IF(AND(Inputs!$C$72="monthly",C35&lt;=Cash_Flow!$AB$6),Inputs!$C$71,0)</f>
        <v/>
      </c>
      <c r="E35" s="28" t="inlineStr">
        <is>
          <t>monthly when billing = monthly</t>
        </is>
      </c>
    </row>
    <row r="36">
      <c r="A36" t="inlineStr">
        <is>
          <t>insurance</t>
        </is>
      </c>
      <c r="B36" t="n">
        <v>8</v>
      </c>
      <c r="C36" s="17">
        <f>EDATE(Inputs!$C$73,B36-1)</f>
        <v/>
      </c>
      <c r="D36" s="31">
        <f>IF(AND(Inputs!$C$72="monthly",C36&lt;=Cash_Flow!$AB$6),Inputs!$C$71,0)</f>
        <v/>
      </c>
      <c r="E36" s="28" t="inlineStr">
        <is>
          <t>monthly when billing = monthly</t>
        </is>
      </c>
    </row>
    <row r="37">
      <c r="A37" t="inlineStr">
        <is>
          <t>insurance</t>
        </is>
      </c>
      <c r="B37" t="n">
        <v>9</v>
      </c>
      <c r="C37" s="17">
        <f>EDATE(Inputs!$C$73,B37-1)</f>
        <v/>
      </c>
      <c r="D37" s="31">
        <f>IF(AND(Inputs!$C$72="monthly",C37&lt;=Cash_Flow!$AB$6),Inputs!$C$71,0)</f>
        <v/>
      </c>
      <c r="E37" s="28" t="inlineStr">
        <is>
          <t>monthly when billing = monthly</t>
        </is>
      </c>
    </row>
    <row r="38">
      <c r="A38" t="inlineStr">
        <is>
          <t>insurance</t>
        </is>
      </c>
      <c r="B38" t="n">
        <v>10</v>
      </c>
      <c r="C38" s="17">
        <f>EDATE(Inputs!$C$73,B38-1)</f>
        <v/>
      </c>
      <c r="D38" s="31">
        <f>IF(AND(Inputs!$C$72="monthly",C38&lt;=Cash_Flow!$AB$6),Inputs!$C$71,0)</f>
        <v/>
      </c>
      <c r="E38" s="28" t="inlineStr">
        <is>
          <t>monthly when billing = monthly</t>
        </is>
      </c>
    </row>
    <row r="39">
      <c r="A39" t="inlineStr">
        <is>
          <t>insurance</t>
        </is>
      </c>
      <c r="B39" t="n">
        <v>11</v>
      </c>
      <c r="C39" s="17">
        <f>EDATE(Inputs!$C$73,B39-1)</f>
        <v/>
      </c>
      <c r="D39" s="31">
        <f>IF(AND(Inputs!$C$72="monthly",C39&lt;=Cash_Flow!$AB$6),Inputs!$C$71,0)</f>
        <v/>
      </c>
      <c r="E39" s="28" t="inlineStr">
        <is>
          <t>monthly when billing = monthly</t>
        </is>
      </c>
    </row>
    <row r="40">
      <c r="A40" t="inlineStr">
        <is>
          <t>insurance</t>
        </is>
      </c>
      <c r="B40" t="n">
        <v>12</v>
      </c>
      <c r="C40" s="17">
        <f>EDATE(Inputs!$C$73,B40-1)</f>
        <v/>
      </c>
      <c r="D40" s="31">
        <f>IF(AND(Inputs!$C$72="monthly",C40&lt;=Cash_Flow!$AB$6),Inputs!$C$71,0)</f>
        <v/>
      </c>
      <c r="E40" s="28" t="inlineStr">
        <is>
          <t>monthly when billing = monthly</t>
        </is>
      </c>
    </row>
    <row r="41">
      <c r="A41" t="inlineStr">
        <is>
          <t>insurance</t>
        </is>
      </c>
      <c r="B41" t="inlineStr">
        <is>
          <t>annual</t>
        </is>
      </c>
      <c r="C41" s="17">
        <f>Inputs!$C$73</f>
        <v/>
      </c>
      <c r="D41" s="31">
        <f>IF(AND(Inputs!$C$72="annual",C41&lt;=Cash_Flow!$AB$6),Inputs!$C$71*Inputs!$C$20,0)</f>
        <v/>
      </c>
      <c r="E41" s="28" t="inlineStr">
        <is>
          <t>one year's premium at bind when billing = annual</t>
        </is>
      </c>
    </row>
    <row r="42">
      <c r="A42" t="inlineStr">
        <is>
          <t>phone</t>
        </is>
      </c>
      <c r="B42" t="n">
        <v>1</v>
      </c>
      <c r="C42" s="17">
        <f>EDATE(Inputs!$C$10,B42-1)</f>
        <v/>
      </c>
      <c r="D42" s="31">
        <f>IF(C42&lt;=Cash_Flow!$AB$6,Inputs!$C$74,0)</f>
        <v/>
      </c>
      <c r="E42" s="28" t="inlineStr">
        <is>
          <t>monthly from week 1</t>
        </is>
      </c>
    </row>
    <row r="43">
      <c r="A43" t="inlineStr">
        <is>
          <t>phone</t>
        </is>
      </c>
      <c r="B43" t="n">
        <v>2</v>
      </c>
      <c r="C43" s="17">
        <f>EDATE(Inputs!$C$10,B43-1)</f>
        <v/>
      </c>
      <c r="D43" s="31">
        <f>IF(C43&lt;=Cash_Flow!$AB$6,Inputs!$C$74,0)</f>
        <v/>
      </c>
      <c r="E43" s="28" t="inlineStr">
        <is>
          <t>monthly from week 1</t>
        </is>
      </c>
    </row>
    <row r="44">
      <c r="A44" t="inlineStr">
        <is>
          <t>phone</t>
        </is>
      </c>
      <c r="B44" t="n">
        <v>3</v>
      </c>
      <c r="C44" s="17">
        <f>EDATE(Inputs!$C$10,B44-1)</f>
        <v/>
      </c>
      <c r="D44" s="31">
        <f>IF(C44&lt;=Cash_Flow!$AB$6,Inputs!$C$74,0)</f>
        <v/>
      </c>
      <c r="E44" s="28" t="inlineStr">
        <is>
          <t>monthly from week 1</t>
        </is>
      </c>
    </row>
    <row r="45">
      <c r="A45" t="inlineStr">
        <is>
          <t>phone</t>
        </is>
      </c>
      <c r="B45" t="n">
        <v>4</v>
      </c>
      <c r="C45" s="17">
        <f>EDATE(Inputs!$C$10,B45-1)</f>
        <v/>
      </c>
      <c r="D45" s="31">
        <f>IF(C45&lt;=Cash_Flow!$AB$6,Inputs!$C$74,0)</f>
        <v/>
      </c>
      <c r="E45" s="28" t="inlineStr">
        <is>
          <t>monthly from week 1</t>
        </is>
      </c>
    </row>
    <row r="46">
      <c r="A46" t="inlineStr">
        <is>
          <t>phone</t>
        </is>
      </c>
      <c r="B46" t="n">
        <v>5</v>
      </c>
      <c r="C46" s="17">
        <f>EDATE(Inputs!$C$10,B46-1)</f>
        <v/>
      </c>
      <c r="D46" s="31">
        <f>IF(C46&lt;=Cash_Flow!$AB$6,Inputs!$C$74,0)</f>
        <v/>
      </c>
      <c r="E46" s="28" t="inlineStr">
        <is>
          <t>monthly from week 1</t>
        </is>
      </c>
    </row>
    <row r="47">
      <c r="A47" t="inlineStr">
        <is>
          <t>phone</t>
        </is>
      </c>
      <c r="B47" t="n">
        <v>6</v>
      </c>
      <c r="C47" s="17">
        <f>EDATE(Inputs!$C$10,B47-1)</f>
        <v/>
      </c>
      <c r="D47" s="31">
        <f>IF(C47&lt;=Cash_Flow!$AB$6,Inputs!$C$74,0)</f>
        <v/>
      </c>
      <c r="E47" s="28" t="inlineStr">
        <is>
          <t>monthly from week 1</t>
        </is>
      </c>
    </row>
    <row r="48">
      <c r="A48" t="inlineStr">
        <is>
          <t>phone</t>
        </is>
      </c>
      <c r="B48" t="n">
        <v>7</v>
      </c>
      <c r="C48" s="17">
        <f>EDATE(Inputs!$C$10,B48-1)</f>
        <v/>
      </c>
      <c r="D48" s="31">
        <f>IF(C48&lt;=Cash_Flow!$AB$6,Inputs!$C$74,0)</f>
        <v/>
      </c>
      <c r="E48" s="28" t="inlineStr">
        <is>
          <t>monthly from week 1</t>
        </is>
      </c>
    </row>
    <row r="49">
      <c r="A49" t="inlineStr">
        <is>
          <t>phone</t>
        </is>
      </c>
      <c r="B49" t="n">
        <v>8</v>
      </c>
      <c r="C49" s="17">
        <f>EDATE(Inputs!$C$10,B49-1)</f>
        <v/>
      </c>
      <c r="D49" s="31">
        <f>IF(C49&lt;=Cash_Flow!$AB$6,Inputs!$C$74,0)</f>
        <v/>
      </c>
      <c r="E49" s="28" t="inlineStr">
        <is>
          <t>monthly from week 1</t>
        </is>
      </c>
    </row>
    <row r="50">
      <c r="A50" t="inlineStr">
        <is>
          <t>phone</t>
        </is>
      </c>
      <c r="B50" t="n">
        <v>9</v>
      </c>
      <c r="C50" s="17">
        <f>EDATE(Inputs!$C$10,B50-1)</f>
        <v/>
      </c>
      <c r="D50" s="31">
        <f>IF(C50&lt;=Cash_Flow!$AB$6,Inputs!$C$74,0)</f>
        <v/>
      </c>
      <c r="E50" s="28" t="inlineStr">
        <is>
          <t>monthly from week 1</t>
        </is>
      </c>
    </row>
    <row r="51">
      <c r="A51" t="inlineStr">
        <is>
          <t>phone</t>
        </is>
      </c>
      <c r="B51" t="n">
        <v>10</v>
      </c>
      <c r="C51" s="17">
        <f>EDATE(Inputs!$C$10,B51-1)</f>
        <v/>
      </c>
      <c r="D51" s="31">
        <f>IF(C51&lt;=Cash_Flow!$AB$6,Inputs!$C$74,0)</f>
        <v/>
      </c>
      <c r="E51" s="28" t="inlineStr">
        <is>
          <t>monthly from week 1</t>
        </is>
      </c>
    </row>
    <row r="52">
      <c r="A52" t="inlineStr">
        <is>
          <t>phone</t>
        </is>
      </c>
      <c r="B52" t="n">
        <v>11</v>
      </c>
      <c r="C52" s="17">
        <f>EDATE(Inputs!$C$10,B52-1)</f>
        <v/>
      </c>
      <c r="D52" s="31">
        <f>IF(C52&lt;=Cash_Flow!$AB$6,Inputs!$C$74,0)</f>
        <v/>
      </c>
      <c r="E52" s="28" t="inlineStr">
        <is>
          <t>monthly from week 1</t>
        </is>
      </c>
    </row>
    <row r="53">
      <c r="A53" t="inlineStr">
        <is>
          <t>phone</t>
        </is>
      </c>
      <c r="B53" t="n">
        <v>12</v>
      </c>
      <c r="C53" s="17">
        <f>EDATE(Inputs!$C$10,B53-1)</f>
        <v/>
      </c>
      <c r="D53" s="31">
        <f>IF(C53&lt;=Cash_Flow!$AB$6,Inputs!$C$74,0)</f>
        <v/>
      </c>
      <c r="E53" s="28" t="inlineStr">
        <is>
          <t>monthly from week 1</t>
        </is>
      </c>
    </row>
    <row r="55">
      <c r="A55" s="8" t="inlineStr">
        <is>
          <t>Total inside the six months</t>
        </is>
      </c>
      <c r="D55" s="33">
        <f>SUMIFS(Cash_Ledger!$D$5:$D$53,Cash_Ledger!$C$5:$C$53,"&gt;="&amp;Inputs!$C$10,Cash_Ledger!$C$5:$C$53,"&lt;="&amp;Cash_Flow!$AB$6)</f>
        <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37"/>
  <sheetViews>
    <sheetView zoomScale="90" workbookViewId="0">
      <pane ySplit="4" topLeftCell="A5" activePane="bottomLeft" state="frozen"/>
      <selection pane="bottomLeft" activeCell="A1" sqref="A1"/>
    </sheetView>
  </sheetViews>
  <sheetFormatPr baseColWidth="8" defaultRowHeight="15"/>
  <cols>
    <col width="4" customWidth="1" min="1" max="1"/>
    <col width="10" customWidth="1" min="2" max="2"/>
    <col width="70" customWidth="1" min="3" max="3"/>
    <col width="14" customWidth="1" min="4" max="4"/>
    <col width="10" customWidth="1" min="5" max="5"/>
    <col width="50" customWidth="1" min="6" max="6"/>
  </cols>
  <sheetData>
    <row r="1">
      <c r="A1" s="1" t="inlineStr">
        <is>
          <t>Model checks</t>
        </is>
      </c>
    </row>
    <row r="2">
      <c r="A2" s="2" t="inlineStr">
        <is>
          <t>Integrity checks must always pass. Plan-reproduction checks pass while inputs equal the plan defaults. Data checks flag bad rows in the logs.</t>
        </is>
      </c>
    </row>
    <row r="3">
      <c r="C3" s="8" t="inlineStr">
        <is>
          <t>Tolerance used by the checks below (rounding)</t>
        </is>
      </c>
      <c r="D3" s="95" t="n">
        <v>0.01</v>
      </c>
    </row>
    <row r="4" ht="30" customHeight="1">
      <c r="A4" s="10" t="inlineStr">
        <is>
          <t>#</t>
        </is>
      </c>
      <c r="B4" s="10" t="inlineStr">
        <is>
          <t>Area</t>
        </is>
      </c>
      <c r="C4" s="10" t="inlineStr">
        <is>
          <t>Check</t>
        </is>
      </c>
      <c r="D4" s="10" t="inlineStr">
        <is>
          <t>Value</t>
        </is>
      </c>
      <c r="E4" s="10" t="inlineStr">
        <is>
          <t>Pass (1/0)</t>
        </is>
      </c>
      <c r="F4" s="10" t="inlineStr">
        <is>
          <t>Note</t>
        </is>
      </c>
    </row>
    <row r="5">
      <c r="A5" t="n">
        <v>1</v>
      </c>
      <c r="B5" t="inlineStr">
        <is>
          <t>Integrity</t>
        </is>
      </c>
      <c r="C5" s="5" t="inlineStr">
        <is>
          <t>No formula errors anywhere in the model's output ranges</t>
        </is>
      </c>
      <c r="D5" s="96">
        <f>SUMPRODUCT(ISERROR(Drop_PnL!A7:BF19)*1)+SUMPRODUCT(ISERROR(Plan_Check!A7:AM17)*1)+SUMPRODUCT(ISERROR(Steady_State!A7:AM17)*1)+SUMPRODUCT(ISERROR(Steady_State!B22:D65)*1)+SUMPRODUCT(ISERROR(Cash_Flow!C5:AC43)*1)+SUMPRODUCT(ISERROR(Cash_Flow!C46:J69)*1)+SUMPRODUCT(ISERROR(Sensitivity!B6:G67)*1)+SUMPRODUCT(ISERROR(Sensitivity!A77:AM77)*1)+SUMPRODUCT(ISERROR(Calculator!A40:AM40)*1)+SUMPRODUCT(ISERROR(Drop_Actuals!A7:AL18)*1)+SUMPRODUCT(ISERROR(Schedule!A7:T18)*1)+SUMPRODUCT(ISERROR(Inputs!A5:R162)*1)+SUMPRODUCT(ISERROR(Scenarios!C10:H21)*1)+SUMPRODUCT(ISERROR(Capital!B5:J36)*1)+SUMPRODUCT(ISERROR(Hours_Log!H5:R52)*1)+SUMPRODUCT(ISERROR(Pipeline!T5:V22)*1)+SUMPRODUCT(ISERROR(Dashboard!A24:L110)*1)</f>
        <v/>
      </c>
      <c r="E5" s="19">
        <f>IF(D5=0,1,0)</f>
        <v/>
      </c>
      <c r="F5" s="5" t="inlineStr">
        <is>
          <t>Counts #N/A, #VALUE!, #DIV/0! and other errors.</t>
        </is>
      </c>
    </row>
    <row r="6">
      <c r="A6" t="n">
        <v>2</v>
      </c>
      <c r="B6" t="inlineStr">
        <is>
          <t>Integrity</t>
        </is>
      </c>
      <c r="C6" s="5" t="inlineStr">
        <is>
          <t>Weekly and monthly cash flows agree (difference)</t>
        </is>
      </c>
      <c r="D6" s="96">
        <f>Cash_Flow!$C$66</f>
        <v/>
      </c>
      <c r="E6" s="19">
        <f>IF(ABS(D6)&lt;=$D$3,1,0)</f>
        <v/>
      </c>
      <c r="F6" s="5" t="inlineStr">
        <is>
          <t>Two independent SUMIFS passes over the same sources.</t>
        </is>
      </c>
    </row>
    <row r="7">
      <c r="A7" t="n">
        <v>3</v>
      </c>
      <c r="B7" t="inlineStr">
        <is>
          <t>Integrity</t>
        </is>
      </c>
      <c r="C7" s="5" t="inlineStr">
        <is>
          <t>Overhead paid in the cash flow equals the overhead ledger</t>
        </is>
      </c>
      <c r="D7" s="96">
        <f>Cash_Flow!$C$68-Cash_Ledger!$D$55</f>
        <v/>
      </c>
      <c r="E7" s="19">
        <f>IF(ABS(D7)&lt;=$D$3,1,0)</f>
        <v/>
      </c>
      <c r="F7" s="5" t="inlineStr">
        <is>
          <t>Allocations never reach the cash flow.</t>
        </is>
      </c>
    </row>
    <row r="8">
      <c r="A8" t="n">
        <v>4</v>
      </c>
      <c r="B8" t="inlineStr">
        <is>
          <t>Integrity</t>
        </is>
      </c>
      <c r="C8" s="5" t="inlineStr">
        <is>
          <t>Planned receipts in the cash flow equal the drops' payments inside the window</t>
        </is>
      </c>
      <c r="D8" s="96">
        <f>Cash_Flow!$AC$9-(SUMIFS(Drop_PnL!$AP$7:$AP$18,Drop_PnL!$AO$7:$AO$18,"&gt;="&amp;Inputs!$C$10,Drop_PnL!$AO$7:$AO$18,"&lt;="&amp;Cash_Flow!$AB$6,Drop_PnL!$AZ$7:$AZ$18,"N")+SUMIFS(Drop_PnL!$AR$7:$AR$18,Drop_PnL!$AQ$7:$AQ$18,"&gt;="&amp;Inputs!$C$10,Drop_PnL!$AQ$7:$AQ$18,"&lt;="&amp;Cash_Flow!$AB$6,Drop_PnL!$AZ$7:$AZ$18,"N")+SUMIFS(Drop_PnL!$AT$7:$AT$18,Drop_PnL!$AS$7:$AS$18,"&gt;="&amp;Inputs!$C$10,Drop_PnL!$AS$7:$AS$18,"&lt;="&amp;Cash_Flow!$AB$6,Drop_PnL!$AZ$7:$AZ$18,"N"))</f>
        <v/>
      </c>
      <c r="E8" s="19">
        <f>IF(ABS(D8)&lt;=$D$3,1,0)</f>
        <v/>
      </c>
      <c r="F8" s="5" t="inlineStr"/>
    </row>
    <row r="9">
      <c r="A9" t="n">
        <v>5</v>
      </c>
      <c r="B9" t="inlineStr">
        <is>
          <t>Integrity</t>
        </is>
      </c>
      <c r="C9" s="5" t="inlineStr">
        <is>
          <t>Every scheduled drop is paid in full: payments equal revenue</t>
        </is>
      </c>
      <c r="D9" s="96">
        <f>SUM(Drop_PnL!$AP$7:$AP$18)+SUM(Drop_PnL!$AR$7:$AR$18)+SUM(Drop_PnL!$AT$7:$AT$18)-SUM(Drop_PnL!$S$7:$S$18)</f>
        <v/>
      </c>
      <c r="E9" s="19">
        <f>IF(ABS(D9)&lt;=$D$3,1,0)</f>
        <v/>
      </c>
      <c r="F9" s="5" t="inlineStr"/>
    </row>
    <row r="10">
      <c r="A10" t="n">
        <v>6</v>
      </c>
      <c r="B10" t="inlineStr">
        <is>
          <t>Integrity</t>
        </is>
      </c>
      <c r="C10" s="5" t="inlineStr">
        <is>
          <t>Processing on payments equals processing on revenue</t>
        </is>
      </c>
      <c r="D10" s="96">
        <f>SUM(Drop_PnL!$AU$7:$AU$18)+SUM(Drop_PnL!$AV$7:$AV$18)+SUM(Drop_PnL!$AW$7:$AW$18)-SUM(Drop_PnL!$W$7:$W$18)</f>
        <v/>
      </c>
      <c r="E10" s="19">
        <f>IF(ABS(D10)&lt;=$D$3,1,0)</f>
        <v/>
      </c>
      <c r="F10" s="5" t="inlineStr"/>
    </row>
    <row r="11">
      <c r="A11" t="n">
        <v>7</v>
      </c>
      <c r="B11" t="inlineStr">
        <is>
          <t>Integrity</t>
        </is>
      </c>
      <c r="C11" s="5" t="inlineStr">
        <is>
          <t>Capital tab outflows equal Cash_Flow outflows</t>
        </is>
      </c>
      <c r="D11" s="96">
        <f>Capital!$G$31</f>
        <v/>
      </c>
      <c r="E11" s="19">
        <f>IF(OR(ABS(D11)&lt;=$D$3,COUNTIF(Schedule!$N$7:$N$18,"Y")&gt;0),1,0)</f>
        <v/>
      </c>
      <c r="F11" s="5" t="inlineStr">
        <is>
          <t>Holds while no drop has actuals.</t>
        </is>
      </c>
    </row>
    <row r="12">
      <c r="A12" t="n">
        <v>8</v>
      </c>
      <c r="B12" t="inlineStr">
        <is>
          <t>Integrity</t>
        </is>
      </c>
      <c r="C12" s="5" t="inlineStr">
        <is>
          <t>Sensitivity shortcut equals the full engine</t>
        </is>
      </c>
      <c r="D12" s="96">
        <f>Sensitivity!$G$9</f>
        <v/>
      </c>
      <c r="E12" s="19">
        <f>IF(ABS(D12)&lt;=$D$3,1,0)</f>
        <v/>
      </c>
      <c r="F12" s="5" t="inlineStr"/>
    </row>
    <row r="13">
      <c r="A13" t="n">
        <v>9</v>
      </c>
      <c r="B13" t="inlineStr">
        <is>
          <t>Integrity</t>
        </is>
      </c>
      <c r="C13" s="5" t="inlineStr">
        <is>
          <t>Sensitivity: higher price never lowers contribution per hour</t>
        </is>
      </c>
      <c r="D13" s="96">
        <f>Sensitivity!$C$71</f>
        <v/>
      </c>
      <c r="E13" s="19">
        <f>IF(D13=0,1,0)</f>
        <v/>
      </c>
      <c r="F13" s="5" t="inlineStr"/>
    </row>
    <row r="14">
      <c r="A14" t="n">
        <v>10</v>
      </c>
      <c r="B14" t="inlineStr">
        <is>
          <t>Integrity</t>
        </is>
      </c>
      <c r="C14" s="5" t="inlineStr">
        <is>
          <t>Sensitivity: one more brand always raises contribution per hour</t>
        </is>
      </c>
      <c r="D14" s="96">
        <f>Sensitivity!$C$72</f>
        <v/>
      </c>
      <c r="E14" s="19">
        <f>IF(D14=0,1,0)</f>
        <v/>
      </c>
      <c r="F14" s="5" t="inlineStr"/>
    </row>
    <row r="15">
      <c r="A15" t="n">
        <v>11</v>
      </c>
      <c r="B15" t="inlineStr">
        <is>
          <t>Integrity</t>
        </is>
      </c>
      <c r="C15" s="5" t="inlineStr">
        <is>
          <t>Sensitivity: higher renewal never lowers a positive contribution per hour</t>
        </is>
      </c>
      <c r="D15" s="96">
        <f>Sensitivity!$C$73</f>
        <v/>
      </c>
      <c r="E15" s="19">
        <f>IF(D15=0,1,0)</f>
        <v/>
      </c>
      <c r="F15" s="5" t="inlineStr"/>
    </row>
    <row r="16">
      <c r="A16" t="n">
        <v>12</v>
      </c>
      <c r="B16" t="inlineStr">
        <is>
          <t>Integrity</t>
        </is>
      </c>
      <c r="C16" s="5" t="inlineStr">
        <is>
          <t>Edge: zero brands gives zero revenue, cost and hours, and 'n/a'</t>
        </is>
      </c>
      <c r="D16" s="96">
        <f>ABS(Plan_Check!S14)+ABS(Plan_Check!AA14)+ABS(Plan_Check!AI14)+IF(Plan_Check!AK14="n/a",0,1)</f>
        <v/>
      </c>
      <c r="E16" s="19">
        <f>IF(D16=0,1,0)</f>
        <v/>
      </c>
      <c r="F16" s="5" t="inlineStr"/>
    </row>
    <row r="17">
      <c r="A17" t="n">
        <v>13</v>
      </c>
      <c r="B17" t="inlineStr">
        <is>
          <t>Integrity</t>
        </is>
      </c>
      <c r="C17" s="5" t="inlineStr">
        <is>
          <t>Edge: one office gives a finite result</t>
        </is>
      </c>
      <c r="D17" s="96">
        <f>IF(ISNUMBER(Plan_Check!AK15),0,1)</f>
        <v/>
      </c>
      <c r="E17" s="19">
        <f>IF(D17=0,1,0)</f>
        <v/>
      </c>
      <c r="F17" s="5" t="inlineStr"/>
    </row>
    <row r="18">
      <c r="A18" t="n">
        <v>14</v>
      </c>
      <c r="B18" t="inlineStr">
        <is>
          <t>Integrity</t>
        </is>
      </c>
      <c r="C18" s="5" t="inlineStr">
        <is>
          <t>Edge: 100% renewal charges renewal hours only</t>
        </is>
      </c>
      <c r="D18" s="96">
        <f>Plan_Check!AB16-Plan_Check!G16*Inputs!$C$84</f>
        <v/>
      </c>
      <c r="E18" s="19">
        <f>IF(ABS(D18)&lt;=$D$3,1,0)</f>
        <v/>
      </c>
      <c r="F18" s="5" t="inlineStr"/>
    </row>
    <row r="19">
      <c r="A19" t="n">
        <v>15</v>
      </c>
      <c r="B19" t="inlineStr">
        <is>
          <t>Schedule</t>
        </is>
      </c>
      <c r="C19" s="5" t="inlineStr">
        <is>
          <t>Rows failing the schedule rules (Tue/Wed, blackouts, counts)</t>
        </is>
      </c>
      <c r="D19" s="96">
        <f>COUNTIF(Schedule!$T$7:$T$18,"check")+COUNTIF(Schedule!$T$7:$T$18,"date missing")</f>
        <v/>
      </c>
      <c r="E19" s="19">
        <f>IF(D19=0,1,0)</f>
        <v/>
      </c>
      <c r="F19" s="5" t="inlineStr">
        <is>
          <t>See Schedule, Row check.</t>
        </is>
      </c>
    </row>
    <row r="20">
      <c r="A20" t="n">
        <v>16</v>
      </c>
      <c r="B20" t="inlineStr">
        <is>
          <t>Schedule</t>
        </is>
      </c>
      <c r="C20" s="5" t="inlineStr">
        <is>
          <t>Drop dates out of order</t>
        </is>
      </c>
      <c r="D20" s="96">
        <f>IF(AND(Schedule!E8&lt;&gt;"",Schedule!E7&lt;&gt;""),IF(Schedule!E8&lt;Schedule!E7,1,0),0)+IF(AND(Schedule!E9&lt;&gt;"",Schedule!E8&lt;&gt;""),IF(Schedule!E9&lt;Schedule!E8,1,0),0)+IF(AND(Schedule!E10&lt;&gt;"",Schedule!E9&lt;&gt;""),IF(Schedule!E10&lt;Schedule!E9,1,0),0)+IF(AND(Schedule!E11&lt;&gt;"",Schedule!E10&lt;&gt;""),IF(Schedule!E11&lt;Schedule!E10,1,0),0)+IF(AND(Schedule!E12&lt;&gt;"",Schedule!E11&lt;&gt;""),IF(Schedule!E12&lt;Schedule!E11,1,0),0)+IF(AND(Schedule!E13&lt;&gt;"",Schedule!E12&lt;&gt;""),IF(Schedule!E13&lt;Schedule!E12,1,0),0)+IF(AND(Schedule!E14&lt;&gt;"",Schedule!E13&lt;&gt;""),IF(Schedule!E14&lt;Schedule!E13,1,0),0)+IF(AND(Schedule!E15&lt;&gt;"",Schedule!E14&lt;&gt;""),IF(Schedule!E15&lt;Schedule!E14,1,0),0)+IF(AND(Schedule!E16&lt;&gt;"",Schedule!E15&lt;&gt;""),IF(Schedule!E16&lt;Schedule!E15,1,0),0)+IF(AND(Schedule!E17&lt;&gt;"",Schedule!E16&lt;&gt;""),IF(Schedule!E17&lt;Schedule!E16,1,0),0)+IF(AND(Schedule!E18&lt;&gt;"",Schedule!E17&lt;&gt;""),IF(Schedule!E18&lt;Schedule!E17,1,0),0)</f>
        <v/>
      </c>
      <c r="E20" s="19">
        <f>IF(D20=0,1,0)</f>
        <v/>
      </c>
      <c r="F20" s="5" t="inlineStr"/>
    </row>
    <row r="21">
      <c r="A21" t="n">
        <v>17</v>
      </c>
      <c r="B21" t="inlineStr">
        <is>
          <t>Schedule</t>
        </is>
      </c>
      <c r="C21" s="5" t="inlineStr">
        <is>
          <t>New founding brands beyond the founding cap</t>
        </is>
      </c>
      <c r="D21" s="96">
        <f>MAX(0,SUMPRODUCT((Drop_PnL!D7:D18="founding")*Drop_PnL!O7:O18)-Inputs!$C$40)</f>
        <v/>
      </c>
      <c r="E21" s="19">
        <f>IF(D21=0,1,0)</f>
        <v/>
      </c>
      <c r="F21" s="5" t="inlineStr">
        <is>
          <t>Founding tier: first three brands only.</t>
        </is>
      </c>
    </row>
    <row r="22">
      <c r="A22" t="n">
        <v>18</v>
      </c>
      <c r="B22" t="inlineStr">
        <is>
          <t>Schedule</t>
        </is>
      </c>
      <c r="C22" s="5" t="inlineStr">
        <is>
          <t>Founding-rate renewals beyond the two-campaign lock</t>
        </is>
      </c>
      <c r="D22" s="96">
        <f>MAX(0,SUM(Drop_PnL!I7:I18)-Inputs!$C$41*SUMPRODUCT((Drop_PnL!D7:D18="founding")*Drop_PnL!O7:O18))</f>
        <v/>
      </c>
      <c r="E22" s="19">
        <f>IF(D22=0,1,0)</f>
        <v/>
      </c>
      <c r="F22" s="5" t="inlineStr"/>
    </row>
    <row r="23">
      <c r="A23" t="n">
        <v>19</v>
      </c>
      <c r="B23" t="inlineStr">
        <is>
          <t>Schedule</t>
        </is>
      </c>
      <c r="C23" s="5" t="inlineStr">
        <is>
          <t>Gate 2 drop exists on Schedule</t>
        </is>
      </c>
      <c r="D23" s="96">
        <f>IF(ISNUMBER(MATCH(Inputs!$C$119,Schedule!$A$7:$A$18,0)),0,1)</f>
        <v/>
      </c>
      <c r="E23" s="19">
        <f>IF(D23=0,1,0)</f>
        <v/>
      </c>
      <c r="F23" s="5" t="inlineStr"/>
    </row>
    <row r="24">
      <c r="A24" t="n">
        <v>20</v>
      </c>
      <c r="B24" t="inlineStr">
        <is>
          <t>Data</t>
        </is>
      </c>
      <c r="C24" s="5" t="inlineStr">
        <is>
          <t>Hours_Log: invalid activity keys</t>
        </is>
      </c>
      <c r="D24" s="96">
        <f>Hours_Log!$Q$50</f>
        <v/>
      </c>
      <c r="E24" s="19">
        <f>IF(D24=0,1,0)</f>
        <v/>
      </c>
      <c r="F24" s="5" t="inlineStr"/>
    </row>
    <row r="25">
      <c r="A25" t="n">
        <v>21</v>
      </c>
      <c r="B25" t="inlineStr">
        <is>
          <t>Data</t>
        </is>
      </c>
      <c r="C25" s="5" t="inlineStr">
        <is>
          <t>Hours_Log: drop_ids not on Schedule</t>
        </is>
      </c>
      <c r="D25" s="96">
        <f>Hours_Log!$Q$51</f>
        <v/>
      </c>
      <c r="E25" s="19">
        <f>IF(D25=0,1,0)</f>
        <v/>
      </c>
      <c r="F25" s="5" t="inlineStr"/>
    </row>
    <row r="26">
      <c r="A26" t="n">
        <v>22</v>
      </c>
      <c r="B26" t="inlineStr">
        <is>
          <t>Data</t>
        </is>
      </c>
      <c r="C26" s="5" t="inlineStr">
        <is>
          <t>Toggl_Import: rows with zero hours or a bad activity</t>
        </is>
      </c>
      <c r="D26" s="96">
        <f>Toggl_Import!$X$10+Toggl_Import!$X$11</f>
        <v/>
      </c>
      <c r="E26" s="19">
        <f>IF(D26=0,1,0)</f>
        <v/>
      </c>
      <c r="F26" s="5" t="inlineStr"/>
    </row>
    <row r="27">
      <c r="A27" t="n">
        <v>23</v>
      </c>
      <c r="B27" t="inlineStr">
        <is>
          <t>Data</t>
        </is>
      </c>
      <c r="C27" s="5" t="inlineStr">
        <is>
          <t>Pipeline: rows with a bad event or side</t>
        </is>
      </c>
      <c r="D27" s="96">
        <f>Pipeline!$U$20+Pipeline!$U$21</f>
        <v/>
      </c>
      <c r="E27" s="19">
        <f>IF(D27=0,1,0)</f>
        <v/>
      </c>
      <c r="F27" s="5" t="inlineStr"/>
    </row>
    <row r="28">
      <c r="A28" t="n">
        <v>24</v>
      </c>
      <c r="B28" t="inlineStr">
        <is>
          <t>Data</t>
        </is>
      </c>
      <c r="C28" s="5" t="inlineStr">
        <is>
          <t>Actuals_Campaigns: rows whose drop_id is not on Schedule</t>
        </is>
      </c>
      <c r="D28" s="96">
        <f>COUNTIF(Actuals_Campaigns!$AB$5:$AB$204,"not in schedule")</f>
        <v/>
      </c>
      <c r="E28" s="19">
        <f>IF(D28=0,1,0)</f>
        <v/>
      </c>
      <c r="F28" s="5" t="inlineStr"/>
    </row>
    <row r="29">
      <c r="A29" t="n">
        <v>25</v>
      </c>
      <c r="B29" t="inlineStr">
        <is>
          <t>Data</t>
        </is>
      </c>
      <c r="C29" s="5" t="inlineStr">
        <is>
          <t>Actuals_DropCosts: rows whose drop_id is not on Schedule</t>
        </is>
      </c>
      <c r="D29" s="96">
        <f>COUNTIF(Actuals_DropCosts!$K$5:$K$104,"not in schedule")</f>
        <v/>
      </c>
      <c r="E29" s="19">
        <f>IF(D29=0,1,0)</f>
        <v/>
      </c>
      <c r="F29" s="5" t="inlineStr"/>
    </row>
    <row r="30">
      <c r="A30" t="n">
        <v>26</v>
      </c>
      <c r="B30" t="inlineStr">
        <is>
          <t>Plan</t>
        </is>
      </c>
      <c r="C30" s="5" t="inlineStr">
        <is>
          <t>Plan scenario rows 1 to 6 reproduce</t>
        </is>
      </c>
      <c r="D30" s="96">
        <f>COUNTIF(Plan_Check!$AX$7:$AX$13,"differs")</f>
        <v/>
      </c>
      <c r="E30" s="19">
        <f>IF(D30=0,1,0)</f>
        <v/>
      </c>
      <c r="F30" s="5" t="inlineStr">
        <is>
          <t>Expected only at plan defaults.</t>
        </is>
      </c>
    </row>
    <row r="31">
      <c r="A31" t="n">
        <v>27</v>
      </c>
      <c r="B31" t="inlineStr">
        <is>
          <t>Plan</t>
        </is>
      </c>
      <c r="C31" s="5" t="inlineStr">
        <is>
          <t>Plan hour table reproduces cell by cell</t>
        </is>
      </c>
      <c r="D31" s="96">
        <f>COUNTIF(Plan_Check!$J$22:$J$29,"no")</f>
        <v/>
      </c>
      <c r="E31" s="19">
        <f>IF(D31=0,1,0)</f>
        <v/>
      </c>
      <c r="F31" s="5" t="inlineStr">
        <is>
          <t>Expected only at plan defaults.</t>
        </is>
      </c>
    </row>
    <row r="32">
      <c r="A32" t="n">
        <v>28</v>
      </c>
      <c r="B32" t="inlineStr">
        <is>
          <t>Plan</t>
        </is>
      </c>
      <c r="C32" s="5" t="inlineStr">
        <is>
          <t>Reconciliation rows within tolerance (the two documented differences excluded)</t>
        </is>
      </c>
      <c r="D32" s="96">
        <f>COUNTIF(Plan_Check!$G$34:$G$58,"differs: see reason")-COUNTIF(Plan_Check!G43:G43,"differs: see reason")-COUNTIF(Plan_Check!G58:G58,"differs: see reason")</f>
        <v/>
      </c>
      <c r="E32" s="19">
        <f>IF(D32=0,1,0)</f>
        <v/>
      </c>
      <c r="F32" s="5" t="inlineStr">
        <is>
          <t>Row 10 (processing contrast) and row 25 (transport lump) differ by design.</t>
        </is>
      </c>
    </row>
    <row r="34">
      <c r="C34" s="8" t="inlineStr">
        <is>
          <t>Integrity and schedule checks failing</t>
        </is>
      </c>
      <c r="D34" s="19">
        <f>COUNTIFS(B5:B32,"Integrity",E5:E32,0)+COUNTIFS(B5:B32,"Schedule",E5:E32,0)</f>
        <v/>
      </c>
    </row>
    <row r="35">
      <c r="C35" s="8" t="inlineStr">
        <is>
          <t>Data checks failing</t>
        </is>
      </c>
      <c r="D35" s="19">
        <f>COUNTIFS(B5:B32,"Data",E5:E32,0)</f>
        <v/>
      </c>
    </row>
    <row r="36">
      <c r="C36" s="8" t="inlineStr">
        <is>
          <t>Plan-reproduction checks failing</t>
        </is>
      </c>
      <c r="D36" s="19">
        <f>COUNTIFS(B5:B32,"Plan",E5:E32,0)</f>
        <v/>
      </c>
    </row>
    <row r="37">
      <c r="C37" s="8" t="inlineStr">
        <is>
          <t>Checks in total</t>
        </is>
      </c>
      <c r="D37" s="19">
        <f>COUNT(E5:E32)</f>
        <v/>
      </c>
    </row>
  </sheetData>
  <conditionalFormatting sqref="E5:E32">
    <cfRule type="cellIs" priority="1" operator="equal" dxfId="4">
      <formula>1</formula>
    </cfRule>
    <cfRule type="cellIs" priority="2" operator="equal" dxfId="8">
      <formula>0</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V30"/>
  <sheetViews>
    <sheetView zoomScale="90" workbookViewId="0">
      <selection activeCell="A1" sqref="A1"/>
    </sheetView>
  </sheetViews>
  <sheetFormatPr baseColWidth="8" defaultRowHeight="15"/>
  <cols>
    <col width="14" customWidth="1" min="1" max="1"/>
    <col width="11" customWidth="1" min="2" max="2"/>
    <col width="21" customWidth="1" min="3" max="3"/>
    <col width="32" customWidth="1" min="4" max="4"/>
    <col width="8" customWidth="1" min="5" max="5"/>
    <col width="11" customWidth="1" min="6" max="6"/>
    <col width="9" customWidth="1" min="7" max="7"/>
    <col width="17" customWidth="1" min="8" max="8"/>
    <col width="15" customWidth="1" min="9" max="9"/>
    <col width="10" customWidth="1" min="10" max="10"/>
    <col width="14" customWidth="1" min="11" max="11"/>
    <col width="16" customWidth="1" min="12" max="12"/>
    <col width="13" customWidth="1" min="14" max="14"/>
    <col width="34" customWidth="1" min="15" max="15"/>
    <col width="13" customWidth="1" min="17" max="17"/>
    <col width="13" customWidth="1" min="18" max="18"/>
    <col width="52" customWidth="1" min="19" max="19"/>
    <col width="30" customWidth="1" min="21" max="21"/>
    <col width="6" customWidth="1" min="22" max="22"/>
  </cols>
  <sheetData>
    <row r="1">
      <c r="A1" s="1" t="inlineStr">
        <is>
          <t>Lists</t>
        </is>
      </c>
    </row>
    <row r="2">
      <c r="A2" s="2" t="inlineStr">
        <is>
          <t>Fixed enumerations (CONTRACTS section 4), holidays and blackouts (section 3). Add rows in the blank cells; do not rename keys.</t>
        </is>
      </c>
    </row>
    <row r="3">
      <c r="A3" s="82" t="inlineStr">
        <is>
          <t>delivery_model</t>
        </is>
      </c>
      <c r="B3" s="82" t="inlineStr">
        <is>
          <t>tier</t>
        </is>
      </c>
      <c r="C3" s="82" t="inlineStr">
        <is>
          <t>activity</t>
        </is>
      </c>
      <c r="D3" s="82" t="inlineStr">
        <is>
          <t>activity label</t>
        </is>
      </c>
      <c r="E3" s="82" t="inlineStr">
        <is>
          <t>yes_no</t>
        </is>
      </c>
      <c r="F3" s="82" t="inlineStr">
        <is>
          <t>scenario</t>
        </is>
      </c>
      <c r="G3" s="82" t="inlineStr">
        <is>
          <t>side</t>
        </is>
      </c>
      <c r="H3" s="82" t="inlineStr">
        <is>
          <t>event</t>
        </is>
      </c>
      <c r="I3" s="82" t="inlineStr">
        <is>
          <t>would_buy_again</t>
        </is>
      </c>
      <c r="J3" s="82" t="inlineStr">
        <is>
          <t>renewed</t>
        </is>
      </c>
      <c r="K3" s="82" t="inlineStr">
        <is>
          <t>storage_choice</t>
        </is>
      </c>
      <c r="L3" s="82" t="inlineStr">
        <is>
          <t>insurance_billing</t>
        </is>
      </c>
      <c r="N3" s="82" t="inlineStr">
        <is>
          <t>us_federal_holiday</t>
        </is>
      </c>
      <c r="O3" s="82" t="inlineStr">
        <is>
          <t>holiday note</t>
        </is>
      </c>
      <c r="Q3" s="82" t="inlineStr">
        <is>
          <t>blackout_start</t>
        </is>
      </c>
      <c r="R3" s="82" t="inlineStr">
        <is>
          <t>blackout_end</t>
        </is>
      </c>
      <c r="S3" s="82" t="inlineStr">
        <is>
          <t>blackout note</t>
        </is>
      </c>
      <c r="U3" s="82" t="inlineStr">
        <is>
          <t>weekday (WEEKDAY, Sunday = 1)</t>
        </is>
      </c>
    </row>
    <row r="4">
      <c r="A4" t="inlineStr">
        <is>
          <t>founder</t>
        </is>
      </c>
      <c r="B4" t="inlineStr">
        <is>
          <t>founding</t>
        </is>
      </c>
      <c r="C4" t="inlineStr">
        <is>
          <t>brand_sales</t>
        </is>
      </c>
      <c r="D4" t="inlineStr">
        <is>
          <t>Brand sales to signature</t>
        </is>
      </c>
      <c r="E4" t="inlineStr">
        <is>
          <t>Y</t>
        </is>
      </c>
      <c r="F4" t="inlineStr">
        <is>
          <t>Plan base</t>
        </is>
      </c>
      <c r="G4" t="inlineStr">
        <is>
          <t>office</t>
        </is>
      </c>
      <c r="H4" t="inlineStr">
        <is>
          <t>outreach_sent</t>
        </is>
      </c>
      <c r="I4" t="inlineStr">
        <is>
          <t>yes</t>
        </is>
      </c>
      <c r="J4" t="inlineStr">
        <is>
          <t>Y</t>
        </is>
      </c>
      <c r="K4" t="inlineStr">
        <is>
          <t>unit</t>
        </is>
      </c>
      <c r="L4" t="inlineStr">
        <is>
          <t>annual</t>
        </is>
      </c>
      <c r="N4" s="17" t="n">
        <v>46337</v>
      </c>
      <c r="O4" t="inlineStr">
        <is>
          <t>Veterans Day (CONTRACTS s3)</t>
        </is>
      </c>
      <c r="Q4" s="17" t="n">
        <v>46374</v>
      </c>
      <c r="R4" s="17" t="n">
        <v>46387</v>
      </c>
      <c r="S4" t="inlineStr">
        <is>
          <t>Last two weeks of December 2026 (CONTRACTS s3)</t>
        </is>
      </c>
      <c r="U4" t="inlineStr">
        <is>
          <t>Tuesday</t>
        </is>
      </c>
      <c r="V4" t="n">
        <v>3</v>
      </c>
    </row>
    <row r="5">
      <c r="A5" t="inlineStr">
        <is>
          <t>courier</t>
        </is>
      </c>
      <c r="B5" t="inlineStr">
        <is>
          <t>standard</t>
        </is>
      </c>
      <c r="C5" t="inlineStr">
        <is>
          <t>office_coordination</t>
        </is>
      </c>
      <c r="D5" t="inlineStr">
        <is>
          <t>Office recruiting or coordination</t>
        </is>
      </c>
      <c r="E5" t="inlineStr">
        <is>
          <t>N</t>
        </is>
      </c>
      <c r="F5" t="inlineStr">
        <is>
          <t>A</t>
        </is>
      </c>
      <c r="G5" t="inlineStr">
        <is>
          <t>brand</t>
        </is>
      </c>
      <c r="H5" t="inlineStr">
        <is>
          <t>conversation</t>
        </is>
      </c>
      <c r="I5" t="inlineStr">
        <is>
          <t>maybe</t>
        </is>
      </c>
      <c r="J5" t="inlineStr">
        <is>
          <t>N</t>
        </is>
      </c>
      <c r="K5" t="inlineStr">
        <is>
          <t>home</t>
        </is>
      </c>
      <c r="L5" t="inlineStr">
        <is>
          <t>monthly</t>
        </is>
      </c>
      <c r="N5" s="17" t="n">
        <v>46352</v>
      </c>
      <c r="O5" t="inlineStr">
        <is>
          <t>Thanksgiving (CONTRACTS s3)</t>
        </is>
      </c>
      <c r="Q5" s="17" t="n">
        <v>46573</v>
      </c>
      <c r="R5" s="17" t="n">
        <v>46577</v>
      </c>
      <c r="S5" t="inlineStr">
        <is>
          <t>Week of July 4 2027 observed holiday (CONTRACTS s3 rule, derived)</t>
        </is>
      </c>
      <c r="U5" t="inlineStr">
        <is>
          <t>Wednesday</t>
        </is>
      </c>
      <c r="V5" t="n">
        <v>4</v>
      </c>
    </row>
    <row r="6">
      <c r="A6" t="inlineStr">
        <is>
          <t>direct-ship</t>
        </is>
      </c>
      <c r="C6" t="inlineStr">
        <is>
          <t>receiving_kitting</t>
        </is>
      </c>
      <c r="D6" t="inlineStr">
        <is>
          <t>Receiving and kitting</t>
        </is>
      </c>
      <c r="F6" t="inlineStr">
        <is>
          <t>B</t>
        </is>
      </c>
      <c r="H6" t="inlineStr">
        <is>
          <t>yes_in_principle</t>
        </is>
      </c>
      <c r="I6" t="inlineStr">
        <is>
          <t>no</t>
        </is>
      </c>
      <c r="J6" t="inlineStr">
        <is>
          <t>pending</t>
        </is>
      </c>
      <c r="N6" s="17" t="n">
        <v>46381</v>
      </c>
      <c r="O6" t="inlineStr">
        <is>
          <t>Christmas (CONTRACTS s3)</t>
        </is>
      </c>
      <c r="Q6" s="17" t="n">
        <v>46617</v>
      </c>
      <c r="R6" s="17" t="n">
        <v>46630</v>
      </c>
      <c r="S6" t="inlineStr">
        <is>
          <t>Last two weeks of August 2027 (CONTRACTS s3 rule)</t>
        </is>
      </c>
    </row>
    <row r="7">
      <c r="C7" t="inlineStr">
        <is>
          <t>drop_day</t>
        </is>
      </c>
      <c r="D7" t="inlineStr">
        <is>
          <t>Drop day</t>
        </is>
      </c>
      <c r="F7" t="inlineStr">
        <is>
          <t>C</t>
        </is>
      </c>
      <c r="H7" t="inlineStr">
        <is>
          <t>signed</t>
        </is>
      </c>
      <c r="N7" s="17" t="n">
        <v>46388</v>
      </c>
      <c r="O7" t="inlineStr">
        <is>
          <t>New Year's Day (CONTRACTS s3)</t>
        </is>
      </c>
      <c r="Q7" s="17" t="n">
        <v>46739</v>
      </c>
      <c r="R7" s="17" t="n">
        <v>46752</v>
      </c>
      <c r="S7" t="inlineStr">
        <is>
          <t>Last two weeks of December 2027 (CONTRACTS s3 rule)</t>
        </is>
      </c>
    </row>
    <row r="8">
      <c r="C8" t="inlineStr">
        <is>
          <t>checks_pickup</t>
        </is>
      </c>
      <c r="D8" t="inlineStr">
        <is>
          <t>Day 3 and day 5 checks, pickup</t>
        </is>
      </c>
      <c r="F8" t="inlineStr">
        <is>
          <t>D</t>
        </is>
      </c>
      <c r="H8" t="inlineStr">
        <is>
          <t>paid</t>
        </is>
      </c>
      <c r="N8" s="17" t="n">
        <v>46405</v>
      </c>
      <c r="O8" t="inlineStr">
        <is>
          <t>MLK Day (CONTRACTS s3)</t>
        </is>
      </c>
      <c r="Q8" s="57" t="n"/>
      <c r="R8" s="57" t="n"/>
    </row>
    <row r="9">
      <c r="C9" t="inlineStr">
        <is>
          <t>reporting_debriefs</t>
        </is>
      </c>
      <c r="D9" t="inlineStr">
        <is>
          <t>Reporting and debriefs</t>
        </is>
      </c>
      <c r="H9" t="inlineStr">
        <is>
          <t>budget_probe</t>
        </is>
      </c>
      <c r="N9" s="17" t="n">
        <v>46433</v>
      </c>
      <c r="O9" t="inlineStr">
        <is>
          <t>Presidents Day (CONTRACTS s3)</t>
        </is>
      </c>
      <c r="Q9" s="57" t="n"/>
      <c r="R9" s="57" t="n"/>
    </row>
    <row r="10">
      <c r="C10" t="inlineStr">
        <is>
          <t>admin_invoicing</t>
        </is>
      </c>
      <c r="D10" t="inlineStr">
        <is>
          <t>Admin and invoicing</t>
        </is>
      </c>
      <c r="H10" t="inlineStr">
        <is>
          <t>renewal_answer</t>
        </is>
      </c>
      <c r="N10" s="17" t="n">
        <v>46538</v>
      </c>
      <c r="O10" t="inlineStr">
        <is>
          <t>Memorial Day (CONTRACTS s3)</t>
        </is>
      </c>
      <c r="Q10" s="57" t="n"/>
      <c r="R10" s="57" t="n"/>
    </row>
    <row r="11">
      <c r="H11" t="inlineStr">
        <is>
          <t>opt_out</t>
        </is>
      </c>
      <c r="N11" s="17" t="n">
        <v>46556</v>
      </c>
      <c r="O11" t="inlineStr">
        <is>
          <t>Juneteenth (observed) (CONTRACTS s3)</t>
        </is>
      </c>
      <c r="Q11" s="57" t="n"/>
      <c r="R11" s="57" t="n"/>
    </row>
    <row r="12">
      <c r="N12" s="17" t="n">
        <v>46573</v>
      </c>
      <c r="O12" t="inlineStr">
        <is>
          <t>Independence Day (observed) (CONTRACTS s3)</t>
        </is>
      </c>
      <c r="Q12" s="57" t="n"/>
      <c r="R12" s="57" t="n"/>
    </row>
    <row r="13">
      <c r="N13" s="17" t="n">
        <v>46636</v>
      </c>
      <c r="O13" t="inlineStr">
        <is>
          <t>Labor Day (CONTRACTS s3)</t>
        </is>
      </c>
    </row>
    <row r="14">
      <c r="N14" s="57" t="n"/>
    </row>
    <row r="15">
      <c r="N15" s="57" t="n"/>
    </row>
    <row r="16">
      <c r="N16" s="57" t="n"/>
    </row>
    <row r="17">
      <c r="N17" s="57" t="n"/>
    </row>
    <row r="18">
      <c r="N18" s="57" t="n"/>
    </row>
    <row r="19">
      <c r="N19" s="57" t="n"/>
    </row>
    <row r="20">
      <c r="N20" s="57" t="n"/>
    </row>
    <row r="21">
      <c r="N21" s="57" t="n"/>
    </row>
    <row r="22">
      <c r="N22" s="57" t="n"/>
    </row>
    <row r="23">
      <c r="N23" s="57" t="n"/>
    </row>
    <row r="24">
      <c r="N24" s="57" t="n"/>
    </row>
    <row r="25">
      <c r="N25" s="57" t="n"/>
    </row>
    <row r="26">
      <c r="N26" s="57" t="n"/>
    </row>
    <row r="27">
      <c r="N27" s="57" t="n"/>
    </row>
    <row r="28">
      <c r="N28" s="57" t="n"/>
    </row>
    <row r="29">
      <c r="N29" s="57" t="n"/>
    </row>
    <row r="30">
      <c r="N30" s="5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2026-10-24T00:25:44Z</dcterms:created>
  <dcterms:modified xmlns:dcterms="http://purl.org/dc/terms/" xmlns:xsi="http://www.w3.org/2001/XMLSchema-instance" xsi:type="dcterms:W3CDTF">2026-10-24T00:25:45Z</dcterms:modified>
</cp:coreProperties>
</file>